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 tabRatio="881"/>
  </bookViews>
  <sheets>
    <sheet name="LED (8%)" sheetId="7" r:id="rId1"/>
    <sheet name="GIÁ 1.4" sheetId="3" state="hidden" r:id="rId2"/>
  </sheets>
  <definedNames>
    <definedName name="_xlnm._FilterDatabase" localSheetId="1" hidden="1">'GIÁ 1.4'!$A$2:$F$7768</definedName>
    <definedName name="_xlnm._FilterDatabase" localSheetId="0" hidden="1">'LED (8%)'!$A$4:$L$868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90" i="7" l="1"/>
  <c r="G79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8" i="7"/>
  <c r="G739" i="7"/>
  <c r="G740" i="7"/>
  <c r="G741" i="7"/>
  <c r="G743" i="7"/>
  <c r="G747" i="7"/>
  <c r="G748" i="7"/>
  <c r="G749" i="7"/>
  <c r="G750" i="7"/>
  <c r="G751" i="7"/>
  <c r="G752" i="7"/>
  <c r="G753" i="7"/>
  <c r="G754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7" i="7"/>
  <c r="E748" i="7"/>
  <c r="E749" i="7"/>
  <c r="E750" i="7"/>
  <c r="E751" i="7"/>
  <c r="E752" i="7"/>
  <c r="E753" i="7"/>
  <c r="E754" i="7"/>
  <c r="I735" i="7"/>
  <c r="J735" i="7" s="1"/>
  <c r="K735" i="7"/>
  <c r="L735" i="7" s="1"/>
  <c r="I724" i="7"/>
  <c r="J724" i="7" s="1"/>
  <c r="K724" i="7"/>
  <c r="L724" i="7" s="1"/>
  <c r="G369" i="7" l="1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I342" i="7"/>
  <c r="J342" i="7" s="1"/>
  <c r="K342" i="7"/>
  <c r="L342" i="7" s="1"/>
  <c r="I340" i="7"/>
  <c r="J340" i="7" s="1"/>
  <c r="K340" i="7"/>
  <c r="L340" i="7" s="1"/>
  <c r="I341" i="7"/>
  <c r="J341" i="7" s="1"/>
  <c r="K341" i="7"/>
  <c r="L341" i="7" s="1"/>
  <c r="G342" i="7"/>
  <c r="E342" i="7"/>
  <c r="G341" i="7"/>
  <c r="E341" i="7"/>
  <c r="G340" i="7"/>
  <c r="E340" i="7"/>
  <c r="G339" i="7"/>
  <c r="E339" i="7"/>
  <c r="G338" i="7"/>
  <c r="E338" i="7"/>
  <c r="G337" i="7"/>
  <c r="E337" i="7"/>
  <c r="I337" i="7"/>
  <c r="J337" i="7" s="1"/>
  <c r="K337" i="7"/>
  <c r="L337" i="7" s="1"/>
  <c r="I338" i="7"/>
  <c r="J338" i="7" s="1"/>
  <c r="K338" i="7"/>
  <c r="L338" i="7" s="1"/>
  <c r="I339" i="7"/>
  <c r="J339" i="7" s="1"/>
  <c r="K339" i="7"/>
  <c r="L339" i="7" s="1"/>
  <c r="G125" i="7"/>
  <c r="E125" i="7"/>
  <c r="G124" i="7"/>
  <c r="E124" i="7"/>
  <c r="G123" i="7"/>
  <c r="E123" i="7"/>
  <c r="G122" i="7"/>
  <c r="E122" i="7"/>
  <c r="I122" i="7"/>
  <c r="J122" i="7" s="1"/>
  <c r="K122" i="7"/>
  <c r="L122" i="7" s="1"/>
  <c r="I123" i="7"/>
  <c r="J123" i="7" s="1"/>
  <c r="K123" i="7"/>
  <c r="L123" i="7" s="1"/>
  <c r="I124" i="7"/>
  <c r="J124" i="7" s="1"/>
  <c r="K124" i="7"/>
  <c r="L124" i="7" s="1"/>
  <c r="I125" i="7"/>
  <c r="J125" i="7" s="1"/>
  <c r="K125" i="7"/>
  <c r="L125" i="7" s="1"/>
  <c r="I8" i="7"/>
  <c r="J8" i="7" s="1"/>
  <c r="K8" i="7"/>
  <c r="L8" i="7" s="1"/>
  <c r="I9" i="7"/>
  <c r="J9" i="7" s="1"/>
  <c r="K9" i="7"/>
  <c r="L9" i="7" s="1"/>
  <c r="I10" i="7"/>
  <c r="J10" i="7" s="1"/>
  <c r="K10" i="7"/>
  <c r="L10" i="7" s="1"/>
  <c r="I11" i="7"/>
  <c r="J11" i="7" s="1"/>
  <c r="K11" i="7"/>
  <c r="L11" i="7" s="1"/>
  <c r="I12" i="7"/>
  <c r="J12" i="7" s="1"/>
  <c r="K12" i="7"/>
  <c r="L12" i="7" s="1"/>
  <c r="I13" i="7"/>
  <c r="J13" i="7" s="1"/>
  <c r="K13" i="7"/>
  <c r="L13" i="7" s="1"/>
  <c r="I14" i="7"/>
  <c r="J14" i="7" s="1"/>
  <c r="K14" i="7"/>
  <c r="L14" i="7" s="1"/>
  <c r="I15" i="7"/>
  <c r="J15" i="7" s="1"/>
  <c r="K15" i="7"/>
  <c r="L15" i="7" s="1"/>
  <c r="I16" i="7"/>
  <c r="J16" i="7" s="1"/>
  <c r="K16" i="7"/>
  <c r="L16" i="7" s="1"/>
  <c r="I17" i="7"/>
  <c r="J17" i="7" s="1"/>
  <c r="K17" i="7"/>
  <c r="L17" i="7" s="1"/>
  <c r="I18" i="7"/>
  <c r="J18" i="7" s="1"/>
  <c r="K18" i="7"/>
  <c r="L18" i="7" s="1"/>
  <c r="I19" i="7"/>
  <c r="J19" i="7" s="1"/>
  <c r="K19" i="7"/>
  <c r="L19" i="7" s="1"/>
  <c r="I20" i="7"/>
  <c r="J20" i="7" s="1"/>
  <c r="K20" i="7"/>
  <c r="L20" i="7" s="1"/>
  <c r="I21" i="7"/>
  <c r="J21" i="7" s="1"/>
  <c r="K21" i="7"/>
  <c r="L21" i="7" s="1"/>
  <c r="I22" i="7"/>
  <c r="J22" i="7" s="1"/>
  <c r="K22" i="7"/>
  <c r="L22" i="7" s="1"/>
  <c r="I23" i="7"/>
  <c r="J23" i="7" s="1"/>
  <c r="K23" i="7"/>
  <c r="L23" i="7" s="1"/>
  <c r="I24" i="7"/>
  <c r="J24" i="7" s="1"/>
  <c r="K24" i="7"/>
  <c r="L24" i="7" s="1"/>
  <c r="I25" i="7"/>
  <c r="J25" i="7" s="1"/>
  <c r="K25" i="7"/>
  <c r="L25" i="7" s="1"/>
  <c r="I26" i="7"/>
  <c r="J26" i="7" s="1"/>
  <c r="K26" i="7"/>
  <c r="L26" i="7" s="1"/>
  <c r="I27" i="7"/>
  <c r="J27" i="7" s="1"/>
  <c r="K27" i="7"/>
  <c r="L27" i="7" s="1"/>
  <c r="I28" i="7"/>
  <c r="J28" i="7" s="1"/>
  <c r="K28" i="7"/>
  <c r="L28" i="7" s="1"/>
  <c r="I29" i="7"/>
  <c r="J29" i="7" s="1"/>
  <c r="K29" i="7"/>
  <c r="L29" i="7" s="1"/>
  <c r="I30" i="7"/>
  <c r="J30" i="7" s="1"/>
  <c r="K30" i="7"/>
  <c r="L30" i="7" s="1"/>
  <c r="I31" i="7"/>
  <c r="J31" i="7" s="1"/>
  <c r="K31" i="7"/>
  <c r="L31" i="7" s="1"/>
  <c r="I32" i="7"/>
  <c r="J32" i="7" s="1"/>
  <c r="K32" i="7"/>
  <c r="L32" i="7" s="1"/>
  <c r="I33" i="7"/>
  <c r="J33" i="7" s="1"/>
  <c r="K33" i="7"/>
  <c r="L33" i="7" s="1"/>
  <c r="I34" i="7"/>
  <c r="J34" i="7" s="1"/>
  <c r="K34" i="7"/>
  <c r="L34" i="7" s="1"/>
  <c r="I35" i="7"/>
  <c r="J35" i="7" s="1"/>
  <c r="K35" i="7"/>
  <c r="L35" i="7" s="1"/>
  <c r="I36" i="7"/>
  <c r="J36" i="7" s="1"/>
  <c r="K36" i="7"/>
  <c r="L36" i="7" s="1"/>
  <c r="I37" i="7"/>
  <c r="J37" i="7" s="1"/>
  <c r="K37" i="7"/>
  <c r="L37" i="7" s="1"/>
  <c r="I38" i="7"/>
  <c r="J38" i="7" s="1"/>
  <c r="K38" i="7"/>
  <c r="L38" i="7" s="1"/>
  <c r="I39" i="7"/>
  <c r="J39" i="7" s="1"/>
  <c r="K39" i="7"/>
  <c r="L39" i="7" s="1"/>
  <c r="I40" i="7"/>
  <c r="J40" i="7" s="1"/>
  <c r="K40" i="7"/>
  <c r="L40" i="7" s="1"/>
  <c r="I41" i="7"/>
  <c r="J41" i="7" s="1"/>
  <c r="K41" i="7"/>
  <c r="L41" i="7" s="1"/>
  <c r="I42" i="7"/>
  <c r="J42" i="7" s="1"/>
  <c r="K42" i="7"/>
  <c r="L42" i="7" s="1"/>
  <c r="I43" i="7"/>
  <c r="J43" i="7" s="1"/>
  <c r="K43" i="7"/>
  <c r="L43" i="7" s="1"/>
  <c r="I44" i="7"/>
  <c r="J44" i="7" s="1"/>
  <c r="K44" i="7"/>
  <c r="L44" i="7" s="1"/>
  <c r="I45" i="7"/>
  <c r="J45" i="7" s="1"/>
  <c r="K45" i="7"/>
  <c r="L45" i="7" s="1"/>
  <c r="I46" i="7"/>
  <c r="J46" i="7" s="1"/>
  <c r="K46" i="7"/>
  <c r="L46" i="7" s="1"/>
  <c r="I47" i="7"/>
  <c r="J47" i="7" s="1"/>
  <c r="K47" i="7"/>
  <c r="L47" i="7" s="1"/>
  <c r="I48" i="7"/>
  <c r="J48" i="7" s="1"/>
  <c r="K48" i="7"/>
  <c r="L48" i="7" s="1"/>
  <c r="I49" i="7"/>
  <c r="J49" i="7" s="1"/>
  <c r="K49" i="7"/>
  <c r="L49" i="7" s="1"/>
  <c r="I50" i="7"/>
  <c r="J50" i="7" s="1"/>
  <c r="K50" i="7"/>
  <c r="L50" i="7" s="1"/>
  <c r="I51" i="7"/>
  <c r="J51" i="7" s="1"/>
  <c r="K51" i="7"/>
  <c r="L51" i="7" s="1"/>
  <c r="I52" i="7"/>
  <c r="J52" i="7" s="1"/>
  <c r="K52" i="7"/>
  <c r="L52" i="7" s="1"/>
  <c r="I53" i="7"/>
  <c r="J53" i="7" s="1"/>
  <c r="K53" i="7"/>
  <c r="L53" i="7" s="1"/>
  <c r="I54" i="7"/>
  <c r="J54" i="7" s="1"/>
  <c r="K54" i="7"/>
  <c r="L54" i="7" s="1"/>
  <c r="I55" i="7"/>
  <c r="J55" i="7" s="1"/>
  <c r="K55" i="7"/>
  <c r="L55" i="7" s="1"/>
  <c r="I56" i="7"/>
  <c r="J56" i="7" s="1"/>
  <c r="K56" i="7"/>
  <c r="L56" i="7" s="1"/>
  <c r="I57" i="7"/>
  <c r="J57" i="7" s="1"/>
  <c r="K57" i="7"/>
  <c r="L57" i="7" s="1"/>
  <c r="I58" i="7"/>
  <c r="J58" i="7" s="1"/>
  <c r="K58" i="7"/>
  <c r="L58" i="7" s="1"/>
  <c r="I59" i="7"/>
  <c r="J59" i="7" s="1"/>
  <c r="K59" i="7"/>
  <c r="L59" i="7" s="1"/>
  <c r="I60" i="7"/>
  <c r="J60" i="7" s="1"/>
  <c r="K60" i="7"/>
  <c r="L60" i="7" s="1"/>
  <c r="I61" i="7"/>
  <c r="J61" i="7" s="1"/>
  <c r="K61" i="7"/>
  <c r="L61" i="7" s="1"/>
  <c r="I62" i="7"/>
  <c r="J62" i="7" s="1"/>
  <c r="K62" i="7"/>
  <c r="L62" i="7" s="1"/>
  <c r="I63" i="7"/>
  <c r="J63" i="7" s="1"/>
  <c r="K63" i="7"/>
  <c r="L63" i="7" s="1"/>
  <c r="I64" i="7"/>
  <c r="J64" i="7" s="1"/>
  <c r="K64" i="7"/>
  <c r="L64" i="7" s="1"/>
  <c r="I65" i="7"/>
  <c r="J65" i="7" s="1"/>
  <c r="K65" i="7"/>
  <c r="L65" i="7" s="1"/>
  <c r="I66" i="7"/>
  <c r="J66" i="7" s="1"/>
  <c r="K66" i="7"/>
  <c r="L66" i="7" s="1"/>
  <c r="I67" i="7"/>
  <c r="J67" i="7" s="1"/>
  <c r="K67" i="7"/>
  <c r="L67" i="7" s="1"/>
  <c r="I68" i="7"/>
  <c r="J68" i="7" s="1"/>
  <c r="K68" i="7"/>
  <c r="L68" i="7" s="1"/>
  <c r="I69" i="7"/>
  <c r="J69" i="7" s="1"/>
  <c r="K69" i="7"/>
  <c r="L69" i="7" s="1"/>
  <c r="I70" i="7"/>
  <c r="J70" i="7" s="1"/>
  <c r="K70" i="7"/>
  <c r="L70" i="7" s="1"/>
  <c r="I71" i="7"/>
  <c r="J71" i="7" s="1"/>
  <c r="K71" i="7"/>
  <c r="L71" i="7" s="1"/>
  <c r="I72" i="7"/>
  <c r="J72" i="7" s="1"/>
  <c r="K72" i="7"/>
  <c r="L72" i="7" s="1"/>
  <c r="I73" i="7"/>
  <c r="J73" i="7" s="1"/>
  <c r="K73" i="7"/>
  <c r="L73" i="7" s="1"/>
  <c r="I74" i="7"/>
  <c r="J74" i="7" s="1"/>
  <c r="K74" i="7"/>
  <c r="L74" i="7" s="1"/>
  <c r="I75" i="7"/>
  <c r="J75" i="7" s="1"/>
  <c r="K75" i="7"/>
  <c r="L75" i="7" s="1"/>
  <c r="I76" i="7"/>
  <c r="J76" i="7" s="1"/>
  <c r="K76" i="7"/>
  <c r="L76" i="7" s="1"/>
  <c r="I77" i="7"/>
  <c r="J77" i="7" s="1"/>
  <c r="K77" i="7"/>
  <c r="L77" i="7" s="1"/>
  <c r="I78" i="7"/>
  <c r="J78" i="7" s="1"/>
  <c r="K78" i="7"/>
  <c r="L78" i="7" s="1"/>
  <c r="I79" i="7"/>
  <c r="J79" i="7" s="1"/>
  <c r="K79" i="7"/>
  <c r="L79" i="7" s="1"/>
  <c r="I80" i="7"/>
  <c r="J80" i="7" s="1"/>
  <c r="K80" i="7"/>
  <c r="L80" i="7" s="1"/>
  <c r="I81" i="7"/>
  <c r="J81" i="7" s="1"/>
  <c r="K81" i="7"/>
  <c r="L81" i="7" s="1"/>
  <c r="I82" i="7"/>
  <c r="J82" i="7" s="1"/>
  <c r="K82" i="7"/>
  <c r="L82" i="7" s="1"/>
  <c r="I83" i="7"/>
  <c r="J83" i="7" s="1"/>
  <c r="K83" i="7"/>
  <c r="L83" i="7" s="1"/>
  <c r="I84" i="7"/>
  <c r="J84" i="7" s="1"/>
  <c r="K84" i="7"/>
  <c r="L84" i="7" s="1"/>
  <c r="I85" i="7"/>
  <c r="J85" i="7" s="1"/>
  <c r="K85" i="7"/>
  <c r="L85" i="7" s="1"/>
  <c r="I86" i="7"/>
  <c r="J86" i="7" s="1"/>
  <c r="K86" i="7"/>
  <c r="L86" i="7" s="1"/>
  <c r="I87" i="7"/>
  <c r="J87" i="7" s="1"/>
  <c r="K87" i="7"/>
  <c r="L87" i="7" s="1"/>
  <c r="I88" i="7"/>
  <c r="J88" i="7" s="1"/>
  <c r="K88" i="7"/>
  <c r="L88" i="7" s="1"/>
  <c r="I89" i="7"/>
  <c r="J89" i="7" s="1"/>
  <c r="K89" i="7"/>
  <c r="L89" i="7" s="1"/>
  <c r="I90" i="7"/>
  <c r="J90" i="7" s="1"/>
  <c r="K90" i="7"/>
  <c r="L90" i="7" s="1"/>
  <c r="I91" i="7"/>
  <c r="J91" i="7" s="1"/>
  <c r="K91" i="7"/>
  <c r="L91" i="7" s="1"/>
  <c r="I92" i="7"/>
  <c r="J92" i="7" s="1"/>
  <c r="K92" i="7"/>
  <c r="L92" i="7" s="1"/>
  <c r="I93" i="7"/>
  <c r="J93" i="7" s="1"/>
  <c r="K93" i="7"/>
  <c r="L93" i="7" s="1"/>
  <c r="I94" i="7"/>
  <c r="J94" i="7" s="1"/>
  <c r="K94" i="7"/>
  <c r="L94" i="7" s="1"/>
  <c r="I95" i="7"/>
  <c r="J95" i="7" s="1"/>
  <c r="K95" i="7"/>
  <c r="I96" i="7"/>
  <c r="J96" i="7" s="1"/>
  <c r="K96" i="7"/>
  <c r="I97" i="7"/>
  <c r="J97" i="7" s="1"/>
  <c r="K97" i="7"/>
  <c r="I98" i="7"/>
  <c r="J98" i="7" s="1"/>
  <c r="K98" i="7"/>
  <c r="I99" i="7"/>
  <c r="J99" i="7" s="1"/>
  <c r="K99" i="7"/>
  <c r="I100" i="7"/>
  <c r="J100" i="7" s="1"/>
  <c r="K100" i="7"/>
  <c r="I101" i="7"/>
  <c r="J101" i="7" s="1"/>
  <c r="K101" i="7"/>
  <c r="I102" i="7"/>
  <c r="J102" i="7" s="1"/>
  <c r="K102" i="7"/>
  <c r="I103" i="7"/>
  <c r="J103" i="7" s="1"/>
  <c r="K103" i="7"/>
  <c r="I104" i="7"/>
  <c r="J104" i="7" s="1"/>
  <c r="K104" i="7"/>
  <c r="I105" i="7"/>
  <c r="J105" i="7" s="1"/>
  <c r="K105" i="7"/>
  <c r="I106" i="7"/>
  <c r="J106" i="7" s="1"/>
  <c r="K106" i="7"/>
  <c r="I107" i="7"/>
  <c r="J107" i="7" s="1"/>
  <c r="K107" i="7"/>
  <c r="I108" i="7"/>
  <c r="K108" i="7"/>
  <c r="I109" i="7"/>
  <c r="K109" i="7"/>
  <c r="I110" i="7"/>
  <c r="K110" i="7"/>
  <c r="I111" i="7"/>
  <c r="K111" i="7"/>
  <c r="I112" i="7"/>
  <c r="K112" i="7"/>
  <c r="I113" i="7"/>
  <c r="K113" i="7"/>
  <c r="I114" i="7"/>
  <c r="K114" i="7"/>
  <c r="I115" i="7"/>
  <c r="K115" i="7"/>
  <c r="I116" i="7"/>
  <c r="K116" i="7"/>
  <c r="I117" i="7"/>
  <c r="K117" i="7"/>
  <c r="I118" i="7"/>
  <c r="K118" i="7"/>
  <c r="I119" i="7"/>
  <c r="K119" i="7"/>
  <c r="I120" i="7"/>
  <c r="K120" i="7"/>
  <c r="I121" i="7"/>
  <c r="K121" i="7"/>
  <c r="I126" i="7"/>
  <c r="J126" i="7" s="1"/>
  <c r="K126" i="7"/>
  <c r="I127" i="7"/>
  <c r="J127" i="7" s="1"/>
  <c r="K127" i="7"/>
  <c r="I128" i="7"/>
  <c r="J128" i="7" s="1"/>
  <c r="K128" i="7"/>
  <c r="I129" i="7"/>
  <c r="J129" i="7" s="1"/>
  <c r="K129" i="7"/>
  <c r="I130" i="7"/>
  <c r="J130" i="7" s="1"/>
  <c r="K130" i="7"/>
  <c r="I131" i="7"/>
  <c r="J131" i="7" s="1"/>
  <c r="K131" i="7"/>
  <c r="I132" i="7"/>
  <c r="J132" i="7" s="1"/>
  <c r="K132" i="7"/>
  <c r="I133" i="7"/>
  <c r="J133" i="7" s="1"/>
  <c r="K133" i="7"/>
  <c r="I134" i="7"/>
  <c r="J134" i="7" s="1"/>
  <c r="K134" i="7"/>
  <c r="I135" i="7"/>
  <c r="J135" i="7" s="1"/>
  <c r="K135" i="7"/>
  <c r="I136" i="7"/>
  <c r="J136" i="7" s="1"/>
  <c r="K136" i="7"/>
  <c r="I137" i="7"/>
  <c r="J137" i="7" s="1"/>
  <c r="K137" i="7"/>
  <c r="I138" i="7"/>
  <c r="J138" i="7" s="1"/>
  <c r="K138" i="7"/>
  <c r="I139" i="7"/>
  <c r="J139" i="7" s="1"/>
  <c r="K139" i="7"/>
  <c r="I140" i="7"/>
  <c r="J140" i="7" s="1"/>
  <c r="K140" i="7"/>
  <c r="I141" i="7"/>
  <c r="J141" i="7" s="1"/>
  <c r="K141" i="7"/>
  <c r="I142" i="7"/>
  <c r="J142" i="7" s="1"/>
  <c r="K142" i="7"/>
  <c r="I143" i="7"/>
  <c r="J143" i="7" s="1"/>
  <c r="K143" i="7"/>
  <c r="I144" i="7"/>
  <c r="J144" i="7" s="1"/>
  <c r="K144" i="7"/>
  <c r="I145" i="7"/>
  <c r="J145" i="7" s="1"/>
  <c r="K145" i="7"/>
  <c r="I146" i="7"/>
  <c r="J146" i="7" s="1"/>
  <c r="K146" i="7"/>
  <c r="I147" i="7"/>
  <c r="J147" i="7" s="1"/>
  <c r="K147" i="7"/>
  <c r="I148" i="7"/>
  <c r="J148" i="7" s="1"/>
  <c r="K148" i="7"/>
  <c r="I149" i="7"/>
  <c r="J149" i="7" s="1"/>
  <c r="K149" i="7"/>
  <c r="I150" i="7"/>
  <c r="J150" i="7" s="1"/>
  <c r="K150" i="7"/>
  <c r="I151" i="7"/>
  <c r="J151" i="7" s="1"/>
  <c r="K151" i="7"/>
  <c r="I152" i="7"/>
  <c r="J152" i="7" s="1"/>
  <c r="K152" i="7"/>
  <c r="I153" i="7"/>
  <c r="J153" i="7" s="1"/>
  <c r="K153" i="7"/>
  <c r="I155" i="7"/>
  <c r="J155" i="7" s="1"/>
  <c r="K155" i="7"/>
  <c r="L155" i="7" s="1"/>
  <c r="I156" i="7"/>
  <c r="J156" i="7" s="1"/>
  <c r="K156" i="7"/>
  <c r="L156" i="7" s="1"/>
  <c r="I157" i="7"/>
  <c r="J157" i="7" s="1"/>
  <c r="K157" i="7"/>
  <c r="L157" i="7" s="1"/>
  <c r="I158" i="7"/>
  <c r="J158" i="7" s="1"/>
  <c r="K158" i="7"/>
  <c r="L158" i="7" s="1"/>
  <c r="I159" i="7"/>
  <c r="J159" i="7" s="1"/>
  <c r="K159" i="7"/>
  <c r="L159" i="7" s="1"/>
  <c r="I160" i="7"/>
  <c r="J160" i="7" s="1"/>
  <c r="K160" i="7"/>
  <c r="L160" i="7" s="1"/>
  <c r="I161" i="7"/>
  <c r="J161" i="7" s="1"/>
  <c r="K161" i="7"/>
  <c r="L161" i="7" s="1"/>
  <c r="I162" i="7"/>
  <c r="J162" i="7" s="1"/>
  <c r="K162" i="7"/>
  <c r="L162" i="7" s="1"/>
  <c r="I163" i="7"/>
  <c r="J163" i="7" s="1"/>
  <c r="K163" i="7"/>
  <c r="L163" i="7" s="1"/>
  <c r="I164" i="7"/>
  <c r="J164" i="7" s="1"/>
  <c r="K164" i="7"/>
  <c r="L164" i="7" s="1"/>
  <c r="I166" i="7"/>
  <c r="J166" i="7" s="1"/>
  <c r="K166" i="7"/>
  <c r="L166" i="7" s="1"/>
  <c r="I167" i="7"/>
  <c r="J167" i="7" s="1"/>
  <c r="K167" i="7"/>
  <c r="L167" i="7" s="1"/>
  <c r="I168" i="7"/>
  <c r="J168" i="7" s="1"/>
  <c r="K168" i="7"/>
  <c r="L168" i="7" s="1"/>
  <c r="I169" i="7"/>
  <c r="J169" i="7" s="1"/>
  <c r="K169" i="7"/>
  <c r="L169" i="7" s="1"/>
  <c r="I170" i="7"/>
  <c r="J170" i="7" s="1"/>
  <c r="K170" i="7"/>
  <c r="L170" i="7" s="1"/>
  <c r="I171" i="7"/>
  <c r="J171" i="7" s="1"/>
  <c r="K171" i="7"/>
  <c r="L171" i="7" s="1"/>
  <c r="I172" i="7"/>
  <c r="J172" i="7" s="1"/>
  <c r="K172" i="7"/>
  <c r="L172" i="7" s="1"/>
  <c r="I173" i="7"/>
  <c r="J173" i="7" s="1"/>
  <c r="K173" i="7"/>
  <c r="L173" i="7" s="1"/>
  <c r="I174" i="7"/>
  <c r="J174" i="7" s="1"/>
  <c r="K174" i="7"/>
  <c r="L174" i="7" s="1"/>
  <c r="I175" i="7"/>
  <c r="J175" i="7" s="1"/>
  <c r="K175" i="7"/>
  <c r="L175" i="7" s="1"/>
  <c r="I176" i="7"/>
  <c r="J176" i="7" s="1"/>
  <c r="K176" i="7"/>
  <c r="L176" i="7" s="1"/>
  <c r="I177" i="7"/>
  <c r="J177" i="7" s="1"/>
  <c r="K177" i="7"/>
  <c r="L177" i="7" s="1"/>
  <c r="I178" i="7"/>
  <c r="J178" i="7" s="1"/>
  <c r="K178" i="7"/>
  <c r="L178" i="7" s="1"/>
  <c r="I179" i="7"/>
  <c r="J179" i="7" s="1"/>
  <c r="K179" i="7"/>
  <c r="L179" i="7" s="1"/>
  <c r="I180" i="7"/>
  <c r="J180" i="7" s="1"/>
  <c r="K180" i="7"/>
  <c r="L180" i="7" s="1"/>
  <c r="I181" i="7"/>
  <c r="J181" i="7" s="1"/>
  <c r="K181" i="7"/>
  <c r="L181" i="7" s="1"/>
  <c r="I182" i="7"/>
  <c r="J182" i="7" s="1"/>
  <c r="K182" i="7"/>
  <c r="L182" i="7" s="1"/>
  <c r="I183" i="7"/>
  <c r="J183" i="7" s="1"/>
  <c r="K183" i="7"/>
  <c r="L183" i="7" s="1"/>
  <c r="I184" i="7"/>
  <c r="J184" i="7" s="1"/>
  <c r="K184" i="7"/>
  <c r="L184" i="7" s="1"/>
  <c r="I185" i="7"/>
  <c r="J185" i="7" s="1"/>
  <c r="K185" i="7"/>
  <c r="L185" i="7" s="1"/>
  <c r="I186" i="7"/>
  <c r="J186" i="7" s="1"/>
  <c r="K186" i="7"/>
  <c r="L186" i="7" s="1"/>
  <c r="I187" i="7"/>
  <c r="J187" i="7" s="1"/>
  <c r="K187" i="7"/>
  <c r="I188" i="7"/>
  <c r="J188" i="7" s="1"/>
  <c r="K188" i="7"/>
  <c r="L188" i="7" s="1"/>
  <c r="I189" i="7"/>
  <c r="J189" i="7" s="1"/>
  <c r="K189" i="7"/>
  <c r="L189" i="7" s="1"/>
  <c r="I190" i="7"/>
  <c r="J190" i="7" s="1"/>
  <c r="K190" i="7"/>
  <c r="I191" i="7"/>
  <c r="J191" i="7" s="1"/>
  <c r="K191" i="7"/>
  <c r="L191" i="7" s="1"/>
  <c r="I192" i="7"/>
  <c r="J192" i="7" s="1"/>
  <c r="K192" i="7"/>
  <c r="L192" i="7" s="1"/>
  <c r="I193" i="7"/>
  <c r="J193" i="7" s="1"/>
  <c r="K193" i="7"/>
  <c r="L193" i="7" s="1"/>
  <c r="I194" i="7"/>
  <c r="J194" i="7" s="1"/>
  <c r="K194" i="7"/>
  <c r="L194" i="7" s="1"/>
  <c r="I195" i="7"/>
  <c r="J195" i="7" s="1"/>
  <c r="K195" i="7"/>
  <c r="L195" i="7" s="1"/>
  <c r="I196" i="7"/>
  <c r="J196" i="7" s="1"/>
  <c r="K196" i="7"/>
  <c r="L196" i="7" s="1"/>
  <c r="I197" i="7"/>
  <c r="J197" i="7" s="1"/>
  <c r="K197" i="7"/>
  <c r="L197" i="7" s="1"/>
  <c r="I198" i="7"/>
  <c r="J198" i="7" s="1"/>
  <c r="K198" i="7"/>
  <c r="L198" i="7" s="1"/>
  <c r="I199" i="7"/>
  <c r="J199" i="7" s="1"/>
  <c r="K199" i="7"/>
  <c r="L199" i="7" s="1"/>
  <c r="I200" i="7"/>
  <c r="J200" i="7" s="1"/>
  <c r="K200" i="7"/>
  <c r="L200" i="7" s="1"/>
  <c r="I201" i="7"/>
  <c r="J201" i="7" s="1"/>
  <c r="K201" i="7"/>
  <c r="L201" i="7" s="1"/>
  <c r="I202" i="7"/>
  <c r="J202" i="7" s="1"/>
  <c r="K202" i="7"/>
  <c r="L202" i="7" s="1"/>
  <c r="I203" i="7"/>
  <c r="J203" i="7" s="1"/>
  <c r="K203" i="7"/>
  <c r="L203" i="7" s="1"/>
  <c r="I204" i="7"/>
  <c r="J204" i="7" s="1"/>
  <c r="K204" i="7"/>
  <c r="L204" i="7" s="1"/>
  <c r="I205" i="7"/>
  <c r="J205" i="7" s="1"/>
  <c r="K205" i="7"/>
  <c r="L205" i="7" s="1"/>
  <c r="I206" i="7"/>
  <c r="J206" i="7" s="1"/>
  <c r="K206" i="7"/>
  <c r="L206" i="7" s="1"/>
  <c r="I207" i="7"/>
  <c r="J207" i="7" s="1"/>
  <c r="K207" i="7"/>
  <c r="L207" i="7" s="1"/>
  <c r="I208" i="7"/>
  <c r="J208" i="7" s="1"/>
  <c r="K208" i="7"/>
  <c r="L208" i="7" s="1"/>
  <c r="I209" i="7"/>
  <c r="J209" i="7" s="1"/>
  <c r="K209" i="7"/>
  <c r="L209" i="7" s="1"/>
  <c r="I210" i="7"/>
  <c r="J210" i="7" s="1"/>
  <c r="K210" i="7"/>
  <c r="L210" i="7" s="1"/>
  <c r="I211" i="7"/>
  <c r="J211" i="7" s="1"/>
  <c r="K211" i="7"/>
  <c r="L211" i="7" s="1"/>
  <c r="I212" i="7"/>
  <c r="J212" i="7" s="1"/>
  <c r="K212" i="7"/>
  <c r="L212" i="7" s="1"/>
  <c r="I213" i="7"/>
  <c r="J213" i="7" s="1"/>
  <c r="K213" i="7"/>
  <c r="L213" i="7" s="1"/>
  <c r="I214" i="7"/>
  <c r="J214" i="7" s="1"/>
  <c r="K214" i="7"/>
  <c r="L214" i="7" s="1"/>
  <c r="I215" i="7"/>
  <c r="J215" i="7" s="1"/>
  <c r="K215" i="7"/>
  <c r="L215" i="7" s="1"/>
  <c r="I216" i="7"/>
  <c r="J216" i="7" s="1"/>
  <c r="K216" i="7"/>
  <c r="L216" i="7" s="1"/>
  <c r="I217" i="7"/>
  <c r="J217" i="7" s="1"/>
  <c r="K217" i="7"/>
  <c r="I218" i="7"/>
  <c r="J218" i="7" s="1"/>
  <c r="K218" i="7"/>
  <c r="L218" i="7" s="1"/>
  <c r="I219" i="7"/>
  <c r="J219" i="7" s="1"/>
  <c r="K219" i="7"/>
  <c r="L219" i="7" s="1"/>
  <c r="I220" i="7"/>
  <c r="J220" i="7" s="1"/>
  <c r="K220" i="7"/>
  <c r="L220" i="7" s="1"/>
  <c r="I221" i="7"/>
  <c r="J221" i="7" s="1"/>
  <c r="K221" i="7"/>
  <c r="L221" i="7" s="1"/>
  <c r="I222" i="7"/>
  <c r="J222" i="7" s="1"/>
  <c r="K222" i="7"/>
  <c r="I224" i="7"/>
  <c r="J224" i="7" s="1"/>
  <c r="K224" i="7"/>
  <c r="L224" i="7" s="1"/>
  <c r="I225" i="7"/>
  <c r="J225" i="7" s="1"/>
  <c r="K225" i="7"/>
  <c r="L225" i="7" s="1"/>
  <c r="I226" i="7"/>
  <c r="J226" i="7" s="1"/>
  <c r="K226" i="7"/>
  <c r="L226" i="7" s="1"/>
  <c r="I227" i="7"/>
  <c r="J227" i="7" s="1"/>
  <c r="K227" i="7"/>
  <c r="L227" i="7" s="1"/>
  <c r="I228" i="7"/>
  <c r="J228" i="7" s="1"/>
  <c r="K228" i="7"/>
  <c r="L228" i="7" s="1"/>
  <c r="I229" i="7"/>
  <c r="J229" i="7" s="1"/>
  <c r="K229" i="7"/>
  <c r="L229" i="7" s="1"/>
  <c r="I230" i="7"/>
  <c r="J230" i="7" s="1"/>
  <c r="K230" i="7"/>
  <c r="L230" i="7" s="1"/>
  <c r="I231" i="7"/>
  <c r="J231" i="7" s="1"/>
  <c r="K231" i="7"/>
  <c r="L231" i="7" s="1"/>
  <c r="I232" i="7"/>
  <c r="J232" i="7" s="1"/>
  <c r="K232" i="7"/>
  <c r="L232" i="7" s="1"/>
  <c r="I233" i="7"/>
  <c r="J233" i="7" s="1"/>
  <c r="K233" i="7"/>
  <c r="L233" i="7" s="1"/>
  <c r="I234" i="7"/>
  <c r="J234" i="7" s="1"/>
  <c r="K234" i="7"/>
  <c r="L234" i="7" s="1"/>
  <c r="I235" i="7"/>
  <c r="J235" i="7" s="1"/>
  <c r="K235" i="7"/>
  <c r="L235" i="7" s="1"/>
  <c r="I236" i="7"/>
  <c r="J236" i="7" s="1"/>
  <c r="K236" i="7"/>
  <c r="L236" i="7" s="1"/>
  <c r="I237" i="7"/>
  <c r="J237" i="7" s="1"/>
  <c r="K237" i="7"/>
  <c r="L237" i="7" s="1"/>
  <c r="I238" i="7"/>
  <c r="J238" i="7" s="1"/>
  <c r="K238" i="7"/>
  <c r="L238" i="7" s="1"/>
  <c r="I239" i="7"/>
  <c r="J239" i="7" s="1"/>
  <c r="K239" i="7"/>
  <c r="L239" i="7" s="1"/>
  <c r="I240" i="7"/>
  <c r="J240" i="7" s="1"/>
  <c r="K240" i="7"/>
  <c r="L240" i="7" s="1"/>
  <c r="I241" i="7"/>
  <c r="J241" i="7" s="1"/>
  <c r="K241" i="7"/>
  <c r="L241" i="7" s="1"/>
  <c r="I242" i="7"/>
  <c r="J242" i="7" s="1"/>
  <c r="K242" i="7"/>
  <c r="L242" i="7" s="1"/>
  <c r="I243" i="7"/>
  <c r="J243" i="7" s="1"/>
  <c r="K243" i="7"/>
  <c r="L243" i="7" s="1"/>
  <c r="I244" i="7"/>
  <c r="J244" i="7" s="1"/>
  <c r="K244" i="7"/>
  <c r="L244" i="7" s="1"/>
  <c r="I245" i="7"/>
  <c r="J245" i="7" s="1"/>
  <c r="K245" i="7"/>
  <c r="L245" i="7" s="1"/>
  <c r="I246" i="7"/>
  <c r="J246" i="7" s="1"/>
  <c r="K246" i="7"/>
  <c r="L246" i="7" s="1"/>
  <c r="I247" i="7"/>
  <c r="J247" i="7" s="1"/>
  <c r="K247" i="7"/>
  <c r="L247" i="7" s="1"/>
  <c r="I248" i="7"/>
  <c r="J248" i="7" s="1"/>
  <c r="K248" i="7"/>
  <c r="L248" i="7" s="1"/>
  <c r="I249" i="7"/>
  <c r="J249" i="7" s="1"/>
  <c r="K249" i="7"/>
  <c r="L249" i="7" s="1"/>
  <c r="I250" i="7"/>
  <c r="J250" i="7" s="1"/>
  <c r="K250" i="7"/>
  <c r="L250" i="7" s="1"/>
  <c r="I251" i="7"/>
  <c r="J251" i="7" s="1"/>
  <c r="K251" i="7"/>
  <c r="L251" i="7" s="1"/>
  <c r="I252" i="7"/>
  <c r="J252" i="7" s="1"/>
  <c r="K252" i="7"/>
  <c r="L252" i="7" s="1"/>
  <c r="I253" i="7"/>
  <c r="J253" i="7" s="1"/>
  <c r="K253" i="7"/>
  <c r="L253" i="7" s="1"/>
  <c r="I254" i="7"/>
  <c r="J254" i="7" s="1"/>
  <c r="K254" i="7"/>
  <c r="L254" i="7" s="1"/>
  <c r="I255" i="7"/>
  <c r="J255" i="7" s="1"/>
  <c r="K255" i="7"/>
  <c r="L255" i="7" s="1"/>
  <c r="I256" i="7"/>
  <c r="J256" i="7" s="1"/>
  <c r="K256" i="7"/>
  <c r="L256" i="7" s="1"/>
  <c r="I257" i="7"/>
  <c r="J257" i="7" s="1"/>
  <c r="K257" i="7"/>
  <c r="L257" i="7" s="1"/>
  <c r="I258" i="7"/>
  <c r="J258" i="7" s="1"/>
  <c r="K258" i="7"/>
  <c r="L258" i="7" s="1"/>
  <c r="I259" i="7"/>
  <c r="J259" i="7" s="1"/>
  <c r="K259" i="7"/>
  <c r="L259" i="7" s="1"/>
  <c r="I260" i="7"/>
  <c r="J260" i="7" s="1"/>
  <c r="K260" i="7"/>
  <c r="L260" i="7" s="1"/>
  <c r="I261" i="7"/>
  <c r="J261" i="7" s="1"/>
  <c r="K261" i="7"/>
  <c r="L261" i="7" s="1"/>
  <c r="I262" i="7"/>
  <c r="J262" i="7" s="1"/>
  <c r="K262" i="7"/>
  <c r="L262" i="7" s="1"/>
  <c r="I263" i="7"/>
  <c r="J263" i="7" s="1"/>
  <c r="K263" i="7"/>
  <c r="L263" i="7" s="1"/>
  <c r="I264" i="7"/>
  <c r="J264" i="7" s="1"/>
  <c r="K264" i="7"/>
  <c r="L264" i="7" s="1"/>
  <c r="I265" i="7"/>
  <c r="J265" i="7" s="1"/>
  <c r="K265" i="7"/>
  <c r="L265" i="7" s="1"/>
  <c r="I266" i="7"/>
  <c r="J266" i="7" s="1"/>
  <c r="K266" i="7"/>
  <c r="L266" i="7" s="1"/>
  <c r="I267" i="7"/>
  <c r="J267" i="7" s="1"/>
  <c r="K267" i="7"/>
  <c r="L267" i="7" s="1"/>
  <c r="I268" i="7"/>
  <c r="J268" i="7" s="1"/>
  <c r="K268" i="7"/>
  <c r="L268" i="7" s="1"/>
  <c r="I269" i="7"/>
  <c r="J269" i="7" s="1"/>
  <c r="K269" i="7"/>
  <c r="L269" i="7" s="1"/>
  <c r="I270" i="7"/>
  <c r="J270" i="7" s="1"/>
  <c r="K270" i="7"/>
  <c r="L270" i="7" s="1"/>
  <c r="I271" i="7"/>
  <c r="J271" i="7" s="1"/>
  <c r="K271" i="7"/>
  <c r="L271" i="7" s="1"/>
  <c r="I272" i="7"/>
  <c r="J272" i="7" s="1"/>
  <c r="K272" i="7"/>
  <c r="L272" i="7" s="1"/>
  <c r="I273" i="7"/>
  <c r="J273" i="7" s="1"/>
  <c r="K273" i="7"/>
  <c r="L273" i="7" s="1"/>
  <c r="I274" i="7"/>
  <c r="J274" i="7" s="1"/>
  <c r="K274" i="7"/>
  <c r="L274" i="7" s="1"/>
  <c r="I275" i="7"/>
  <c r="J275" i="7" s="1"/>
  <c r="K275" i="7"/>
  <c r="L275" i="7" s="1"/>
  <c r="I276" i="7"/>
  <c r="J276" i="7" s="1"/>
  <c r="K276" i="7"/>
  <c r="L276" i="7" s="1"/>
  <c r="I277" i="7"/>
  <c r="J277" i="7" s="1"/>
  <c r="K277" i="7"/>
  <c r="L277" i="7" s="1"/>
  <c r="I278" i="7"/>
  <c r="J278" i="7" s="1"/>
  <c r="K278" i="7"/>
  <c r="L278" i="7" s="1"/>
  <c r="I279" i="7"/>
  <c r="J279" i="7" s="1"/>
  <c r="K279" i="7"/>
  <c r="L279" i="7" s="1"/>
  <c r="I280" i="7"/>
  <c r="J280" i="7" s="1"/>
  <c r="K280" i="7"/>
  <c r="L280" i="7" s="1"/>
  <c r="I281" i="7"/>
  <c r="J281" i="7" s="1"/>
  <c r="K281" i="7"/>
  <c r="L281" i="7" s="1"/>
  <c r="I282" i="7"/>
  <c r="J282" i="7" s="1"/>
  <c r="K282" i="7"/>
  <c r="L282" i="7" s="1"/>
  <c r="I283" i="7"/>
  <c r="J283" i="7" s="1"/>
  <c r="K283" i="7"/>
  <c r="L283" i="7" s="1"/>
  <c r="I284" i="7"/>
  <c r="J284" i="7" s="1"/>
  <c r="K284" i="7"/>
  <c r="L284" i="7" s="1"/>
  <c r="I285" i="7"/>
  <c r="J285" i="7" s="1"/>
  <c r="K285" i="7"/>
  <c r="L285" i="7" s="1"/>
  <c r="I287" i="7"/>
  <c r="J287" i="7" s="1"/>
  <c r="K287" i="7"/>
  <c r="L287" i="7" s="1"/>
  <c r="I288" i="7"/>
  <c r="J288" i="7" s="1"/>
  <c r="K288" i="7"/>
  <c r="L288" i="7" s="1"/>
  <c r="I289" i="7"/>
  <c r="J289" i="7" s="1"/>
  <c r="K289" i="7"/>
  <c r="L289" i="7" s="1"/>
  <c r="I290" i="7"/>
  <c r="J290" i="7" s="1"/>
  <c r="K290" i="7"/>
  <c r="L290" i="7" s="1"/>
  <c r="I291" i="7"/>
  <c r="J291" i="7" s="1"/>
  <c r="K291" i="7"/>
  <c r="L291" i="7" s="1"/>
  <c r="I292" i="7"/>
  <c r="J292" i="7" s="1"/>
  <c r="K292" i="7"/>
  <c r="L292" i="7" s="1"/>
  <c r="I293" i="7"/>
  <c r="J293" i="7" s="1"/>
  <c r="K293" i="7"/>
  <c r="L293" i="7" s="1"/>
  <c r="I294" i="7"/>
  <c r="J294" i="7" s="1"/>
  <c r="K294" i="7"/>
  <c r="L294" i="7" s="1"/>
  <c r="I295" i="7"/>
  <c r="J295" i="7" s="1"/>
  <c r="K295" i="7"/>
  <c r="L295" i="7" s="1"/>
  <c r="I296" i="7"/>
  <c r="J296" i="7" s="1"/>
  <c r="K296" i="7"/>
  <c r="L296" i="7" s="1"/>
  <c r="I297" i="7"/>
  <c r="J297" i="7" s="1"/>
  <c r="K297" i="7"/>
  <c r="L297" i="7" s="1"/>
  <c r="I298" i="7"/>
  <c r="J298" i="7" s="1"/>
  <c r="K298" i="7"/>
  <c r="L298" i="7" s="1"/>
  <c r="I299" i="7"/>
  <c r="J299" i="7" s="1"/>
  <c r="K299" i="7"/>
  <c r="L299" i="7" s="1"/>
  <c r="I300" i="7"/>
  <c r="J300" i="7" s="1"/>
  <c r="K300" i="7"/>
  <c r="L300" i="7" s="1"/>
  <c r="I301" i="7"/>
  <c r="J301" i="7" s="1"/>
  <c r="K301" i="7"/>
  <c r="L301" i="7" s="1"/>
  <c r="I302" i="7"/>
  <c r="J302" i="7" s="1"/>
  <c r="K302" i="7"/>
  <c r="L302" i="7" s="1"/>
  <c r="I303" i="7"/>
  <c r="J303" i="7" s="1"/>
  <c r="K303" i="7"/>
  <c r="L303" i="7" s="1"/>
  <c r="I304" i="7"/>
  <c r="J304" i="7" s="1"/>
  <c r="K304" i="7"/>
  <c r="L304" i="7" s="1"/>
  <c r="I305" i="7"/>
  <c r="J305" i="7" s="1"/>
  <c r="K305" i="7"/>
  <c r="L305" i="7" s="1"/>
  <c r="I306" i="7"/>
  <c r="J306" i="7" s="1"/>
  <c r="K306" i="7"/>
  <c r="L306" i="7" s="1"/>
  <c r="I307" i="7"/>
  <c r="J307" i="7" s="1"/>
  <c r="K307" i="7"/>
  <c r="L307" i="7" s="1"/>
  <c r="I308" i="7"/>
  <c r="J308" i="7" s="1"/>
  <c r="K308" i="7"/>
  <c r="L308" i="7" s="1"/>
  <c r="I309" i="7"/>
  <c r="J309" i="7" s="1"/>
  <c r="K309" i="7"/>
  <c r="L309" i="7" s="1"/>
  <c r="I310" i="7"/>
  <c r="J310" i="7" s="1"/>
  <c r="K310" i="7"/>
  <c r="L310" i="7" s="1"/>
  <c r="I311" i="7"/>
  <c r="J311" i="7" s="1"/>
  <c r="K311" i="7"/>
  <c r="L311" i="7" s="1"/>
  <c r="I312" i="7"/>
  <c r="J312" i="7" s="1"/>
  <c r="K312" i="7"/>
  <c r="L312" i="7" s="1"/>
  <c r="I313" i="7"/>
  <c r="J313" i="7" s="1"/>
  <c r="K313" i="7"/>
  <c r="L313" i="7" s="1"/>
  <c r="I314" i="7"/>
  <c r="J314" i="7" s="1"/>
  <c r="K314" i="7"/>
  <c r="L314" i="7" s="1"/>
  <c r="I315" i="7"/>
  <c r="J315" i="7" s="1"/>
  <c r="K315" i="7"/>
  <c r="L315" i="7" s="1"/>
  <c r="I316" i="7"/>
  <c r="J316" i="7" s="1"/>
  <c r="K316" i="7"/>
  <c r="L316" i="7" s="1"/>
  <c r="I317" i="7"/>
  <c r="J317" i="7" s="1"/>
  <c r="K317" i="7"/>
  <c r="L317" i="7" s="1"/>
  <c r="I318" i="7"/>
  <c r="J318" i="7" s="1"/>
  <c r="K318" i="7"/>
  <c r="L318" i="7" s="1"/>
  <c r="I319" i="7"/>
  <c r="J319" i="7" s="1"/>
  <c r="K319" i="7"/>
  <c r="L319" i="7" s="1"/>
  <c r="I320" i="7"/>
  <c r="J320" i="7" s="1"/>
  <c r="K320" i="7"/>
  <c r="L320" i="7" s="1"/>
  <c r="I321" i="7"/>
  <c r="J321" i="7" s="1"/>
  <c r="K321" i="7"/>
  <c r="L321" i="7" s="1"/>
  <c r="I322" i="7"/>
  <c r="J322" i="7" s="1"/>
  <c r="K322" i="7"/>
  <c r="L322" i="7" s="1"/>
  <c r="I323" i="7"/>
  <c r="J323" i="7" s="1"/>
  <c r="K323" i="7"/>
  <c r="L323" i="7" s="1"/>
  <c r="I324" i="7"/>
  <c r="J324" i="7" s="1"/>
  <c r="K324" i="7"/>
  <c r="L324" i="7" s="1"/>
  <c r="I325" i="7"/>
  <c r="J325" i="7" s="1"/>
  <c r="K325" i="7"/>
  <c r="L325" i="7" s="1"/>
  <c r="I326" i="7"/>
  <c r="J326" i="7" s="1"/>
  <c r="K326" i="7"/>
  <c r="L326" i="7" s="1"/>
  <c r="I327" i="7"/>
  <c r="J327" i="7" s="1"/>
  <c r="K327" i="7"/>
  <c r="L327" i="7" s="1"/>
  <c r="I328" i="7"/>
  <c r="J328" i="7" s="1"/>
  <c r="K328" i="7"/>
  <c r="L328" i="7" s="1"/>
  <c r="I329" i="7"/>
  <c r="J329" i="7" s="1"/>
  <c r="K329" i="7"/>
  <c r="L329" i="7" s="1"/>
  <c r="I330" i="7"/>
  <c r="J330" i="7" s="1"/>
  <c r="K330" i="7"/>
  <c r="L330" i="7" s="1"/>
  <c r="I331" i="7"/>
  <c r="J331" i="7" s="1"/>
  <c r="K331" i="7"/>
  <c r="L331" i="7" s="1"/>
  <c r="I332" i="7"/>
  <c r="J332" i="7" s="1"/>
  <c r="K332" i="7"/>
  <c r="L332" i="7" s="1"/>
  <c r="I333" i="7"/>
  <c r="J333" i="7" s="1"/>
  <c r="K333" i="7"/>
  <c r="L333" i="7" s="1"/>
  <c r="I334" i="7"/>
  <c r="J334" i="7" s="1"/>
  <c r="K334" i="7"/>
  <c r="L334" i="7" s="1"/>
  <c r="I335" i="7"/>
  <c r="J335" i="7" s="1"/>
  <c r="K335" i="7"/>
  <c r="L335" i="7" s="1"/>
  <c r="I336" i="7"/>
  <c r="J336" i="7" s="1"/>
  <c r="K336" i="7"/>
  <c r="L336" i="7" s="1"/>
  <c r="I343" i="7"/>
  <c r="J343" i="7" s="1"/>
  <c r="K343" i="7"/>
  <c r="L343" i="7" s="1"/>
  <c r="I344" i="7"/>
  <c r="J344" i="7" s="1"/>
  <c r="K344" i="7"/>
  <c r="L344" i="7" s="1"/>
  <c r="I345" i="7"/>
  <c r="J345" i="7" s="1"/>
  <c r="K345" i="7"/>
  <c r="L345" i="7" s="1"/>
  <c r="I346" i="7"/>
  <c r="J346" i="7" s="1"/>
  <c r="K346" i="7"/>
  <c r="L346" i="7" s="1"/>
  <c r="I347" i="7"/>
  <c r="J347" i="7" s="1"/>
  <c r="K347" i="7"/>
  <c r="L347" i="7" s="1"/>
  <c r="I348" i="7"/>
  <c r="J348" i="7" s="1"/>
  <c r="K348" i="7"/>
  <c r="L348" i="7" s="1"/>
  <c r="I349" i="7"/>
  <c r="J349" i="7" s="1"/>
  <c r="K349" i="7"/>
  <c r="L349" i="7" s="1"/>
  <c r="I350" i="7"/>
  <c r="J350" i="7" s="1"/>
  <c r="K350" i="7"/>
  <c r="L350" i="7" s="1"/>
  <c r="I351" i="7"/>
  <c r="J351" i="7" s="1"/>
  <c r="K351" i="7"/>
  <c r="L351" i="7" s="1"/>
  <c r="I352" i="7"/>
  <c r="J352" i="7" s="1"/>
  <c r="K352" i="7"/>
  <c r="L352" i="7" s="1"/>
  <c r="I353" i="7"/>
  <c r="J353" i="7" s="1"/>
  <c r="K353" i="7"/>
  <c r="L353" i="7" s="1"/>
  <c r="I354" i="7"/>
  <c r="J354" i="7" s="1"/>
  <c r="K354" i="7"/>
  <c r="L354" i="7" s="1"/>
  <c r="I355" i="7"/>
  <c r="J355" i="7" s="1"/>
  <c r="K355" i="7"/>
  <c r="L355" i="7" s="1"/>
  <c r="I356" i="7"/>
  <c r="J356" i="7" s="1"/>
  <c r="K356" i="7"/>
  <c r="L356" i="7" s="1"/>
  <c r="I357" i="7"/>
  <c r="J357" i="7" s="1"/>
  <c r="K357" i="7"/>
  <c r="L357" i="7" s="1"/>
  <c r="I358" i="7"/>
  <c r="J358" i="7" s="1"/>
  <c r="K358" i="7"/>
  <c r="L358" i="7" s="1"/>
  <c r="I359" i="7"/>
  <c r="J359" i="7" s="1"/>
  <c r="K359" i="7"/>
  <c r="L359" i="7" s="1"/>
  <c r="I360" i="7"/>
  <c r="J360" i="7" s="1"/>
  <c r="K360" i="7"/>
  <c r="I361" i="7"/>
  <c r="J361" i="7" s="1"/>
  <c r="K361" i="7"/>
  <c r="I362" i="7"/>
  <c r="J362" i="7" s="1"/>
  <c r="K362" i="7"/>
  <c r="I363" i="7"/>
  <c r="J363" i="7" s="1"/>
  <c r="K363" i="7"/>
  <c r="I364" i="7"/>
  <c r="J364" i="7" s="1"/>
  <c r="K364" i="7"/>
  <c r="I365" i="7"/>
  <c r="J365" i="7" s="1"/>
  <c r="K365" i="7"/>
  <c r="I366" i="7"/>
  <c r="J366" i="7" s="1"/>
  <c r="K366" i="7"/>
  <c r="I368" i="7"/>
  <c r="J368" i="7" s="1"/>
  <c r="K368" i="7"/>
  <c r="L368" i="7" s="1"/>
  <c r="I369" i="7"/>
  <c r="J369" i="7" s="1"/>
  <c r="K369" i="7"/>
  <c r="L369" i="7" s="1"/>
  <c r="I370" i="7"/>
  <c r="J370" i="7" s="1"/>
  <c r="K370" i="7"/>
  <c r="L370" i="7" s="1"/>
  <c r="I371" i="7"/>
  <c r="J371" i="7" s="1"/>
  <c r="K371" i="7"/>
  <c r="L371" i="7" s="1"/>
  <c r="I372" i="7"/>
  <c r="J372" i="7" s="1"/>
  <c r="K372" i="7"/>
  <c r="L372" i="7" s="1"/>
  <c r="I373" i="7"/>
  <c r="J373" i="7" s="1"/>
  <c r="K373" i="7"/>
  <c r="L373" i="7" s="1"/>
  <c r="I374" i="7"/>
  <c r="J374" i="7" s="1"/>
  <c r="K374" i="7"/>
  <c r="L374" i="7" s="1"/>
  <c r="I375" i="7"/>
  <c r="J375" i="7" s="1"/>
  <c r="K375" i="7"/>
  <c r="L375" i="7" s="1"/>
  <c r="I376" i="7"/>
  <c r="J376" i="7" s="1"/>
  <c r="K376" i="7"/>
  <c r="L376" i="7" s="1"/>
  <c r="I377" i="7"/>
  <c r="J377" i="7" s="1"/>
  <c r="K377" i="7"/>
  <c r="L377" i="7" s="1"/>
  <c r="I378" i="7"/>
  <c r="J378" i="7" s="1"/>
  <c r="K378" i="7"/>
  <c r="L378" i="7" s="1"/>
  <c r="I379" i="7"/>
  <c r="J379" i="7" s="1"/>
  <c r="K379" i="7"/>
  <c r="L379" i="7" s="1"/>
  <c r="I380" i="7"/>
  <c r="J380" i="7" s="1"/>
  <c r="K380" i="7"/>
  <c r="L380" i="7" s="1"/>
  <c r="I381" i="7"/>
  <c r="J381" i="7" s="1"/>
  <c r="K381" i="7"/>
  <c r="L381" i="7" s="1"/>
  <c r="I382" i="7"/>
  <c r="J382" i="7" s="1"/>
  <c r="K382" i="7"/>
  <c r="L382" i="7" s="1"/>
  <c r="I383" i="7"/>
  <c r="J383" i="7" s="1"/>
  <c r="K383" i="7"/>
  <c r="L383" i="7" s="1"/>
  <c r="I384" i="7"/>
  <c r="J384" i="7" s="1"/>
  <c r="K384" i="7"/>
  <c r="L384" i="7" s="1"/>
  <c r="I385" i="7"/>
  <c r="J385" i="7" s="1"/>
  <c r="K385" i="7"/>
  <c r="L385" i="7" s="1"/>
  <c r="I386" i="7"/>
  <c r="J386" i="7" s="1"/>
  <c r="K386" i="7"/>
  <c r="L386" i="7" s="1"/>
  <c r="I387" i="7"/>
  <c r="J387" i="7" s="1"/>
  <c r="K387" i="7"/>
  <c r="L387" i="7" s="1"/>
  <c r="I388" i="7"/>
  <c r="J388" i="7" s="1"/>
  <c r="K388" i="7"/>
  <c r="L388" i="7" s="1"/>
  <c r="I389" i="7"/>
  <c r="J389" i="7" s="1"/>
  <c r="K389" i="7"/>
  <c r="L389" i="7" s="1"/>
  <c r="I390" i="7"/>
  <c r="J390" i="7" s="1"/>
  <c r="K390" i="7"/>
  <c r="L390" i="7" s="1"/>
  <c r="I391" i="7"/>
  <c r="J391" i="7" s="1"/>
  <c r="K391" i="7"/>
  <c r="L391" i="7" s="1"/>
  <c r="I392" i="7"/>
  <c r="J392" i="7" s="1"/>
  <c r="K392" i="7"/>
  <c r="L392" i="7" s="1"/>
  <c r="I393" i="7"/>
  <c r="J393" i="7" s="1"/>
  <c r="K393" i="7"/>
  <c r="L393" i="7" s="1"/>
  <c r="I394" i="7"/>
  <c r="J394" i="7" s="1"/>
  <c r="K394" i="7"/>
  <c r="L394" i="7" s="1"/>
  <c r="I395" i="7"/>
  <c r="J395" i="7" s="1"/>
  <c r="K395" i="7"/>
  <c r="L395" i="7" s="1"/>
  <c r="I396" i="7"/>
  <c r="J396" i="7" s="1"/>
  <c r="K396" i="7"/>
  <c r="L396" i="7" s="1"/>
  <c r="I397" i="7"/>
  <c r="J397" i="7" s="1"/>
  <c r="K397" i="7"/>
  <c r="L397" i="7" s="1"/>
  <c r="I398" i="7"/>
  <c r="J398" i="7" s="1"/>
  <c r="K398" i="7"/>
  <c r="L398" i="7" s="1"/>
  <c r="I399" i="7"/>
  <c r="J399" i="7" s="1"/>
  <c r="K399" i="7"/>
  <c r="L399" i="7" s="1"/>
  <c r="I400" i="7"/>
  <c r="J400" i="7" s="1"/>
  <c r="K400" i="7"/>
  <c r="L400" i="7" s="1"/>
  <c r="I401" i="7"/>
  <c r="J401" i="7" s="1"/>
  <c r="K401" i="7"/>
  <c r="L401" i="7" s="1"/>
  <c r="I402" i="7"/>
  <c r="J402" i="7" s="1"/>
  <c r="K402" i="7"/>
  <c r="L402" i="7" s="1"/>
  <c r="I403" i="7"/>
  <c r="J403" i="7" s="1"/>
  <c r="K403" i="7"/>
  <c r="L403" i="7" s="1"/>
  <c r="I404" i="7"/>
  <c r="J404" i="7" s="1"/>
  <c r="K404" i="7"/>
  <c r="L404" i="7" s="1"/>
  <c r="I405" i="7"/>
  <c r="J405" i="7" s="1"/>
  <c r="K405" i="7"/>
  <c r="L405" i="7" s="1"/>
  <c r="I406" i="7"/>
  <c r="J406" i="7" s="1"/>
  <c r="K406" i="7"/>
  <c r="L406" i="7" s="1"/>
  <c r="I407" i="7"/>
  <c r="J407" i="7" s="1"/>
  <c r="K407" i="7"/>
  <c r="L407" i="7" s="1"/>
  <c r="I408" i="7"/>
  <c r="J408" i="7" s="1"/>
  <c r="K408" i="7"/>
  <c r="L408" i="7" s="1"/>
  <c r="I409" i="7"/>
  <c r="J409" i="7" s="1"/>
  <c r="K409" i="7"/>
  <c r="L409" i="7" s="1"/>
  <c r="I410" i="7"/>
  <c r="J410" i="7" s="1"/>
  <c r="K410" i="7"/>
  <c r="L410" i="7" s="1"/>
  <c r="I411" i="7"/>
  <c r="J411" i="7" s="1"/>
  <c r="K411" i="7"/>
  <c r="L411" i="7" s="1"/>
  <c r="I412" i="7"/>
  <c r="J412" i="7" s="1"/>
  <c r="K412" i="7"/>
  <c r="L412" i="7" s="1"/>
  <c r="I413" i="7"/>
  <c r="J413" i="7" s="1"/>
  <c r="K413" i="7"/>
  <c r="L413" i="7" s="1"/>
  <c r="I414" i="7"/>
  <c r="J414" i="7" s="1"/>
  <c r="K414" i="7"/>
  <c r="L414" i="7" s="1"/>
  <c r="I415" i="7"/>
  <c r="J415" i="7" s="1"/>
  <c r="K415" i="7"/>
  <c r="L415" i="7" s="1"/>
  <c r="I416" i="7"/>
  <c r="J416" i="7" s="1"/>
  <c r="K416" i="7"/>
  <c r="L416" i="7" s="1"/>
  <c r="I417" i="7"/>
  <c r="J417" i="7" s="1"/>
  <c r="K417" i="7"/>
  <c r="L417" i="7" s="1"/>
  <c r="I418" i="7"/>
  <c r="J418" i="7" s="1"/>
  <c r="K418" i="7"/>
  <c r="L418" i="7" s="1"/>
  <c r="I419" i="7"/>
  <c r="J419" i="7" s="1"/>
  <c r="K419" i="7"/>
  <c r="L419" i="7" s="1"/>
  <c r="I420" i="7"/>
  <c r="J420" i="7" s="1"/>
  <c r="K420" i="7"/>
  <c r="L420" i="7" s="1"/>
  <c r="I421" i="7"/>
  <c r="J421" i="7" s="1"/>
  <c r="K421" i="7"/>
  <c r="L421" i="7" s="1"/>
  <c r="I422" i="7"/>
  <c r="J422" i="7" s="1"/>
  <c r="K422" i="7"/>
  <c r="L422" i="7" s="1"/>
  <c r="I423" i="7"/>
  <c r="J423" i="7" s="1"/>
  <c r="K423" i="7"/>
  <c r="L423" i="7" s="1"/>
  <c r="I424" i="7"/>
  <c r="J424" i="7" s="1"/>
  <c r="K424" i="7"/>
  <c r="L424" i="7" s="1"/>
  <c r="I425" i="7"/>
  <c r="J425" i="7" s="1"/>
  <c r="K425" i="7"/>
  <c r="L425" i="7" s="1"/>
  <c r="I426" i="7"/>
  <c r="J426" i="7" s="1"/>
  <c r="K426" i="7"/>
  <c r="L426" i="7" s="1"/>
  <c r="I427" i="7"/>
  <c r="J427" i="7" s="1"/>
  <c r="K427" i="7"/>
  <c r="L427" i="7" s="1"/>
  <c r="I428" i="7"/>
  <c r="J428" i="7" s="1"/>
  <c r="K428" i="7"/>
  <c r="L428" i="7" s="1"/>
  <c r="I429" i="7"/>
  <c r="J429" i="7" s="1"/>
  <c r="K429" i="7"/>
  <c r="L429" i="7" s="1"/>
  <c r="I430" i="7"/>
  <c r="J430" i="7" s="1"/>
  <c r="K430" i="7"/>
  <c r="L430" i="7" s="1"/>
  <c r="I431" i="7"/>
  <c r="J431" i="7" s="1"/>
  <c r="K431" i="7"/>
  <c r="L431" i="7" s="1"/>
  <c r="I432" i="7"/>
  <c r="J432" i="7" s="1"/>
  <c r="K432" i="7"/>
  <c r="L432" i="7" s="1"/>
  <c r="I433" i="7"/>
  <c r="J433" i="7" s="1"/>
  <c r="K433" i="7"/>
  <c r="L433" i="7" s="1"/>
  <c r="I434" i="7"/>
  <c r="J434" i="7" s="1"/>
  <c r="K434" i="7"/>
  <c r="L434" i="7" s="1"/>
  <c r="I435" i="7"/>
  <c r="J435" i="7" s="1"/>
  <c r="K435" i="7"/>
  <c r="L435" i="7" s="1"/>
  <c r="I436" i="7"/>
  <c r="J436" i="7" s="1"/>
  <c r="K436" i="7"/>
  <c r="L436" i="7" s="1"/>
  <c r="I437" i="7"/>
  <c r="J437" i="7" s="1"/>
  <c r="K437" i="7"/>
  <c r="L437" i="7" s="1"/>
  <c r="I438" i="7"/>
  <c r="J438" i="7" s="1"/>
  <c r="K438" i="7"/>
  <c r="L438" i="7" s="1"/>
  <c r="I439" i="7"/>
  <c r="J439" i="7" s="1"/>
  <c r="K439" i="7"/>
  <c r="L439" i="7" s="1"/>
  <c r="I440" i="7"/>
  <c r="J440" i="7" s="1"/>
  <c r="K440" i="7"/>
  <c r="L440" i="7" s="1"/>
  <c r="I441" i="7"/>
  <c r="J441" i="7" s="1"/>
  <c r="K441" i="7"/>
  <c r="L441" i="7" s="1"/>
  <c r="I442" i="7"/>
  <c r="J442" i="7" s="1"/>
  <c r="K442" i="7"/>
  <c r="L442" i="7" s="1"/>
  <c r="I443" i="7"/>
  <c r="J443" i="7" s="1"/>
  <c r="K443" i="7"/>
  <c r="L443" i="7" s="1"/>
  <c r="I444" i="7"/>
  <c r="J444" i="7" s="1"/>
  <c r="K444" i="7"/>
  <c r="L444" i="7" s="1"/>
  <c r="I445" i="7"/>
  <c r="J445" i="7" s="1"/>
  <c r="K445" i="7"/>
  <c r="L445" i="7" s="1"/>
  <c r="I446" i="7"/>
  <c r="J446" i="7" s="1"/>
  <c r="K446" i="7"/>
  <c r="L446" i="7" s="1"/>
  <c r="I447" i="7"/>
  <c r="J447" i="7" s="1"/>
  <c r="K447" i="7"/>
  <c r="L447" i="7" s="1"/>
  <c r="I448" i="7"/>
  <c r="J448" i="7" s="1"/>
  <c r="K448" i="7"/>
  <c r="L448" i="7" s="1"/>
  <c r="I449" i="7"/>
  <c r="J449" i="7" s="1"/>
  <c r="K449" i="7"/>
  <c r="L449" i="7" s="1"/>
  <c r="I450" i="7"/>
  <c r="J450" i="7" s="1"/>
  <c r="K450" i="7"/>
  <c r="L450" i="7" s="1"/>
  <c r="I451" i="7"/>
  <c r="J451" i="7" s="1"/>
  <c r="K451" i="7"/>
  <c r="L451" i="7" s="1"/>
  <c r="I452" i="7"/>
  <c r="J452" i="7" s="1"/>
  <c r="K452" i="7"/>
  <c r="L452" i="7" s="1"/>
  <c r="I453" i="7"/>
  <c r="J453" i="7" s="1"/>
  <c r="K453" i="7"/>
  <c r="L453" i="7" s="1"/>
  <c r="I454" i="7"/>
  <c r="J454" i="7" s="1"/>
  <c r="K454" i="7"/>
  <c r="L454" i="7" s="1"/>
  <c r="I455" i="7"/>
  <c r="J455" i="7" s="1"/>
  <c r="K455" i="7"/>
  <c r="L455" i="7" s="1"/>
  <c r="I456" i="7"/>
  <c r="J456" i="7" s="1"/>
  <c r="K456" i="7"/>
  <c r="L456" i="7" s="1"/>
  <c r="I458" i="7"/>
  <c r="J458" i="7" s="1"/>
  <c r="K458" i="7"/>
  <c r="L458" i="7" s="1"/>
  <c r="I459" i="7"/>
  <c r="J459" i="7" s="1"/>
  <c r="K459" i="7"/>
  <c r="L459" i="7" s="1"/>
  <c r="I460" i="7"/>
  <c r="J460" i="7" s="1"/>
  <c r="K460" i="7"/>
  <c r="L460" i="7" s="1"/>
  <c r="I461" i="7"/>
  <c r="J461" i="7" s="1"/>
  <c r="K461" i="7"/>
  <c r="L461" i="7" s="1"/>
  <c r="I462" i="7"/>
  <c r="J462" i="7" s="1"/>
  <c r="K462" i="7"/>
  <c r="L462" i="7" s="1"/>
  <c r="I463" i="7"/>
  <c r="J463" i="7" s="1"/>
  <c r="K463" i="7"/>
  <c r="L463" i="7" s="1"/>
  <c r="I464" i="7"/>
  <c r="J464" i="7" s="1"/>
  <c r="K464" i="7"/>
  <c r="L464" i="7" s="1"/>
  <c r="I465" i="7"/>
  <c r="J465" i="7" s="1"/>
  <c r="K465" i="7"/>
  <c r="L465" i="7" s="1"/>
  <c r="I466" i="7"/>
  <c r="J466" i="7" s="1"/>
  <c r="K466" i="7"/>
  <c r="L466" i="7" s="1"/>
  <c r="I467" i="7"/>
  <c r="J467" i="7" s="1"/>
  <c r="K467" i="7"/>
  <c r="L467" i="7" s="1"/>
  <c r="I468" i="7"/>
  <c r="J468" i="7" s="1"/>
  <c r="K468" i="7"/>
  <c r="L468" i="7" s="1"/>
  <c r="I469" i="7"/>
  <c r="J469" i="7" s="1"/>
  <c r="K469" i="7"/>
  <c r="L469" i="7" s="1"/>
  <c r="I470" i="7"/>
  <c r="J470" i="7" s="1"/>
  <c r="K470" i="7"/>
  <c r="L470" i="7" s="1"/>
  <c r="I471" i="7"/>
  <c r="J471" i="7" s="1"/>
  <c r="K471" i="7"/>
  <c r="L471" i="7" s="1"/>
  <c r="I472" i="7"/>
  <c r="J472" i="7" s="1"/>
  <c r="K472" i="7"/>
  <c r="L472" i="7" s="1"/>
  <c r="I473" i="7"/>
  <c r="J473" i="7" s="1"/>
  <c r="K473" i="7"/>
  <c r="L473" i="7" s="1"/>
  <c r="I474" i="7"/>
  <c r="J474" i="7" s="1"/>
  <c r="K474" i="7"/>
  <c r="L474" i="7" s="1"/>
  <c r="I475" i="7"/>
  <c r="J475" i="7" s="1"/>
  <c r="K475" i="7"/>
  <c r="L475" i="7" s="1"/>
  <c r="I476" i="7"/>
  <c r="J476" i="7" s="1"/>
  <c r="K476" i="7"/>
  <c r="L476" i="7" s="1"/>
  <c r="I477" i="7"/>
  <c r="J477" i="7" s="1"/>
  <c r="K477" i="7"/>
  <c r="L477" i="7" s="1"/>
  <c r="I478" i="7"/>
  <c r="J478" i="7" s="1"/>
  <c r="K478" i="7"/>
  <c r="L478" i="7" s="1"/>
  <c r="I479" i="7"/>
  <c r="J479" i="7" s="1"/>
  <c r="K479" i="7"/>
  <c r="L479" i="7" s="1"/>
  <c r="I480" i="7"/>
  <c r="J480" i="7" s="1"/>
  <c r="K480" i="7"/>
  <c r="L480" i="7" s="1"/>
  <c r="I481" i="7"/>
  <c r="J481" i="7" s="1"/>
  <c r="K481" i="7"/>
  <c r="L481" i="7" s="1"/>
  <c r="I482" i="7"/>
  <c r="J482" i="7" s="1"/>
  <c r="K482" i="7"/>
  <c r="L482" i="7" s="1"/>
  <c r="I483" i="7"/>
  <c r="J483" i="7" s="1"/>
  <c r="K483" i="7"/>
  <c r="L483" i="7" s="1"/>
  <c r="I484" i="7"/>
  <c r="J484" i="7" s="1"/>
  <c r="K484" i="7"/>
  <c r="L484" i="7" s="1"/>
  <c r="I485" i="7"/>
  <c r="J485" i="7" s="1"/>
  <c r="K485" i="7"/>
  <c r="L485" i="7" s="1"/>
  <c r="I486" i="7"/>
  <c r="J486" i="7" s="1"/>
  <c r="K486" i="7"/>
  <c r="L486" i="7" s="1"/>
  <c r="I487" i="7"/>
  <c r="J487" i="7" s="1"/>
  <c r="K487" i="7"/>
  <c r="L487" i="7" s="1"/>
  <c r="I488" i="7"/>
  <c r="J488" i="7" s="1"/>
  <c r="K488" i="7"/>
  <c r="I489" i="7"/>
  <c r="J489" i="7" s="1"/>
  <c r="K489" i="7"/>
  <c r="I490" i="7"/>
  <c r="J490" i="7" s="1"/>
  <c r="K490" i="7"/>
  <c r="I491" i="7"/>
  <c r="J491" i="7" s="1"/>
  <c r="K491" i="7"/>
  <c r="I492" i="7"/>
  <c r="J492" i="7" s="1"/>
  <c r="K492" i="7"/>
  <c r="I493" i="7"/>
  <c r="J493" i="7" s="1"/>
  <c r="K493" i="7"/>
  <c r="I494" i="7"/>
  <c r="J494" i="7" s="1"/>
  <c r="K494" i="7"/>
  <c r="I495" i="7"/>
  <c r="J495" i="7" s="1"/>
  <c r="K495" i="7"/>
  <c r="I496" i="7"/>
  <c r="J496" i="7" s="1"/>
  <c r="K496" i="7"/>
  <c r="I497" i="7"/>
  <c r="J497" i="7" s="1"/>
  <c r="K497" i="7"/>
  <c r="I498" i="7"/>
  <c r="J498" i="7" s="1"/>
  <c r="K498" i="7"/>
  <c r="I500" i="7"/>
  <c r="J500" i="7" s="1"/>
  <c r="K500" i="7"/>
  <c r="L500" i="7" s="1"/>
  <c r="I501" i="7"/>
  <c r="J501" i="7" s="1"/>
  <c r="K501" i="7"/>
  <c r="L501" i="7" s="1"/>
  <c r="I502" i="7"/>
  <c r="J502" i="7" s="1"/>
  <c r="K502" i="7"/>
  <c r="L502" i="7" s="1"/>
  <c r="I503" i="7"/>
  <c r="J503" i="7" s="1"/>
  <c r="K503" i="7"/>
  <c r="L503" i="7" s="1"/>
  <c r="I504" i="7"/>
  <c r="J504" i="7" s="1"/>
  <c r="K504" i="7"/>
  <c r="L504" i="7" s="1"/>
  <c r="I505" i="7"/>
  <c r="J505" i="7" s="1"/>
  <c r="K505" i="7"/>
  <c r="L505" i="7" s="1"/>
  <c r="I506" i="7"/>
  <c r="J506" i="7" s="1"/>
  <c r="K506" i="7"/>
  <c r="L506" i="7" s="1"/>
  <c r="I507" i="7"/>
  <c r="J507" i="7" s="1"/>
  <c r="K507" i="7"/>
  <c r="L507" i="7" s="1"/>
  <c r="I508" i="7"/>
  <c r="J508" i="7" s="1"/>
  <c r="K508" i="7"/>
  <c r="I510" i="7"/>
  <c r="J510" i="7" s="1"/>
  <c r="K510" i="7"/>
  <c r="L510" i="7" s="1"/>
  <c r="I511" i="7"/>
  <c r="J511" i="7" s="1"/>
  <c r="K511" i="7"/>
  <c r="L511" i="7" s="1"/>
  <c r="I512" i="7"/>
  <c r="J512" i="7" s="1"/>
  <c r="K512" i="7"/>
  <c r="L512" i="7" s="1"/>
  <c r="I513" i="7"/>
  <c r="J513" i="7" s="1"/>
  <c r="K513" i="7"/>
  <c r="L513" i="7" s="1"/>
  <c r="I514" i="7"/>
  <c r="J514" i="7" s="1"/>
  <c r="K514" i="7"/>
  <c r="L514" i="7" s="1"/>
  <c r="I515" i="7"/>
  <c r="J515" i="7" s="1"/>
  <c r="K515" i="7"/>
  <c r="L515" i="7" s="1"/>
  <c r="I516" i="7"/>
  <c r="J516" i="7" s="1"/>
  <c r="K516" i="7"/>
  <c r="L516" i="7" s="1"/>
  <c r="I517" i="7"/>
  <c r="J517" i="7" s="1"/>
  <c r="K517" i="7"/>
  <c r="L517" i="7" s="1"/>
  <c r="I518" i="7"/>
  <c r="J518" i="7" s="1"/>
  <c r="K518" i="7"/>
  <c r="L518" i="7" s="1"/>
  <c r="I519" i="7"/>
  <c r="J519" i="7" s="1"/>
  <c r="K519" i="7"/>
  <c r="L519" i="7" s="1"/>
  <c r="I520" i="7"/>
  <c r="J520" i="7" s="1"/>
  <c r="K520" i="7"/>
  <c r="L520" i="7" s="1"/>
  <c r="I521" i="7"/>
  <c r="J521" i="7" s="1"/>
  <c r="K521" i="7"/>
  <c r="L521" i="7" s="1"/>
  <c r="I522" i="7"/>
  <c r="J522" i="7" s="1"/>
  <c r="K522" i="7"/>
  <c r="L522" i="7" s="1"/>
  <c r="I523" i="7"/>
  <c r="J523" i="7" s="1"/>
  <c r="K523" i="7"/>
  <c r="L523" i="7" s="1"/>
  <c r="I524" i="7"/>
  <c r="J524" i="7" s="1"/>
  <c r="K524" i="7"/>
  <c r="L524" i="7" s="1"/>
  <c r="I525" i="7"/>
  <c r="J525" i="7" s="1"/>
  <c r="K525" i="7"/>
  <c r="L525" i="7" s="1"/>
  <c r="I526" i="7"/>
  <c r="J526" i="7" s="1"/>
  <c r="K526" i="7"/>
  <c r="I527" i="7"/>
  <c r="J527" i="7" s="1"/>
  <c r="K527" i="7"/>
  <c r="I528" i="7"/>
  <c r="J528" i="7" s="1"/>
  <c r="K528" i="7"/>
  <c r="I530" i="7"/>
  <c r="J530" i="7" s="1"/>
  <c r="K530" i="7"/>
  <c r="L530" i="7" s="1"/>
  <c r="I531" i="7"/>
  <c r="J531" i="7" s="1"/>
  <c r="K531" i="7"/>
  <c r="L531" i="7" s="1"/>
  <c r="I532" i="7"/>
  <c r="J532" i="7" s="1"/>
  <c r="K532" i="7"/>
  <c r="L532" i="7" s="1"/>
  <c r="I533" i="7"/>
  <c r="J533" i="7" s="1"/>
  <c r="K533" i="7"/>
  <c r="L533" i="7" s="1"/>
  <c r="I534" i="7"/>
  <c r="J534" i="7" s="1"/>
  <c r="K534" i="7"/>
  <c r="L534" i="7" s="1"/>
  <c r="I535" i="7"/>
  <c r="J535" i="7" s="1"/>
  <c r="K535" i="7"/>
  <c r="L535" i="7" s="1"/>
  <c r="I536" i="7"/>
  <c r="J536" i="7" s="1"/>
  <c r="K536" i="7"/>
  <c r="L536" i="7" s="1"/>
  <c r="I537" i="7"/>
  <c r="J537" i="7" s="1"/>
  <c r="K537" i="7"/>
  <c r="L537" i="7" s="1"/>
  <c r="I538" i="7"/>
  <c r="J538" i="7" s="1"/>
  <c r="K538" i="7"/>
  <c r="L538" i="7" s="1"/>
  <c r="I539" i="7"/>
  <c r="J539" i="7" s="1"/>
  <c r="K539" i="7"/>
  <c r="L539" i="7" s="1"/>
  <c r="I540" i="7"/>
  <c r="J540" i="7" s="1"/>
  <c r="K540" i="7"/>
  <c r="L540" i="7" s="1"/>
  <c r="I541" i="7"/>
  <c r="J541" i="7" s="1"/>
  <c r="K541" i="7"/>
  <c r="I542" i="7"/>
  <c r="J542" i="7" s="1"/>
  <c r="K542" i="7"/>
  <c r="I544" i="7"/>
  <c r="J544" i="7" s="1"/>
  <c r="K544" i="7"/>
  <c r="L544" i="7" s="1"/>
  <c r="I545" i="7"/>
  <c r="J545" i="7" s="1"/>
  <c r="K545" i="7"/>
  <c r="L545" i="7" s="1"/>
  <c r="I546" i="7"/>
  <c r="J546" i="7" s="1"/>
  <c r="K546" i="7"/>
  <c r="L546" i="7" s="1"/>
  <c r="I547" i="7"/>
  <c r="J547" i="7" s="1"/>
  <c r="K547" i="7"/>
  <c r="L547" i="7" s="1"/>
  <c r="I548" i="7"/>
  <c r="J548" i="7" s="1"/>
  <c r="K548" i="7"/>
  <c r="L548" i="7" s="1"/>
  <c r="I549" i="7"/>
  <c r="J549" i="7" s="1"/>
  <c r="K549" i="7"/>
  <c r="L549" i="7" s="1"/>
  <c r="I550" i="7"/>
  <c r="J550" i="7" s="1"/>
  <c r="K550" i="7"/>
  <c r="L550" i="7" s="1"/>
  <c r="I551" i="7"/>
  <c r="J551" i="7" s="1"/>
  <c r="K551" i="7"/>
  <c r="L551" i="7" s="1"/>
  <c r="I552" i="7"/>
  <c r="J552" i="7" s="1"/>
  <c r="K552" i="7"/>
  <c r="L552" i="7" s="1"/>
  <c r="I553" i="7"/>
  <c r="J553" i="7" s="1"/>
  <c r="K553" i="7"/>
  <c r="L553" i="7" s="1"/>
  <c r="I554" i="7"/>
  <c r="J554" i="7" s="1"/>
  <c r="K554" i="7"/>
  <c r="L554" i="7" s="1"/>
  <c r="I555" i="7"/>
  <c r="J555" i="7" s="1"/>
  <c r="K555" i="7"/>
  <c r="L555" i="7" s="1"/>
  <c r="I556" i="7"/>
  <c r="J556" i="7" s="1"/>
  <c r="K556" i="7"/>
  <c r="L556" i="7" s="1"/>
  <c r="I557" i="7"/>
  <c r="J557" i="7" s="1"/>
  <c r="K557" i="7"/>
  <c r="L557" i="7" s="1"/>
  <c r="I558" i="7"/>
  <c r="J558" i="7" s="1"/>
  <c r="K558" i="7"/>
  <c r="I559" i="7"/>
  <c r="J559" i="7" s="1"/>
  <c r="K559" i="7"/>
  <c r="I560" i="7"/>
  <c r="J560" i="7" s="1"/>
  <c r="K560" i="7"/>
  <c r="I561" i="7"/>
  <c r="J561" i="7" s="1"/>
  <c r="K561" i="7"/>
  <c r="I562" i="7"/>
  <c r="J562" i="7" s="1"/>
  <c r="K562" i="7"/>
  <c r="I563" i="7"/>
  <c r="J563" i="7" s="1"/>
  <c r="K563" i="7"/>
  <c r="I564" i="7"/>
  <c r="J564" i="7" s="1"/>
  <c r="K564" i="7"/>
  <c r="L564" i="7" s="1"/>
  <c r="I565" i="7"/>
  <c r="J565" i="7" s="1"/>
  <c r="K565" i="7"/>
  <c r="L565" i="7" s="1"/>
  <c r="I567" i="7"/>
  <c r="J567" i="7" s="1"/>
  <c r="K567" i="7"/>
  <c r="L567" i="7" s="1"/>
  <c r="I568" i="7"/>
  <c r="J568" i="7" s="1"/>
  <c r="K568" i="7"/>
  <c r="L568" i="7" s="1"/>
  <c r="I569" i="7"/>
  <c r="J569" i="7" s="1"/>
  <c r="K569" i="7"/>
  <c r="L569" i="7" s="1"/>
  <c r="I570" i="7"/>
  <c r="J570" i="7" s="1"/>
  <c r="K570" i="7"/>
  <c r="L570" i="7" s="1"/>
  <c r="I571" i="7"/>
  <c r="J571" i="7" s="1"/>
  <c r="K571" i="7"/>
  <c r="L571" i="7" s="1"/>
  <c r="I572" i="7"/>
  <c r="J572" i="7" s="1"/>
  <c r="K572" i="7"/>
  <c r="L572" i="7" s="1"/>
  <c r="I573" i="7"/>
  <c r="J573" i="7" s="1"/>
  <c r="K573" i="7"/>
  <c r="L573" i="7" s="1"/>
  <c r="I574" i="7"/>
  <c r="J574" i="7" s="1"/>
  <c r="K574" i="7"/>
  <c r="L574" i="7" s="1"/>
  <c r="I575" i="7"/>
  <c r="J575" i="7" s="1"/>
  <c r="K575" i="7"/>
  <c r="L575" i="7" s="1"/>
  <c r="I576" i="7"/>
  <c r="J576" i="7" s="1"/>
  <c r="K576" i="7"/>
  <c r="L576" i="7" s="1"/>
  <c r="I577" i="7"/>
  <c r="J577" i="7" s="1"/>
  <c r="K577" i="7"/>
  <c r="L577" i="7" s="1"/>
  <c r="I578" i="7"/>
  <c r="J578" i="7" s="1"/>
  <c r="K578" i="7"/>
  <c r="L578" i="7" s="1"/>
  <c r="I579" i="7"/>
  <c r="J579" i="7" s="1"/>
  <c r="K579" i="7"/>
  <c r="L579" i="7" s="1"/>
  <c r="I580" i="7"/>
  <c r="J580" i="7" s="1"/>
  <c r="K580" i="7"/>
  <c r="L580" i="7" s="1"/>
  <c r="I581" i="7"/>
  <c r="J581" i="7" s="1"/>
  <c r="K581" i="7"/>
  <c r="L581" i="7" s="1"/>
  <c r="I582" i="7"/>
  <c r="J582" i="7" s="1"/>
  <c r="K582" i="7"/>
  <c r="L582" i="7" s="1"/>
  <c r="I583" i="7"/>
  <c r="J583" i="7" s="1"/>
  <c r="K583" i="7"/>
  <c r="L583" i="7" s="1"/>
  <c r="I584" i="7"/>
  <c r="J584" i="7" s="1"/>
  <c r="K584" i="7"/>
  <c r="L584" i="7" s="1"/>
  <c r="I585" i="7"/>
  <c r="J585" i="7" s="1"/>
  <c r="K585" i="7"/>
  <c r="L585" i="7" s="1"/>
  <c r="I586" i="7"/>
  <c r="J586" i="7" s="1"/>
  <c r="K586" i="7"/>
  <c r="L586" i="7" s="1"/>
  <c r="I587" i="7"/>
  <c r="J587" i="7" s="1"/>
  <c r="K587" i="7"/>
  <c r="L587" i="7" s="1"/>
  <c r="I588" i="7"/>
  <c r="J588" i="7" s="1"/>
  <c r="K588" i="7"/>
  <c r="L588" i="7" s="1"/>
  <c r="I589" i="7"/>
  <c r="J589" i="7" s="1"/>
  <c r="K589" i="7"/>
  <c r="L589" i="7" s="1"/>
  <c r="I590" i="7"/>
  <c r="J590" i="7" s="1"/>
  <c r="K590" i="7"/>
  <c r="L590" i="7" s="1"/>
  <c r="I591" i="7"/>
  <c r="J591" i="7" s="1"/>
  <c r="K591" i="7"/>
  <c r="L591" i="7" s="1"/>
  <c r="I592" i="7"/>
  <c r="J592" i="7" s="1"/>
  <c r="K592" i="7"/>
  <c r="L592" i="7" s="1"/>
  <c r="I593" i="7"/>
  <c r="J593" i="7" s="1"/>
  <c r="K593" i="7"/>
  <c r="L593" i="7" s="1"/>
  <c r="I594" i="7"/>
  <c r="J594" i="7" s="1"/>
  <c r="K594" i="7"/>
  <c r="L594" i="7" s="1"/>
  <c r="I595" i="7"/>
  <c r="J595" i="7" s="1"/>
  <c r="K595" i="7"/>
  <c r="L595" i="7" s="1"/>
  <c r="I596" i="7"/>
  <c r="J596" i="7" s="1"/>
  <c r="K596" i="7"/>
  <c r="L596" i="7" s="1"/>
  <c r="I597" i="7"/>
  <c r="J597" i="7" s="1"/>
  <c r="K597" i="7"/>
  <c r="L597" i="7" s="1"/>
  <c r="I598" i="7"/>
  <c r="J598" i="7" s="1"/>
  <c r="K598" i="7"/>
  <c r="L598" i="7" s="1"/>
  <c r="I599" i="7"/>
  <c r="J599" i="7" s="1"/>
  <c r="K599" i="7"/>
  <c r="L599" i="7" s="1"/>
  <c r="I600" i="7"/>
  <c r="J600" i="7" s="1"/>
  <c r="K600" i="7"/>
  <c r="L600" i="7" s="1"/>
  <c r="I601" i="7"/>
  <c r="J601" i="7" s="1"/>
  <c r="K601" i="7"/>
  <c r="L601" i="7" s="1"/>
  <c r="I602" i="7"/>
  <c r="J602" i="7" s="1"/>
  <c r="K602" i="7"/>
  <c r="L602" i="7" s="1"/>
  <c r="I603" i="7"/>
  <c r="J603" i="7" s="1"/>
  <c r="K603" i="7"/>
  <c r="L603" i="7" s="1"/>
  <c r="I604" i="7"/>
  <c r="J604" i="7" s="1"/>
  <c r="K604" i="7"/>
  <c r="L604" i="7" s="1"/>
  <c r="I605" i="7"/>
  <c r="J605" i="7" s="1"/>
  <c r="K605" i="7"/>
  <c r="L605" i="7" s="1"/>
  <c r="I606" i="7"/>
  <c r="J606" i="7" s="1"/>
  <c r="K606" i="7"/>
  <c r="L606" i="7" s="1"/>
  <c r="I607" i="7"/>
  <c r="J607" i="7" s="1"/>
  <c r="K607" i="7"/>
  <c r="L607" i="7" s="1"/>
  <c r="I608" i="7"/>
  <c r="J608" i="7" s="1"/>
  <c r="K608" i="7"/>
  <c r="L608" i="7" s="1"/>
  <c r="I609" i="7"/>
  <c r="J609" i="7" s="1"/>
  <c r="K609" i="7"/>
  <c r="L609" i="7" s="1"/>
  <c r="I611" i="7"/>
  <c r="J611" i="7" s="1"/>
  <c r="K611" i="7"/>
  <c r="L611" i="7" s="1"/>
  <c r="I612" i="7"/>
  <c r="J612" i="7" s="1"/>
  <c r="K612" i="7"/>
  <c r="L612" i="7" s="1"/>
  <c r="I614" i="7"/>
  <c r="J614" i="7" s="1"/>
  <c r="K614" i="7"/>
  <c r="L614" i="7" s="1"/>
  <c r="I615" i="7"/>
  <c r="J615" i="7" s="1"/>
  <c r="K615" i="7"/>
  <c r="L615" i="7" s="1"/>
  <c r="I616" i="7"/>
  <c r="J616" i="7" s="1"/>
  <c r="K616" i="7"/>
  <c r="L616" i="7" s="1"/>
  <c r="I617" i="7"/>
  <c r="J617" i="7" s="1"/>
  <c r="K617" i="7"/>
  <c r="L617" i="7" s="1"/>
  <c r="I618" i="7"/>
  <c r="J618" i="7" s="1"/>
  <c r="K618" i="7"/>
  <c r="L618" i="7" s="1"/>
  <c r="I619" i="7"/>
  <c r="J619" i="7" s="1"/>
  <c r="K619" i="7"/>
  <c r="L619" i="7" s="1"/>
  <c r="I620" i="7"/>
  <c r="J620" i="7" s="1"/>
  <c r="K620" i="7"/>
  <c r="L620" i="7" s="1"/>
  <c r="I621" i="7"/>
  <c r="J621" i="7" s="1"/>
  <c r="K621" i="7"/>
  <c r="L621" i="7" s="1"/>
  <c r="I622" i="7"/>
  <c r="J622" i="7" s="1"/>
  <c r="K622" i="7"/>
  <c r="L622" i="7" s="1"/>
  <c r="I623" i="7"/>
  <c r="J623" i="7" s="1"/>
  <c r="K623" i="7"/>
  <c r="L623" i="7" s="1"/>
  <c r="I624" i="7"/>
  <c r="J624" i="7" s="1"/>
  <c r="K624" i="7"/>
  <c r="L624" i="7" s="1"/>
  <c r="I625" i="7"/>
  <c r="J625" i="7" s="1"/>
  <c r="K625" i="7"/>
  <c r="L625" i="7" s="1"/>
  <c r="I626" i="7"/>
  <c r="J626" i="7" s="1"/>
  <c r="K626" i="7"/>
  <c r="L626" i="7" s="1"/>
  <c r="I627" i="7"/>
  <c r="J627" i="7" s="1"/>
  <c r="K627" i="7"/>
  <c r="L627" i="7" s="1"/>
  <c r="I628" i="7"/>
  <c r="J628" i="7" s="1"/>
  <c r="K628" i="7"/>
  <c r="L628" i="7" s="1"/>
  <c r="I629" i="7"/>
  <c r="J629" i="7" s="1"/>
  <c r="K629" i="7"/>
  <c r="L629" i="7" s="1"/>
  <c r="I630" i="7"/>
  <c r="J630" i="7" s="1"/>
  <c r="K630" i="7"/>
  <c r="L630" i="7" s="1"/>
  <c r="I631" i="7"/>
  <c r="J631" i="7" s="1"/>
  <c r="K631" i="7"/>
  <c r="L631" i="7" s="1"/>
  <c r="I632" i="7"/>
  <c r="J632" i="7" s="1"/>
  <c r="K632" i="7"/>
  <c r="L632" i="7" s="1"/>
  <c r="I633" i="7"/>
  <c r="J633" i="7" s="1"/>
  <c r="K633" i="7"/>
  <c r="L633" i="7" s="1"/>
  <c r="I634" i="7"/>
  <c r="J634" i="7" s="1"/>
  <c r="K634" i="7"/>
  <c r="L634" i="7" s="1"/>
  <c r="I635" i="7"/>
  <c r="J635" i="7" s="1"/>
  <c r="K635" i="7"/>
  <c r="L635" i="7" s="1"/>
  <c r="I636" i="7"/>
  <c r="J636" i="7" s="1"/>
  <c r="K636" i="7"/>
  <c r="L636" i="7" s="1"/>
  <c r="I637" i="7"/>
  <c r="J637" i="7" s="1"/>
  <c r="K637" i="7"/>
  <c r="L637" i="7" s="1"/>
  <c r="I638" i="7"/>
  <c r="J638" i="7" s="1"/>
  <c r="K638" i="7"/>
  <c r="L638" i="7" s="1"/>
  <c r="I639" i="7"/>
  <c r="J639" i="7" s="1"/>
  <c r="K639" i="7"/>
  <c r="L639" i="7" s="1"/>
  <c r="I640" i="7"/>
  <c r="J640" i="7" s="1"/>
  <c r="K640" i="7"/>
  <c r="L640" i="7" s="1"/>
  <c r="I641" i="7"/>
  <c r="J641" i="7" s="1"/>
  <c r="K641" i="7"/>
  <c r="L641" i="7" s="1"/>
  <c r="I642" i="7"/>
  <c r="J642" i="7" s="1"/>
  <c r="K642" i="7"/>
  <c r="L642" i="7" s="1"/>
  <c r="I643" i="7"/>
  <c r="J643" i="7" s="1"/>
  <c r="K643" i="7"/>
  <c r="L643" i="7" s="1"/>
  <c r="I644" i="7"/>
  <c r="J644" i="7" s="1"/>
  <c r="K644" i="7"/>
  <c r="L644" i="7" s="1"/>
  <c r="I645" i="7"/>
  <c r="J645" i="7" s="1"/>
  <c r="K645" i="7"/>
  <c r="L645" i="7" s="1"/>
  <c r="I646" i="7"/>
  <c r="J646" i="7" s="1"/>
  <c r="K646" i="7"/>
  <c r="L646" i="7" s="1"/>
  <c r="I647" i="7"/>
  <c r="J647" i="7" s="1"/>
  <c r="K647" i="7"/>
  <c r="L647" i="7" s="1"/>
  <c r="I648" i="7"/>
  <c r="J648" i="7" s="1"/>
  <c r="K648" i="7"/>
  <c r="L648" i="7" s="1"/>
  <c r="I649" i="7"/>
  <c r="J649" i="7" s="1"/>
  <c r="K649" i="7"/>
  <c r="L649" i="7" s="1"/>
  <c r="I650" i="7"/>
  <c r="J650" i="7" s="1"/>
  <c r="K650" i="7"/>
  <c r="I651" i="7"/>
  <c r="J651" i="7" s="1"/>
  <c r="K651" i="7"/>
  <c r="I653" i="7"/>
  <c r="J653" i="7" s="1"/>
  <c r="K653" i="7"/>
  <c r="L653" i="7" s="1"/>
  <c r="I654" i="7"/>
  <c r="J654" i="7" s="1"/>
  <c r="K654" i="7"/>
  <c r="L654" i="7" s="1"/>
  <c r="I655" i="7"/>
  <c r="J655" i="7" s="1"/>
  <c r="K655" i="7"/>
  <c r="L655" i="7" s="1"/>
  <c r="I656" i="7"/>
  <c r="J656" i="7" s="1"/>
  <c r="K656" i="7"/>
  <c r="L656" i="7" s="1"/>
  <c r="I657" i="7"/>
  <c r="J657" i="7" s="1"/>
  <c r="K657" i="7"/>
  <c r="L657" i="7" s="1"/>
  <c r="I658" i="7"/>
  <c r="J658" i="7" s="1"/>
  <c r="K658" i="7"/>
  <c r="L658" i="7" s="1"/>
  <c r="I659" i="7"/>
  <c r="J659" i="7" s="1"/>
  <c r="K659" i="7"/>
  <c r="L659" i="7" s="1"/>
  <c r="I660" i="7"/>
  <c r="J660" i="7" s="1"/>
  <c r="K660" i="7"/>
  <c r="L660" i="7" s="1"/>
  <c r="I661" i="7"/>
  <c r="J661" i="7" s="1"/>
  <c r="K661" i="7"/>
  <c r="L661" i="7" s="1"/>
  <c r="I662" i="7"/>
  <c r="J662" i="7" s="1"/>
  <c r="K662" i="7"/>
  <c r="L662" i="7" s="1"/>
  <c r="I663" i="7"/>
  <c r="J663" i="7" s="1"/>
  <c r="K663" i="7"/>
  <c r="L663" i="7" s="1"/>
  <c r="I664" i="7"/>
  <c r="J664" i="7" s="1"/>
  <c r="K664" i="7"/>
  <c r="L664" i="7" s="1"/>
  <c r="I665" i="7"/>
  <c r="J665" i="7" s="1"/>
  <c r="K665" i="7"/>
  <c r="L665" i="7" s="1"/>
  <c r="I666" i="7"/>
  <c r="J666" i="7" s="1"/>
  <c r="K666" i="7"/>
  <c r="L666" i="7" s="1"/>
  <c r="I667" i="7"/>
  <c r="J667" i="7" s="1"/>
  <c r="K667" i="7"/>
  <c r="L667" i="7" s="1"/>
  <c r="I668" i="7"/>
  <c r="J668" i="7" s="1"/>
  <c r="K668" i="7"/>
  <c r="L668" i="7" s="1"/>
  <c r="I669" i="7"/>
  <c r="J669" i="7" s="1"/>
  <c r="K669" i="7"/>
  <c r="L669" i="7" s="1"/>
  <c r="I670" i="7"/>
  <c r="J670" i="7" s="1"/>
  <c r="K670" i="7"/>
  <c r="L670" i="7" s="1"/>
  <c r="I672" i="7"/>
  <c r="J672" i="7" s="1"/>
  <c r="K672" i="7"/>
  <c r="L672" i="7" s="1"/>
  <c r="I673" i="7"/>
  <c r="J673" i="7" s="1"/>
  <c r="K673" i="7"/>
  <c r="L673" i="7" s="1"/>
  <c r="I674" i="7"/>
  <c r="J674" i="7" s="1"/>
  <c r="K674" i="7"/>
  <c r="L674" i="7" s="1"/>
  <c r="I675" i="7"/>
  <c r="J675" i="7" s="1"/>
  <c r="K675" i="7"/>
  <c r="L675" i="7" s="1"/>
  <c r="I676" i="7"/>
  <c r="J676" i="7" s="1"/>
  <c r="K676" i="7"/>
  <c r="L676" i="7" s="1"/>
  <c r="I677" i="7"/>
  <c r="J677" i="7" s="1"/>
  <c r="K677" i="7"/>
  <c r="L677" i="7" s="1"/>
  <c r="I678" i="7"/>
  <c r="J678" i="7" s="1"/>
  <c r="K678" i="7"/>
  <c r="L678" i="7" s="1"/>
  <c r="I679" i="7"/>
  <c r="J679" i="7" s="1"/>
  <c r="K679" i="7"/>
  <c r="L679" i="7" s="1"/>
  <c r="I680" i="7"/>
  <c r="J680" i="7" s="1"/>
  <c r="K680" i="7"/>
  <c r="L680" i="7" s="1"/>
  <c r="I681" i="7"/>
  <c r="J681" i="7" s="1"/>
  <c r="K681" i="7"/>
  <c r="L681" i="7" s="1"/>
  <c r="I683" i="7"/>
  <c r="J683" i="7" s="1"/>
  <c r="K683" i="7"/>
  <c r="L683" i="7" s="1"/>
  <c r="I684" i="7"/>
  <c r="J684" i="7" s="1"/>
  <c r="K684" i="7"/>
  <c r="L684" i="7" s="1"/>
  <c r="I685" i="7"/>
  <c r="J685" i="7" s="1"/>
  <c r="K685" i="7"/>
  <c r="L685" i="7" s="1"/>
  <c r="I686" i="7"/>
  <c r="J686" i="7" s="1"/>
  <c r="K686" i="7"/>
  <c r="L686" i="7" s="1"/>
  <c r="I687" i="7"/>
  <c r="J687" i="7" s="1"/>
  <c r="K687" i="7"/>
  <c r="L687" i="7" s="1"/>
  <c r="I688" i="7"/>
  <c r="J688" i="7" s="1"/>
  <c r="K688" i="7"/>
  <c r="L688" i="7" s="1"/>
  <c r="I689" i="7"/>
  <c r="J689" i="7" s="1"/>
  <c r="K689" i="7"/>
  <c r="L689" i="7" s="1"/>
  <c r="I690" i="7"/>
  <c r="J690" i="7" s="1"/>
  <c r="K690" i="7"/>
  <c r="L690" i="7" s="1"/>
  <c r="I691" i="7"/>
  <c r="J691" i="7" s="1"/>
  <c r="K691" i="7"/>
  <c r="L691" i="7" s="1"/>
  <c r="I692" i="7"/>
  <c r="J692" i="7" s="1"/>
  <c r="K692" i="7"/>
  <c r="L692" i="7" s="1"/>
  <c r="I693" i="7"/>
  <c r="J693" i="7" s="1"/>
  <c r="K693" i="7"/>
  <c r="L693" i="7" s="1"/>
  <c r="I694" i="7"/>
  <c r="J694" i="7" s="1"/>
  <c r="K694" i="7"/>
  <c r="L694" i="7" s="1"/>
  <c r="I695" i="7"/>
  <c r="J695" i="7" s="1"/>
  <c r="K695" i="7"/>
  <c r="L695" i="7" s="1"/>
  <c r="I696" i="7"/>
  <c r="J696" i="7" s="1"/>
  <c r="K696" i="7"/>
  <c r="L696" i="7" s="1"/>
  <c r="I697" i="7"/>
  <c r="J697" i="7" s="1"/>
  <c r="K697" i="7"/>
  <c r="L697" i="7" s="1"/>
  <c r="I698" i="7"/>
  <c r="J698" i="7" s="1"/>
  <c r="K698" i="7"/>
  <c r="L698" i="7" s="1"/>
  <c r="I699" i="7"/>
  <c r="J699" i="7" s="1"/>
  <c r="K699" i="7"/>
  <c r="L699" i="7" s="1"/>
  <c r="I701" i="7"/>
  <c r="J701" i="7" s="1"/>
  <c r="K701" i="7"/>
  <c r="I702" i="7"/>
  <c r="J702" i="7" s="1"/>
  <c r="K702" i="7"/>
  <c r="L702" i="7" s="1"/>
  <c r="I703" i="7"/>
  <c r="J703" i="7" s="1"/>
  <c r="K703" i="7"/>
  <c r="L703" i="7" s="1"/>
  <c r="I704" i="7"/>
  <c r="J704" i="7" s="1"/>
  <c r="K704" i="7"/>
  <c r="L704" i="7" s="1"/>
  <c r="I705" i="7"/>
  <c r="J705" i="7" s="1"/>
  <c r="K705" i="7"/>
  <c r="L705" i="7" s="1"/>
  <c r="I706" i="7"/>
  <c r="J706" i="7" s="1"/>
  <c r="K706" i="7"/>
  <c r="L706" i="7" s="1"/>
  <c r="I707" i="7"/>
  <c r="J707" i="7" s="1"/>
  <c r="K707" i="7"/>
  <c r="L707" i="7" s="1"/>
  <c r="I708" i="7"/>
  <c r="J708" i="7" s="1"/>
  <c r="K708" i="7"/>
  <c r="L708" i="7" s="1"/>
  <c r="I709" i="7"/>
  <c r="J709" i="7" s="1"/>
  <c r="K709" i="7"/>
  <c r="L709" i="7" s="1"/>
  <c r="I710" i="7"/>
  <c r="J710" i="7" s="1"/>
  <c r="K710" i="7"/>
  <c r="L710" i="7" s="1"/>
  <c r="I711" i="7"/>
  <c r="J711" i="7" s="1"/>
  <c r="K711" i="7"/>
  <c r="L711" i="7" s="1"/>
  <c r="I712" i="7"/>
  <c r="J712" i="7" s="1"/>
  <c r="K712" i="7"/>
  <c r="L712" i="7" s="1"/>
  <c r="I713" i="7"/>
  <c r="J713" i="7" s="1"/>
  <c r="K713" i="7"/>
  <c r="L713" i="7" s="1"/>
  <c r="I714" i="7"/>
  <c r="J714" i="7" s="1"/>
  <c r="K714" i="7"/>
  <c r="L714" i="7" s="1"/>
  <c r="I715" i="7"/>
  <c r="J715" i="7" s="1"/>
  <c r="K715" i="7"/>
  <c r="L715" i="7" s="1"/>
  <c r="I716" i="7"/>
  <c r="J716" i="7" s="1"/>
  <c r="K716" i="7"/>
  <c r="L716" i="7" s="1"/>
  <c r="I717" i="7"/>
  <c r="J717" i="7" s="1"/>
  <c r="K717" i="7"/>
  <c r="L717" i="7" s="1"/>
  <c r="I718" i="7"/>
  <c r="J718" i="7" s="1"/>
  <c r="K718" i="7"/>
  <c r="L718" i="7" s="1"/>
  <c r="I719" i="7"/>
  <c r="J719" i="7" s="1"/>
  <c r="K719" i="7"/>
  <c r="L719" i="7" s="1"/>
  <c r="I720" i="7"/>
  <c r="J720" i="7" s="1"/>
  <c r="K720" i="7"/>
  <c r="L720" i="7" s="1"/>
  <c r="I721" i="7"/>
  <c r="J721" i="7" s="1"/>
  <c r="K721" i="7"/>
  <c r="L721" i="7" s="1"/>
  <c r="I722" i="7"/>
  <c r="J722" i="7" s="1"/>
  <c r="K722" i="7"/>
  <c r="L722" i="7" s="1"/>
  <c r="I723" i="7"/>
  <c r="J723" i="7" s="1"/>
  <c r="K723" i="7"/>
  <c r="L723" i="7" s="1"/>
  <c r="I725" i="7"/>
  <c r="J725" i="7" s="1"/>
  <c r="K725" i="7"/>
  <c r="L725" i="7" s="1"/>
  <c r="I726" i="7"/>
  <c r="J726" i="7" s="1"/>
  <c r="K726" i="7"/>
  <c r="L726" i="7" s="1"/>
  <c r="I727" i="7"/>
  <c r="J727" i="7" s="1"/>
  <c r="K727" i="7"/>
  <c r="L727" i="7" s="1"/>
  <c r="I728" i="7"/>
  <c r="J728" i="7" s="1"/>
  <c r="K728" i="7"/>
  <c r="L728" i="7" s="1"/>
  <c r="I729" i="7"/>
  <c r="J729" i="7" s="1"/>
  <c r="K729" i="7"/>
  <c r="L729" i="7" s="1"/>
  <c r="I730" i="7"/>
  <c r="J730" i="7" s="1"/>
  <c r="K730" i="7"/>
  <c r="L730" i="7" s="1"/>
  <c r="I731" i="7"/>
  <c r="J731" i="7" s="1"/>
  <c r="K731" i="7"/>
  <c r="L731" i="7" s="1"/>
  <c r="I732" i="7"/>
  <c r="J732" i="7" s="1"/>
  <c r="K732" i="7"/>
  <c r="L732" i="7" s="1"/>
  <c r="I733" i="7"/>
  <c r="J733" i="7" s="1"/>
  <c r="K733" i="7"/>
  <c r="L733" i="7" s="1"/>
  <c r="I734" i="7"/>
  <c r="J734" i="7" s="1"/>
  <c r="K734" i="7"/>
  <c r="L734" i="7" s="1"/>
  <c r="I736" i="7"/>
  <c r="J736" i="7" s="1"/>
  <c r="K736" i="7"/>
  <c r="L736" i="7" s="1"/>
  <c r="I737" i="7"/>
  <c r="J737" i="7" s="1"/>
  <c r="K737" i="7"/>
  <c r="I738" i="7"/>
  <c r="J738" i="7" s="1"/>
  <c r="K738" i="7"/>
  <c r="L738" i="7" s="1"/>
  <c r="I739" i="7"/>
  <c r="J739" i="7" s="1"/>
  <c r="K739" i="7"/>
  <c r="L739" i="7" s="1"/>
  <c r="I740" i="7"/>
  <c r="J740" i="7" s="1"/>
  <c r="K740" i="7"/>
  <c r="L740" i="7" s="1"/>
  <c r="I741" i="7"/>
  <c r="J741" i="7" s="1"/>
  <c r="K741" i="7"/>
  <c r="L741" i="7" s="1"/>
  <c r="I742" i="7"/>
  <c r="J742" i="7" s="1"/>
  <c r="K742" i="7"/>
  <c r="I743" i="7"/>
  <c r="J743" i="7" s="1"/>
  <c r="K743" i="7"/>
  <c r="L743" i="7" s="1"/>
  <c r="I744" i="7"/>
  <c r="J744" i="7" s="1"/>
  <c r="K744" i="7"/>
  <c r="I745" i="7"/>
  <c r="K745" i="7"/>
  <c r="I746" i="7"/>
  <c r="K746" i="7"/>
  <c r="I747" i="7"/>
  <c r="J747" i="7" s="1"/>
  <c r="K747" i="7"/>
  <c r="L747" i="7" s="1"/>
  <c r="I748" i="7"/>
  <c r="J748" i="7" s="1"/>
  <c r="K748" i="7"/>
  <c r="L748" i="7" s="1"/>
  <c r="I749" i="7"/>
  <c r="J749" i="7" s="1"/>
  <c r="K749" i="7"/>
  <c r="I750" i="7"/>
  <c r="J750" i="7" s="1"/>
  <c r="K750" i="7"/>
  <c r="I751" i="7"/>
  <c r="J751" i="7" s="1"/>
  <c r="K751" i="7"/>
  <c r="I752" i="7"/>
  <c r="K752" i="7"/>
  <c r="I753" i="7"/>
  <c r="K753" i="7"/>
  <c r="I754" i="7"/>
  <c r="J754" i="7" s="1"/>
  <c r="K754" i="7"/>
  <c r="I756" i="7"/>
  <c r="J756" i="7" s="1"/>
  <c r="K756" i="7"/>
  <c r="L756" i="7" s="1"/>
  <c r="I757" i="7"/>
  <c r="J757" i="7" s="1"/>
  <c r="K757" i="7"/>
  <c r="L757" i="7" s="1"/>
  <c r="I758" i="7"/>
  <c r="J758" i="7" s="1"/>
  <c r="K758" i="7"/>
  <c r="L758" i="7" s="1"/>
  <c r="I759" i="7"/>
  <c r="J759" i="7" s="1"/>
  <c r="K759" i="7"/>
  <c r="L759" i="7" s="1"/>
  <c r="I760" i="7"/>
  <c r="J760" i="7" s="1"/>
  <c r="K760" i="7"/>
  <c r="L760" i="7" s="1"/>
  <c r="I761" i="7"/>
  <c r="J761" i="7" s="1"/>
  <c r="K761" i="7"/>
  <c r="L761" i="7" s="1"/>
  <c r="I762" i="7"/>
  <c r="J762" i="7" s="1"/>
  <c r="K762" i="7"/>
  <c r="L762" i="7" s="1"/>
  <c r="I763" i="7"/>
  <c r="J763" i="7" s="1"/>
  <c r="K763" i="7"/>
  <c r="L763" i="7" s="1"/>
  <c r="I765" i="7"/>
  <c r="J765" i="7" s="1"/>
  <c r="K765" i="7"/>
  <c r="L765" i="7" s="1"/>
  <c r="I766" i="7"/>
  <c r="J766" i="7" s="1"/>
  <c r="K766" i="7"/>
  <c r="L766" i="7" s="1"/>
  <c r="I767" i="7"/>
  <c r="J767" i="7" s="1"/>
  <c r="K767" i="7"/>
  <c r="L767" i="7" s="1"/>
  <c r="I768" i="7"/>
  <c r="J768" i="7" s="1"/>
  <c r="K768" i="7"/>
  <c r="L768" i="7" s="1"/>
  <c r="I769" i="7"/>
  <c r="J769" i="7" s="1"/>
  <c r="K769" i="7"/>
  <c r="L769" i="7" s="1"/>
  <c r="I770" i="7"/>
  <c r="J770" i="7" s="1"/>
  <c r="K770" i="7"/>
  <c r="L770" i="7" s="1"/>
  <c r="I771" i="7"/>
  <c r="J771" i="7" s="1"/>
  <c r="K771" i="7"/>
  <c r="L771" i="7" s="1"/>
  <c r="I772" i="7"/>
  <c r="J772" i="7" s="1"/>
  <c r="K772" i="7"/>
  <c r="L772" i="7" s="1"/>
  <c r="I773" i="7"/>
  <c r="J773" i="7" s="1"/>
  <c r="K773" i="7"/>
  <c r="L773" i="7" s="1"/>
  <c r="I774" i="7"/>
  <c r="J774" i="7" s="1"/>
  <c r="K774" i="7"/>
  <c r="L774" i="7" s="1"/>
  <c r="I775" i="7"/>
  <c r="J775" i="7" s="1"/>
  <c r="K775" i="7"/>
  <c r="L775" i="7" s="1"/>
  <c r="I776" i="7"/>
  <c r="J776" i="7" s="1"/>
  <c r="K776" i="7"/>
  <c r="L776" i="7" s="1"/>
  <c r="I777" i="7"/>
  <c r="J777" i="7" s="1"/>
  <c r="K777" i="7"/>
  <c r="L777" i="7" s="1"/>
  <c r="I778" i="7"/>
  <c r="J778" i="7" s="1"/>
  <c r="K778" i="7"/>
  <c r="L778" i="7" s="1"/>
  <c r="I779" i="7"/>
  <c r="J779" i="7" s="1"/>
  <c r="K779" i="7"/>
  <c r="L779" i="7" s="1"/>
  <c r="I780" i="7"/>
  <c r="J780" i="7" s="1"/>
  <c r="K780" i="7"/>
  <c r="L780" i="7" s="1"/>
  <c r="I781" i="7"/>
  <c r="J781" i="7" s="1"/>
  <c r="K781" i="7"/>
  <c r="L781" i="7" s="1"/>
  <c r="I782" i="7"/>
  <c r="J782" i="7" s="1"/>
  <c r="K782" i="7"/>
  <c r="L782" i="7" s="1"/>
  <c r="I783" i="7"/>
  <c r="J783" i="7" s="1"/>
  <c r="K783" i="7"/>
  <c r="L783" i="7" s="1"/>
  <c r="I784" i="7"/>
  <c r="J784" i="7" s="1"/>
  <c r="K784" i="7"/>
  <c r="L784" i="7" s="1"/>
  <c r="I785" i="7"/>
  <c r="J785" i="7" s="1"/>
  <c r="K785" i="7"/>
  <c r="L785" i="7" s="1"/>
  <c r="I786" i="7"/>
  <c r="J786" i="7" s="1"/>
  <c r="K786" i="7"/>
  <c r="L786" i="7" s="1"/>
  <c r="I787" i="7"/>
  <c r="J787" i="7" s="1"/>
  <c r="K787" i="7"/>
  <c r="L787" i="7" s="1"/>
  <c r="I788" i="7"/>
  <c r="J788" i="7" s="1"/>
  <c r="K788" i="7"/>
  <c r="L788" i="7" s="1"/>
  <c r="I789" i="7"/>
  <c r="J789" i="7" s="1"/>
  <c r="K789" i="7"/>
  <c r="L789" i="7" s="1"/>
  <c r="I790" i="7"/>
  <c r="J790" i="7" s="1"/>
  <c r="K790" i="7"/>
  <c r="L790" i="7" s="1"/>
  <c r="I791" i="7"/>
  <c r="J791" i="7" s="1"/>
  <c r="K791" i="7"/>
  <c r="L791" i="7" s="1"/>
  <c r="I792" i="7"/>
  <c r="J792" i="7" s="1"/>
  <c r="K792" i="7"/>
  <c r="L792" i="7" s="1"/>
  <c r="I793" i="7"/>
  <c r="J793" i="7" s="1"/>
  <c r="K793" i="7"/>
  <c r="L793" i="7" s="1"/>
  <c r="I794" i="7"/>
  <c r="J794" i="7" s="1"/>
  <c r="K794" i="7"/>
  <c r="L794" i="7" s="1"/>
  <c r="I795" i="7"/>
  <c r="J795" i="7" s="1"/>
  <c r="K795" i="7"/>
  <c r="L795" i="7" s="1"/>
  <c r="I797" i="7"/>
  <c r="J797" i="7" s="1"/>
  <c r="K797" i="7"/>
  <c r="L797" i="7" s="1"/>
  <c r="I798" i="7"/>
  <c r="J798" i="7" s="1"/>
  <c r="K798" i="7"/>
  <c r="L798" i="7" s="1"/>
  <c r="I799" i="7"/>
  <c r="J799" i="7" s="1"/>
  <c r="K799" i="7"/>
  <c r="L799" i="7" s="1"/>
  <c r="I800" i="7"/>
  <c r="J800" i="7" s="1"/>
  <c r="K800" i="7"/>
  <c r="L800" i="7" s="1"/>
  <c r="I801" i="7"/>
  <c r="J801" i="7" s="1"/>
  <c r="K801" i="7"/>
  <c r="L801" i="7" s="1"/>
  <c r="I802" i="7"/>
  <c r="J802" i="7" s="1"/>
  <c r="K802" i="7"/>
  <c r="L802" i="7" s="1"/>
  <c r="I803" i="7"/>
  <c r="J803" i="7" s="1"/>
  <c r="K803" i="7"/>
  <c r="L803" i="7" s="1"/>
  <c r="I804" i="7"/>
  <c r="J804" i="7" s="1"/>
  <c r="K804" i="7"/>
  <c r="L804" i="7" s="1"/>
  <c r="I805" i="7"/>
  <c r="J805" i="7" s="1"/>
  <c r="K805" i="7"/>
  <c r="L805" i="7" s="1"/>
  <c r="I806" i="7"/>
  <c r="J806" i="7" s="1"/>
  <c r="K806" i="7"/>
  <c r="L806" i="7" s="1"/>
  <c r="I807" i="7"/>
  <c r="J807" i="7" s="1"/>
  <c r="K807" i="7"/>
  <c r="L807" i="7" s="1"/>
  <c r="I808" i="7"/>
  <c r="J808" i="7" s="1"/>
  <c r="K808" i="7"/>
  <c r="L808" i="7" s="1"/>
  <c r="I809" i="7"/>
  <c r="J809" i="7" s="1"/>
  <c r="K809" i="7"/>
  <c r="L809" i="7" s="1"/>
  <c r="I810" i="7"/>
  <c r="J810" i="7" s="1"/>
  <c r="K810" i="7"/>
  <c r="L810" i="7" s="1"/>
  <c r="I811" i="7"/>
  <c r="J811" i="7" s="1"/>
  <c r="K811" i="7"/>
  <c r="L811" i="7" s="1"/>
  <c r="I812" i="7"/>
  <c r="J812" i="7" s="1"/>
  <c r="K812" i="7"/>
  <c r="L812" i="7" s="1"/>
  <c r="I813" i="7"/>
  <c r="J813" i="7" s="1"/>
  <c r="K813" i="7"/>
  <c r="L813" i="7" s="1"/>
  <c r="I814" i="7"/>
  <c r="J814" i="7" s="1"/>
  <c r="K814" i="7"/>
  <c r="L814" i="7" s="1"/>
  <c r="I815" i="7"/>
  <c r="J815" i="7" s="1"/>
  <c r="K815" i="7"/>
  <c r="L815" i="7" s="1"/>
  <c r="I816" i="7"/>
  <c r="J816" i="7" s="1"/>
  <c r="K816" i="7"/>
  <c r="L816" i="7" s="1"/>
  <c r="I817" i="7"/>
  <c r="J817" i="7" s="1"/>
  <c r="K817" i="7"/>
  <c r="L817" i="7" s="1"/>
  <c r="I818" i="7"/>
  <c r="J818" i="7" s="1"/>
  <c r="K818" i="7"/>
  <c r="L818" i="7" s="1"/>
  <c r="I819" i="7"/>
  <c r="J819" i="7" s="1"/>
  <c r="K819" i="7"/>
  <c r="L819" i="7" s="1"/>
  <c r="I820" i="7"/>
  <c r="J820" i="7" s="1"/>
  <c r="K820" i="7"/>
  <c r="L820" i="7" s="1"/>
  <c r="I821" i="7"/>
  <c r="J821" i="7" s="1"/>
  <c r="K821" i="7"/>
  <c r="L821" i="7" s="1"/>
  <c r="I822" i="7"/>
  <c r="J822" i="7" s="1"/>
  <c r="K822" i="7"/>
  <c r="L822" i="7" s="1"/>
  <c r="I823" i="7"/>
  <c r="J823" i="7" s="1"/>
  <c r="K823" i="7"/>
  <c r="L823" i="7" s="1"/>
  <c r="I824" i="7"/>
  <c r="J824" i="7" s="1"/>
  <c r="K824" i="7"/>
  <c r="L824" i="7" s="1"/>
  <c r="I825" i="7"/>
  <c r="J825" i="7" s="1"/>
  <c r="K825" i="7"/>
  <c r="L825" i="7" s="1"/>
  <c r="I826" i="7"/>
  <c r="J826" i="7" s="1"/>
  <c r="K826" i="7"/>
  <c r="L826" i="7" s="1"/>
  <c r="I827" i="7"/>
  <c r="J827" i="7" s="1"/>
  <c r="K827" i="7"/>
  <c r="L827" i="7" s="1"/>
  <c r="I828" i="7"/>
  <c r="J828" i="7" s="1"/>
  <c r="K828" i="7"/>
  <c r="L828" i="7" s="1"/>
  <c r="I829" i="7"/>
  <c r="J829" i="7" s="1"/>
  <c r="K829" i="7"/>
  <c r="L829" i="7" s="1"/>
  <c r="I830" i="7"/>
  <c r="J830" i="7" s="1"/>
  <c r="K830" i="7"/>
  <c r="L830" i="7" s="1"/>
  <c r="I831" i="7"/>
  <c r="J831" i="7" s="1"/>
  <c r="K831" i="7"/>
  <c r="I833" i="7"/>
  <c r="K833" i="7"/>
  <c r="I834" i="7"/>
  <c r="K834" i="7"/>
  <c r="I835" i="7"/>
  <c r="K835" i="7"/>
  <c r="I836" i="7"/>
  <c r="K836" i="7"/>
  <c r="I837" i="7"/>
  <c r="K837" i="7"/>
  <c r="I838" i="7"/>
  <c r="K838" i="7"/>
  <c r="I839" i="7"/>
  <c r="K839" i="7"/>
  <c r="I840" i="7"/>
  <c r="K840" i="7"/>
  <c r="I841" i="7"/>
  <c r="K841" i="7"/>
  <c r="I842" i="7"/>
  <c r="K842" i="7"/>
  <c r="I843" i="7"/>
  <c r="K843" i="7"/>
  <c r="I844" i="7"/>
  <c r="K844" i="7"/>
  <c r="I845" i="7"/>
  <c r="K845" i="7"/>
  <c r="I846" i="7"/>
  <c r="K846" i="7"/>
  <c r="I847" i="7"/>
  <c r="K847" i="7"/>
  <c r="I848" i="7"/>
  <c r="K848" i="7"/>
  <c r="I849" i="7"/>
  <c r="K849" i="7"/>
  <c r="I850" i="7"/>
  <c r="J850" i="7" s="1"/>
  <c r="K850" i="7"/>
  <c r="I851" i="7"/>
  <c r="J851" i="7" s="1"/>
  <c r="K851" i="7"/>
  <c r="I852" i="7"/>
  <c r="J852" i="7" s="1"/>
  <c r="K852" i="7"/>
  <c r="I853" i="7"/>
  <c r="J853" i="7" s="1"/>
  <c r="K853" i="7"/>
  <c r="I854" i="7"/>
  <c r="J854" i="7" s="1"/>
  <c r="K854" i="7"/>
  <c r="I855" i="7"/>
  <c r="J855" i="7" s="1"/>
  <c r="K855" i="7"/>
  <c r="I856" i="7"/>
  <c r="J856" i="7" s="1"/>
  <c r="K856" i="7"/>
  <c r="I857" i="7"/>
  <c r="J857" i="7" s="1"/>
  <c r="K857" i="7"/>
  <c r="I858" i="7"/>
  <c r="J858" i="7" s="1"/>
  <c r="K858" i="7"/>
  <c r="I859" i="7"/>
  <c r="K859" i="7"/>
  <c r="I860" i="7"/>
  <c r="K860" i="7"/>
  <c r="I861" i="7"/>
  <c r="K861" i="7"/>
  <c r="I862" i="7"/>
  <c r="K862" i="7"/>
  <c r="I863" i="7"/>
  <c r="K863" i="7"/>
  <c r="I864" i="7"/>
  <c r="K864" i="7"/>
  <c r="I865" i="7"/>
  <c r="K865" i="7"/>
  <c r="I866" i="7"/>
  <c r="K866" i="7"/>
  <c r="I867" i="7"/>
  <c r="K867" i="7"/>
  <c r="I868" i="7"/>
  <c r="K868" i="7"/>
  <c r="K7" i="7"/>
  <c r="L7" i="7" s="1"/>
  <c r="I7" i="7"/>
  <c r="J7" i="7" s="1"/>
  <c r="E858" i="7"/>
  <c r="E857" i="7"/>
  <c r="E856" i="7"/>
  <c r="E855" i="7"/>
  <c r="E854" i="7"/>
  <c r="E853" i="7"/>
  <c r="E852" i="7"/>
  <c r="E851" i="7"/>
  <c r="A851" i="7"/>
  <c r="A852" i="7" s="1"/>
  <c r="A853" i="7" s="1"/>
  <c r="A854" i="7" s="1"/>
  <c r="A855" i="7" s="1"/>
  <c r="A856" i="7" s="1"/>
  <c r="A857" i="7" s="1"/>
  <c r="E850" i="7"/>
  <c r="E831" i="7"/>
  <c r="G830" i="7"/>
  <c r="E830" i="7"/>
  <c r="G829" i="7"/>
  <c r="E829" i="7"/>
  <c r="G828" i="7"/>
  <c r="E828" i="7"/>
  <c r="G827" i="7"/>
  <c r="E827" i="7"/>
  <c r="G826" i="7"/>
  <c r="E826" i="7"/>
  <c r="G825" i="7"/>
  <c r="E825" i="7"/>
  <c r="G824" i="7"/>
  <c r="E824" i="7"/>
  <c r="G823" i="7"/>
  <c r="E823" i="7"/>
  <c r="G822" i="7"/>
  <c r="E822" i="7"/>
  <c r="G821" i="7"/>
  <c r="E821" i="7"/>
  <c r="G820" i="7"/>
  <c r="E820" i="7"/>
  <c r="G819" i="7"/>
  <c r="E819" i="7"/>
  <c r="G818" i="7"/>
  <c r="E818" i="7"/>
  <c r="G817" i="7"/>
  <c r="E817" i="7"/>
  <c r="G816" i="7"/>
  <c r="E816" i="7"/>
  <c r="G815" i="7"/>
  <c r="E815" i="7"/>
  <c r="G814" i="7"/>
  <c r="E814" i="7"/>
  <c r="G813" i="7"/>
  <c r="E813" i="7"/>
  <c r="G812" i="7"/>
  <c r="E812" i="7"/>
  <c r="G811" i="7"/>
  <c r="E811" i="7"/>
  <c r="G810" i="7"/>
  <c r="E810" i="7"/>
  <c r="G809" i="7"/>
  <c r="E809" i="7"/>
  <c r="G808" i="7"/>
  <c r="E808" i="7"/>
  <c r="G807" i="7"/>
  <c r="E807" i="7"/>
  <c r="G806" i="7"/>
  <c r="E806" i="7"/>
  <c r="G805" i="7"/>
  <c r="E805" i="7"/>
  <c r="G804" i="7"/>
  <c r="E804" i="7"/>
  <c r="G803" i="7"/>
  <c r="E803" i="7"/>
  <c r="G802" i="7"/>
  <c r="E802" i="7"/>
  <c r="G801" i="7"/>
  <c r="E801" i="7"/>
  <c r="G800" i="7"/>
  <c r="E800" i="7"/>
  <c r="G799" i="7"/>
  <c r="E799" i="7"/>
  <c r="G798" i="7"/>
  <c r="E798" i="7"/>
  <c r="G797" i="7"/>
  <c r="E797" i="7"/>
  <c r="G796" i="7"/>
  <c r="E796" i="7"/>
  <c r="G795" i="7"/>
  <c r="E795" i="7"/>
  <c r="G794" i="7"/>
  <c r="E794" i="7"/>
  <c r="G793" i="7"/>
  <c r="E793" i="7"/>
  <c r="G792" i="7"/>
  <c r="E792" i="7"/>
  <c r="E791" i="7"/>
  <c r="E790" i="7"/>
  <c r="G789" i="7"/>
  <c r="E789" i="7"/>
  <c r="G788" i="7"/>
  <c r="E788" i="7"/>
  <c r="G787" i="7"/>
  <c r="E787" i="7"/>
  <c r="G786" i="7"/>
  <c r="E786" i="7"/>
  <c r="G785" i="7"/>
  <c r="E785" i="7"/>
  <c r="G784" i="7"/>
  <c r="E784" i="7"/>
  <c r="G783" i="7"/>
  <c r="E783" i="7"/>
  <c r="G782" i="7"/>
  <c r="E782" i="7"/>
  <c r="G781" i="7"/>
  <c r="E781" i="7"/>
  <c r="G780" i="7"/>
  <c r="E780" i="7"/>
  <c r="G779" i="7"/>
  <c r="E779" i="7"/>
  <c r="G778" i="7"/>
  <c r="E778" i="7"/>
  <c r="G777" i="7"/>
  <c r="E777" i="7"/>
  <c r="G776" i="7"/>
  <c r="E776" i="7"/>
  <c r="G775" i="7"/>
  <c r="E775" i="7"/>
  <c r="G774" i="7"/>
  <c r="E774" i="7"/>
  <c r="G773" i="7"/>
  <c r="E773" i="7"/>
  <c r="G772" i="7"/>
  <c r="E772" i="7"/>
  <c r="G771" i="7"/>
  <c r="E771" i="7"/>
  <c r="G770" i="7"/>
  <c r="E770" i="7"/>
  <c r="G769" i="7"/>
  <c r="E769" i="7"/>
  <c r="G768" i="7"/>
  <c r="E768" i="7"/>
  <c r="G767" i="7"/>
  <c r="E767" i="7"/>
  <c r="G766" i="7"/>
  <c r="E766" i="7"/>
  <c r="G765" i="7"/>
  <c r="E765" i="7"/>
  <c r="G764" i="7"/>
  <c r="E764" i="7"/>
  <c r="G763" i="7"/>
  <c r="E763" i="7"/>
  <c r="G762" i="7"/>
  <c r="E762" i="7"/>
  <c r="G761" i="7"/>
  <c r="E761" i="7"/>
  <c r="G760" i="7"/>
  <c r="E760" i="7"/>
  <c r="G759" i="7"/>
  <c r="E759" i="7"/>
  <c r="G758" i="7"/>
  <c r="E758" i="7"/>
  <c r="G757" i="7"/>
  <c r="E757" i="7"/>
  <c r="G756" i="7"/>
  <c r="E756" i="7"/>
  <c r="G755" i="7"/>
  <c r="E755" i="7"/>
  <c r="E701" i="7"/>
  <c r="G700" i="7"/>
  <c r="E700" i="7"/>
  <c r="G698" i="7"/>
  <c r="E698" i="7"/>
  <c r="G697" i="7"/>
  <c r="E697" i="7"/>
  <c r="G696" i="7"/>
  <c r="E696" i="7"/>
  <c r="G695" i="7"/>
  <c r="E695" i="7"/>
  <c r="G694" i="7"/>
  <c r="E694" i="7"/>
  <c r="G693" i="7"/>
  <c r="E693" i="7"/>
  <c r="G692" i="7"/>
  <c r="E692" i="7"/>
  <c r="G691" i="7"/>
  <c r="E691" i="7"/>
  <c r="G690" i="7"/>
  <c r="E690" i="7"/>
  <c r="G689" i="7"/>
  <c r="E689" i="7"/>
  <c r="G688" i="7"/>
  <c r="E688" i="7"/>
  <c r="G687" i="7"/>
  <c r="E687" i="7"/>
  <c r="G686" i="7"/>
  <c r="E686" i="7"/>
  <c r="G685" i="7"/>
  <c r="E685" i="7"/>
  <c r="G684" i="7"/>
  <c r="E684" i="7"/>
  <c r="G683" i="7"/>
  <c r="E683" i="7"/>
  <c r="G682" i="7"/>
  <c r="E682" i="7"/>
  <c r="G681" i="7"/>
  <c r="E681" i="7"/>
  <c r="G680" i="7"/>
  <c r="E680" i="7"/>
  <c r="G679" i="7"/>
  <c r="E679" i="7"/>
  <c r="G678" i="7"/>
  <c r="E678" i="7"/>
  <c r="G677" i="7"/>
  <c r="E677" i="7"/>
  <c r="G676" i="7"/>
  <c r="E676" i="7"/>
  <c r="G675" i="7"/>
  <c r="E675" i="7"/>
  <c r="G674" i="7"/>
  <c r="E674" i="7"/>
  <c r="G673" i="7"/>
  <c r="E673" i="7"/>
  <c r="G672" i="7"/>
  <c r="E672" i="7"/>
  <c r="G671" i="7"/>
  <c r="E671" i="7"/>
  <c r="G670" i="7"/>
  <c r="E670" i="7"/>
  <c r="G669" i="7"/>
  <c r="E669" i="7"/>
  <c r="G668" i="7"/>
  <c r="E668" i="7"/>
  <c r="G667" i="7"/>
  <c r="E667" i="7"/>
  <c r="G666" i="7"/>
  <c r="E666" i="7"/>
  <c r="G665" i="7"/>
  <c r="E665" i="7"/>
  <c r="G664" i="7"/>
  <c r="E664" i="7"/>
  <c r="G663" i="7"/>
  <c r="E663" i="7"/>
  <c r="G662" i="7"/>
  <c r="E662" i="7"/>
  <c r="G661" i="7"/>
  <c r="E661" i="7"/>
  <c r="G660" i="7"/>
  <c r="E660" i="7"/>
  <c r="G659" i="7"/>
  <c r="E659" i="7"/>
  <c r="G658" i="7"/>
  <c r="E658" i="7"/>
  <c r="G657" i="7"/>
  <c r="E657" i="7"/>
  <c r="G656" i="7"/>
  <c r="E656" i="7"/>
  <c r="G655" i="7"/>
  <c r="E655" i="7"/>
  <c r="G654" i="7"/>
  <c r="E654" i="7"/>
  <c r="G653" i="7"/>
  <c r="E653" i="7"/>
  <c r="G652" i="7"/>
  <c r="E652" i="7"/>
  <c r="E651" i="7"/>
  <c r="E650" i="7"/>
  <c r="G649" i="7"/>
  <c r="E649" i="7"/>
  <c r="G648" i="7"/>
  <c r="E648" i="7"/>
  <c r="G647" i="7"/>
  <c r="E647" i="7"/>
  <c r="G646" i="7"/>
  <c r="E646" i="7"/>
  <c r="G645" i="7"/>
  <c r="E645" i="7"/>
  <c r="G644" i="7"/>
  <c r="E644" i="7"/>
  <c r="G643" i="7"/>
  <c r="E643" i="7"/>
  <c r="G642" i="7"/>
  <c r="E642" i="7"/>
  <c r="G641" i="7"/>
  <c r="E641" i="7"/>
  <c r="G640" i="7"/>
  <c r="E640" i="7"/>
  <c r="G639" i="7"/>
  <c r="E639" i="7"/>
  <c r="G638" i="7"/>
  <c r="E638" i="7"/>
  <c r="G637" i="7"/>
  <c r="E637" i="7"/>
  <c r="G636" i="7"/>
  <c r="E636" i="7"/>
  <c r="G635" i="7"/>
  <c r="E635" i="7"/>
  <c r="G634" i="7"/>
  <c r="E634" i="7"/>
  <c r="G633" i="7"/>
  <c r="E633" i="7"/>
  <c r="G632" i="7"/>
  <c r="E632" i="7"/>
  <c r="G631" i="7"/>
  <c r="E631" i="7"/>
  <c r="G630" i="7"/>
  <c r="E630" i="7"/>
  <c r="G629" i="7"/>
  <c r="E629" i="7"/>
  <c r="G628" i="7"/>
  <c r="E628" i="7"/>
  <c r="G627" i="7"/>
  <c r="E627" i="7"/>
  <c r="G626" i="7"/>
  <c r="E626" i="7"/>
  <c r="G625" i="7"/>
  <c r="E625" i="7"/>
  <c r="G624" i="7"/>
  <c r="E624" i="7"/>
  <c r="G623" i="7"/>
  <c r="E623" i="7"/>
  <c r="G622" i="7"/>
  <c r="E622" i="7"/>
  <c r="G621" i="7"/>
  <c r="E621" i="7"/>
  <c r="G620" i="7"/>
  <c r="E620" i="7"/>
  <c r="G619" i="7"/>
  <c r="E619" i="7"/>
  <c r="G618" i="7"/>
  <c r="E618" i="7"/>
  <c r="G617" i="7"/>
  <c r="E617" i="7"/>
  <c r="G616" i="7"/>
  <c r="E616" i="7"/>
  <c r="G615" i="7"/>
  <c r="E615" i="7"/>
  <c r="G614" i="7"/>
  <c r="E614" i="7"/>
  <c r="G613" i="7"/>
  <c r="E613" i="7"/>
  <c r="G612" i="7"/>
  <c r="E612" i="7"/>
  <c r="G611" i="7"/>
  <c r="E611" i="7"/>
  <c r="G610" i="7"/>
  <c r="E610" i="7"/>
  <c r="G609" i="7"/>
  <c r="E609" i="7"/>
  <c r="G608" i="7"/>
  <c r="E608" i="7"/>
  <c r="G607" i="7"/>
  <c r="E607" i="7"/>
  <c r="G606" i="7"/>
  <c r="E606" i="7"/>
  <c r="G605" i="7"/>
  <c r="E605" i="7"/>
  <c r="G604" i="7"/>
  <c r="E604" i="7"/>
  <c r="G603" i="7"/>
  <c r="E603" i="7"/>
  <c r="G602" i="7"/>
  <c r="E602" i="7"/>
  <c r="G601" i="7"/>
  <c r="E601" i="7"/>
  <c r="G600" i="7"/>
  <c r="E600" i="7"/>
  <c r="G599" i="7"/>
  <c r="E599" i="7"/>
  <c r="G598" i="7"/>
  <c r="E598" i="7"/>
  <c r="G597" i="7"/>
  <c r="E597" i="7"/>
  <c r="G596" i="7"/>
  <c r="E596" i="7"/>
  <c r="G595" i="7"/>
  <c r="E595" i="7"/>
  <c r="G594" i="7"/>
  <c r="E594" i="7"/>
  <c r="G593" i="7"/>
  <c r="E593" i="7"/>
  <c r="G592" i="7"/>
  <c r="E592" i="7"/>
  <c r="G591" i="7"/>
  <c r="E591" i="7"/>
  <c r="G590" i="7"/>
  <c r="E590" i="7"/>
  <c r="G589" i="7"/>
  <c r="E589" i="7"/>
  <c r="G588" i="7"/>
  <c r="E588" i="7"/>
  <c r="G587" i="7"/>
  <c r="E587" i="7"/>
  <c r="G586" i="7"/>
  <c r="E586" i="7"/>
  <c r="G585" i="7"/>
  <c r="E585" i="7"/>
  <c r="G584" i="7"/>
  <c r="E584" i="7"/>
  <c r="G583" i="7"/>
  <c r="E583" i="7"/>
  <c r="G582" i="7"/>
  <c r="E582" i="7"/>
  <c r="G581" i="7"/>
  <c r="E581" i="7"/>
  <c r="G580" i="7"/>
  <c r="E580" i="7"/>
  <c r="G579" i="7"/>
  <c r="E579" i="7"/>
  <c r="G578" i="7"/>
  <c r="E578" i="7"/>
  <c r="G577" i="7"/>
  <c r="E577" i="7"/>
  <c r="G576" i="7"/>
  <c r="E576" i="7"/>
  <c r="G575" i="7"/>
  <c r="E575" i="7"/>
  <c r="G574" i="7"/>
  <c r="E574" i="7"/>
  <c r="G573" i="7"/>
  <c r="E573" i="7"/>
  <c r="G572" i="7"/>
  <c r="E572" i="7"/>
  <c r="G571" i="7"/>
  <c r="E571" i="7"/>
  <c r="G570" i="7"/>
  <c r="E570" i="7"/>
  <c r="G569" i="7"/>
  <c r="E569" i="7"/>
  <c r="G568" i="7"/>
  <c r="E568" i="7"/>
  <c r="G567" i="7"/>
  <c r="E567" i="7"/>
  <c r="G566" i="7"/>
  <c r="E566" i="7"/>
  <c r="E560" i="7"/>
  <c r="E559" i="7"/>
  <c r="E558" i="7"/>
  <c r="G557" i="7"/>
  <c r="E557" i="7"/>
  <c r="G556" i="7"/>
  <c r="E556" i="7"/>
  <c r="G555" i="7"/>
  <c r="E555" i="7"/>
  <c r="G554" i="7"/>
  <c r="E554" i="7"/>
  <c r="G553" i="7"/>
  <c r="E553" i="7"/>
  <c r="G552" i="7"/>
  <c r="E552" i="7"/>
  <c r="G551" i="7"/>
  <c r="E551" i="7"/>
  <c r="G550" i="7"/>
  <c r="E550" i="7"/>
  <c r="G549" i="7"/>
  <c r="E549" i="7"/>
  <c r="G548" i="7"/>
  <c r="E548" i="7"/>
  <c r="G547" i="7"/>
  <c r="E547" i="7"/>
  <c r="G546" i="7"/>
  <c r="E546" i="7"/>
  <c r="G545" i="7"/>
  <c r="E545" i="7"/>
  <c r="G544" i="7"/>
  <c r="E544" i="7"/>
  <c r="G543" i="7"/>
  <c r="E543" i="7"/>
  <c r="E542" i="7"/>
  <c r="E541" i="7"/>
  <c r="G540" i="7"/>
  <c r="E540" i="7"/>
  <c r="G539" i="7"/>
  <c r="E539" i="7"/>
  <c r="G538" i="7"/>
  <c r="E538" i="7"/>
  <c r="G537" i="7"/>
  <c r="E537" i="7"/>
  <c r="G536" i="7"/>
  <c r="E536" i="7"/>
  <c r="G535" i="7"/>
  <c r="E535" i="7"/>
  <c r="G534" i="7"/>
  <c r="E534" i="7"/>
  <c r="G533" i="7"/>
  <c r="E533" i="7"/>
  <c r="G532" i="7"/>
  <c r="E532" i="7"/>
  <c r="G531" i="7"/>
  <c r="E531" i="7"/>
  <c r="G530" i="7"/>
  <c r="E530" i="7"/>
  <c r="G529" i="7"/>
  <c r="E529" i="7"/>
  <c r="F528" i="7"/>
  <c r="E528" i="7"/>
  <c r="F527" i="7"/>
  <c r="E527" i="7"/>
  <c r="F526" i="7"/>
  <c r="E526" i="7"/>
  <c r="G525" i="7"/>
  <c r="E525" i="7"/>
  <c r="G524" i="7"/>
  <c r="E524" i="7"/>
  <c r="G523" i="7"/>
  <c r="E523" i="7"/>
  <c r="G522" i="7"/>
  <c r="E522" i="7"/>
  <c r="G521" i="7"/>
  <c r="E521" i="7"/>
  <c r="G520" i="7"/>
  <c r="E520" i="7"/>
  <c r="G519" i="7"/>
  <c r="E519" i="7"/>
  <c r="G518" i="7"/>
  <c r="E518" i="7"/>
  <c r="G517" i="7"/>
  <c r="E517" i="7"/>
  <c r="G516" i="7"/>
  <c r="E516" i="7"/>
  <c r="G515" i="7"/>
  <c r="E515" i="7"/>
  <c r="G514" i="7"/>
  <c r="E514" i="7"/>
  <c r="G513" i="7"/>
  <c r="E513" i="7"/>
  <c r="G512" i="7"/>
  <c r="E512" i="7"/>
  <c r="G511" i="7"/>
  <c r="E511" i="7"/>
  <c r="G510" i="7"/>
  <c r="E510" i="7"/>
  <c r="G509" i="7"/>
  <c r="E509" i="7"/>
  <c r="F508" i="7"/>
  <c r="E508" i="7"/>
  <c r="G507" i="7"/>
  <c r="E507" i="7"/>
  <c r="G506" i="7"/>
  <c r="E506" i="7"/>
  <c r="G505" i="7"/>
  <c r="E505" i="7"/>
  <c r="G504" i="7"/>
  <c r="E504" i="7"/>
  <c r="G503" i="7"/>
  <c r="E503" i="7"/>
  <c r="G502" i="7"/>
  <c r="E502" i="7"/>
  <c r="G501" i="7"/>
  <c r="E501" i="7"/>
  <c r="G500" i="7"/>
  <c r="E500" i="7"/>
  <c r="G499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G487" i="7"/>
  <c r="E487" i="7"/>
  <c r="G486" i="7"/>
  <c r="E486" i="7"/>
  <c r="G485" i="7"/>
  <c r="E485" i="7"/>
  <c r="G484" i="7"/>
  <c r="E484" i="7"/>
  <c r="G483" i="7"/>
  <c r="E483" i="7"/>
  <c r="G482" i="7"/>
  <c r="E482" i="7"/>
  <c r="G481" i="7"/>
  <c r="E481" i="7"/>
  <c r="G480" i="7"/>
  <c r="E480" i="7"/>
  <c r="G479" i="7"/>
  <c r="E479" i="7"/>
  <c r="G478" i="7"/>
  <c r="E478" i="7"/>
  <c r="G477" i="7"/>
  <c r="E477" i="7"/>
  <c r="G476" i="7"/>
  <c r="E476" i="7"/>
  <c r="G475" i="7"/>
  <c r="E475" i="7"/>
  <c r="G474" i="7"/>
  <c r="E474" i="7"/>
  <c r="G473" i="7"/>
  <c r="E473" i="7"/>
  <c r="G472" i="7"/>
  <c r="E472" i="7"/>
  <c r="G471" i="7"/>
  <c r="E471" i="7"/>
  <c r="G470" i="7"/>
  <c r="E470" i="7"/>
  <c r="G469" i="7"/>
  <c r="E469" i="7"/>
  <c r="G468" i="7"/>
  <c r="E468" i="7"/>
  <c r="G467" i="7"/>
  <c r="E467" i="7"/>
  <c r="G466" i="7"/>
  <c r="E466" i="7"/>
  <c r="G465" i="7"/>
  <c r="E465" i="7"/>
  <c r="G464" i="7"/>
  <c r="E464" i="7"/>
  <c r="G463" i="7"/>
  <c r="E463" i="7"/>
  <c r="G462" i="7"/>
  <c r="E462" i="7"/>
  <c r="G461" i="7"/>
  <c r="E461" i="7"/>
  <c r="G460" i="7"/>
  <c r="E460" i="7"/>
  <c r="G459" i="7"/>
  <c r="E459" i="7"/>
  <c r="G458" i="7"/>
  <c r="E458" i="7"/>
  <c r="G457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G368" i="7"/>
  <c r="E368" i="7"/>
  <c r="G367" i="7"/>
  <c r="E367" i="7"/>
  <c r="F366" i="7"/>
  <c r="E366" i="7"/>
  <c r="F365" i="7"/>
  <c r="E365" i="7"/>
  <c r="F364" i="7"/>
  <c r="E364" i="7"/>
  <c r="F363" i="7"/>
  <c r="E363" i="7"/>
  <c r="E362" i="7"/>
  <c r="E361" i="7"/>
  <c r="E360" i="7"/>
  <c r="G359" i="7"/>
  <c r="E359" i="7"/>
  <c r="G358" i="7"/>
  <c r="E358" i="7"/>
  <c r="G357" i="7"/>
  <c r="E357" i="7"/>
  <c r="G356" i="7"/>
  <c r="E356" i="7"/>
  <c r="G355" i="7"/>
  <c r="E355" i="7"/>
  <c r="G354" i="7"/>
  <c r="E354" i="7"/>
  <c r="G353" i="7"/>
  <c r="E353" i="7"/>
  <c r="G352" i="7"/>
  <c r="E352" i="7"/>
  <c r="G351" i="7"/>
  <c r="E351" i="7"/>
  <c r="G350" i="7"/>
  <c r="E350" i="7"/>
  <c r="G349" i="7"/>
  <c r="E349" i="7"/>
  <c r="G348" i="7"/>
  <c r="E348" i="7"/>
  <c r="G347" i="7"/>
  <c r="E347" i="7"/>
  <c r="G346" i="7"/>
  <c r="E346" i="7"/>
  <c r="G345" i="7"/>
  <c r="E345" i="7"/>
  <c r="G344" i="7"/>
  <c r="E344" i="7"/>
  <c r="G343" i="7"/>
  <c r="E343" i="7"/>
  <c r="G336" i="7"/>
  <c r="E336" i="7"/>
  <c r="G335" i="7"/>
  <c r="E335" i="7"/>
  <c r="G334" i="7"/>
  <c r="E334" i="7"/>
  <c r="G333" i="7"/>
  <c r="E333" i="7"/>
  <c r="G332" i="7"/>
  <c r="E332" i="7"/>
  <c r="G331" i="7"/>
  <c r="E331" i="7"/>
  <c r="G330" i="7"/>
  <c r="E330" i="7"/>
  <c r="G329" i="7"/>
  <c r="E329" i="7"/>
  <c r="G328" i="7"/>
  <c r="E328" i="7"/>
  <c r="G327" i="7"/>
  <c r="E327" i="7"/>
  <c r="G326" i="7"/>
  <c r="E326" i="7"/>
  <c r="G325" i="7"/>
  <c r="E325" i="7"/>
  <c r="G324" i="7"/>
  <c r="E324" i="7"/>
  <c r="G323" i="7"/>
  <c r="E323" i="7"/>
  <c r="G322" i="7"/>
  <c r="E322" i="7"/>
  <c r="G321" i="7"/>
  <c r="E321" i="7"/>
  <c r="G320" i="7"/>
  <c r="E320" i="7"/>
  <c r="G319" i="7"/>
  <c r="E319" i="7"/>
  <c r="G318" i="7"/>
  <c r="E318" i="7"/>
  <c r="G317" i="7"/>
  <c r="E317" i="7"/>
  <c r="G316" i="7"/>
  <c r="E316" i="7"/>
  <c r="G315" i="7"/>
  <c r="E315" i="7"/>
  <c r="G314" i="7"/>
  <c r="E314" i="7"/>
  <c r="G313" i="7"/>
  <c r="E313" i="7"/>
  <c r="G312" i="7"/>
  <c r="E312" i="7"/>
  <c r="G311" i="7"/>
  <c r="E311" i="7"/>
  <c r="G310" i="7"/>
  <c r="E310" i="7"/>
  <c r="G309" i="7"/>
  <c r="E309" i="7"/>
  <c r="G308" i="7"/>
  <c r="E308" i="7"/>
  <c r="G307" i="7"/>
  <c r="E307" i="7"/>
  <c r="G306" i="7"/>
  <c r="E306" i="7"/>
  <c r="G305" i="7"/>
  <c r="E305" i="7"/>
  <c r="G304" i="7"/>
  <c r="E304" i="7"/>
  <c r="G303" i="7"/>
  <c r="E303" i="7"/>
  <c r="G302" i="7"/>
  <c r="E302" i="7"/>
  <c r="G301" i="7"/>
  <c r="E301" i="7"/>
  <c r="G300" i="7"/>
  <c r="E300" i="7"/>
  <c r="G299" i="7"/>
  <c r="E299" i="7"/>
  <c r="G298" i="7"/>
  <c r="E298" i="7"/>
  <c r="G297" i="7"/>
  <c r="E297" i="7"/>
  <c r="G296" i="7"/>
  <c r="E296" i="7"/>
  <c r="G295" i="7"/>
  <c r="E295" i="7"/>
  <c r="G294" i="7"/>
  <c r="E294" i="7"/>
  <c r="G293" i="7"/>
  <c r="E293" i="7"/>
  <c r="G292" i="7"/>
  <c r="E292" i="7"/>
  <c r="G291" i="7"/>
  <c r="E291" i="7"/>
  <c r="G290" i="7"/>
  <c r="E290" i="7"/>
  <c r="G289" i="7"/>
  <c r="E289" i="7"/>
  <c r="G288" i="7"/>
  <c r="E288" i="7"/>
  <c r="G287" i="7"/>
  <c r="E287" i="7"/>
  <c r="G286" i="7"/>
  <c r="E286" i="7"/>
  <c r="G285" i="7"/>
  <c r="E285" i="7"/>
  <c r="G284" i="7"/>
  <c r="E284" i="7"/>
  <c r="G283" i="7"/>
  <c r="E283" i="7"/>
  <c r="G282" i="7"/>
  <c r="E282" i="7"/>
  <c r="G281" i="7"/>
  <c r="E281" i="7"/>
  <c r="G280" i="7"/>
  <c r="E280" i="7"/>
  <c r="G279" i="7"/>
  <c r="E279" i="7"/>
  <c r="G278" i="7"/>
  <c r="E278" i="7"/>
  <c r="G277" i="7"/>
  <c r="E277" i="7"/>
  <c r="G276" i="7"/>
  <c r="E276" i="7"/>
  <c r="G275" i="7"/>
  <c r="E275" i="7"/>
  <c r="G274" i="7"/>
  <c r="E274" i="7"/>
  <c r="G273" i="7"/>
  <c r="E273" i="7"/>
  <c r="G272" i="7"/>
  <c r="E272" i="7"/>
  <c r="G271" i="7"/>
  <c r="E271" i="7"/>
  <c r="G270" i="7"/>
  <c r="E270" i="7"/>
  <c r="G269" i="7"/>
  <c r="E269" i="7"/>
  <c r="G268" i="7"/>
  <c r="E268" i="7"/>
  <c r="G267" i="7"/>
  <c r="E267" i="7"/>
  <c r="G266" i="7"/>
  <c r="E266" i="7"/>
  <c r="G265" i="7"/>
  <c r="E265" i="7"/>
  <c r="G264" i="7"/>
  <c r="E264" i="7"/>
  <c r="G263" i="7"/>
  <c r="E263" i="7"/>
  <c r="G262" i="7"/>
  <c r="E262" i="7"/>
  <c r="G261" i="7"/>
  <c r="E261" i="7"/>
  <c r="G260" i="7"/>
  <c r="E260" i="7"/>
  <c r="G259" i="7"/>
  <c r="E259" i="7"/>
  <c r="G258" i="7"/>
  <c r="E258" i="7"/>
  <c r="G257" i="7"/>
  <c r="E257" i="7"/>
  <c r="G256" i="7"/>
  <c r="E256" i="7"/>
  <c r="G255" i="7"/>
  <c r="E255" i="7"/>
  <c r="G254" i="7"/>
  <c r="E254" i="7"/>
  <c r="G253" i="7"/>
  <c r="E253" i="7"/>
  <c r="G252" i="7"/>
  <c r="E252" i="7"/>
  <c r="G251" i="7"/>
  <c r="E251" i="7"/>
  <c r="G250" i="7"/>
  <c r="E250" i="7"/>
  <c r="G249" i="7"/>
  <c r="E249" i="7"/>
  <c r="G248" i="7"/>
  <c r="E248" i="7"/>
  <c r="G247" i="7"/>
  <c r="E247" i="7"/>
  <c r="G246" i="7"/>
  <c r="E246" i="7"/>
  <c r="G245" i="7"/>
  <c r="E245" i="7"/>
  <c r="G244" i="7"/>
  <c r="E244" i="7"/>
  <c r="G243" i="7"/>
  <c r="E243" i="7"/>
  <c r="G242" i="7"/>
  <c r="E242" i="7"/>
  <c r="G241" i="7"/>
  <c r="E241" i="7"/>
  <c r="G240" i="7"/>
  <c r="E240" i="7"/>
  <c r="G239" i="7"/>
  <c r="E239" i="7"/>
  <c r="G238" i="7"/>
  <c r="E238" i="7"/>
  <c r="G237" i="7"/>
  <c r="E237" i="7"/>
  <c r="G236" i="7"/>
  <c r="E236" i="7"/>
  <c r="G235" i="7"/>
  <c r="E235" i="7"/>
  <c r="G234" i="7"/>
  <c r="E234" i="7"/>
  <c r="G233" i="7"/>
  <c r="E233" i="7"/>
  <c r="G232" i="7"/>
  <c r="E232" i="7"/>
  <c r="G231" i="7"/>
  <c r="E231" i="7"/>
  <c r="G230" i="7"/>
  <c r="E230" i="7"/>
  <c r="G229" i="7"/>
  <c r="E229" i="7"/>
  <c r="G228" i="7"/>
  <c r="E228" i="7"/>
  <c r="G227" i="7"/>
  <c r="E227" i="7"/>
  <c r="G226" i="7"/>
  <c r="E226" i="7"/>
  <c r="G225" i="7"/>
  <c r="E225" i="7"/>
  <c r="G224" i="7"/>
  <c r="E224" i="7"/>
  <c r="G223" i="7"/>
  <c r="E223" i="7"/>
  <c r="E222" i="7"/>
  <c r="G221" i="7"/>
  <c r="E221" i="7"/>
  <c r="G220" i="7"/>
  <c r="E220" i="7"/>
  <c r="G219" i="7"/>
  <c r="E219" i="7"/>
  <c r="G218" i="7"/>
  <c r="E218" i="7"/>
  <c r="E217" i="7"/>
  <c r="G216" i="7"/>
  <c r="E216" i="7"/>
  <c r="G215" i="7"/>
  <c r="E215" i="7"/>
  <c r="G214" i="7"/>
  <c r="E214" i="7"/>
  <c r="G213" i="7"/>
  <c r="E213" i="7"/>
  <c r="G212" i="7"/>
  <c r="E212" i="7"/>
  <c r="G211" i="7"/>
  <c r="E211" i="7"/>
  <c r="G210" i="7"/>
  <c r="E210" i="7"/>
  <c r="G209" i="7"/>
  <c r="E209" i="7"/>
  <c r="G208" i="7"/>
  <c r="E208" i="7"/>
  <c r="G207" i="7"/>
  <c r="E207" i="7"/>
  <c r="G206" i="7"/>
  <c r="E206" i="7"/>
  <c r="G205" i="7"/>
  <c r="E205" i="7"/>
  <c r="G204" i="7"/>
  <c r="E204" i="7"/>
  <c r="G203" i="7"/>
  <c r="E203" i="7"/>
  <c r="G202" i="7"/>
  <c r="E202" i="7"/>
  <c r="G201" i="7"/>
  <c r="E201" i="7"/>
  <c r="G200" i="7"/>
  <c r="E200" i="7"/>
  <c r="G199" i="7"/>
  <c r="E199" i="7"/>
  <c r="G198" i="7"/>
  <c r="E198" i="7"/>
  <c r="G197" i="7"/>
  <c r="E197" i="7"/>
  <c r="G196" i="7"/>
  <c r="E196" i="7"/>
  <c r="G195" i="7"/>
  <c r="E195" i="7"/>
  <c r="G194" i="7"/>
  <c r="E194" i="7"/>
  <c r="G193" i="7"/>
  <c r="E193" i="7"/>
  <c r="G192" i="7"/>
  <c r="E192" i="7"/>
  <c r="G191" i="7"/>
  <c r="E191" i="7"/>
  <c r="E190" i="7"/>
  <c r="G189" i="7"/>
  <c r="E189" i="7"/>
  <c r="G188" i="7"/>
  <c r="E188" i="7"/>
  <c r="E187" i="7"/>
  <c r="G186" i="7"/>
  <c r="E186" i="7"/>
  <c r="G185" i="7"/>
  <c r="E185" i="7"/>
  <c r="G184" i="7"/>
  <c r="E184" i="7"/>
  <c r="G183" i="7"/>
  <c r="E183" i="7"/>
  <c r="G182" i="7"/>
  <c r="E182" i="7"/>
  <c r="G181" i="7"/>
  <c r="E181" i="7"/>
  <c r="G180" i="7"/>
  <c r="E180" i="7"/>
  <c r="G179" i="7"/>
  <c r="E179" i="7"/>
  <c r="G178" i="7"/>
  <c r="E178" i="7"/>
  <c r="G177" i="7"/>
  <c r="E177" i="7"/>
  <c r="G176" i="7"/>
  <c r="E176" i="7"/>
  <c r="G175" i="7"/>
  <c r="E175" i="7"/>
  <c r="G174" i="7"/>
  <c r="E174" i="7"/>
  <c r="G173" i="7"/>
  <c r="E173" i="7"/>
  <c r="G172" i="7"/>
  <c r="E172" i="7"/>
  <c r="G171" i="7"/>
  <c r="E171" i="7"/>
  <c r="G170" i="7"/>
  <c r="E170" i="7"/>
  <c r="G169" i="7"/>
  <c r="E169" i="7"/>
  <c r="G168" i="7"/>
  <c r="E168" i="7"/>
  <c r="G167" i="7"/>
  <c r="E167" i="7"/>
  <c r="G166" i="7"/>
  <c r="E166" i="7"/>
  <c r="G165" i="7"/>
  <c r="E165" i="7"/>
  <c r="G164" i="7"/>
  <c r="E164" i="7"/>
  <c r="G163" i="7"/>
  <c r="E163" i="7"/>
  <c r="G162" i="7"/>
  <c r="E162" i="7"/>
  <c r="G161" i="7"/>
  <c r="E161" i="7"/>
  <c r="G160" i="7"/>
  <c r="E160" i="7"/>
  <c r="G159" i="7"/>
  <c r="E159" i="7"/>
  <c r="G158" i="7"/>
  <c r="E158" i="7"/>
  <c r="G157" i="7"/>
  <c r="E157" i="7"/>
  <c r="G156" i="7"/>
  <c r="E156" i="7"/>
  <c r="G155" i="7"/>
  <c r="E155" i="7"/>
  <c r="G154" i="7"/>
  <c r="E154" i="7"/>
  <c r="E153" i="7"/>
  <c r="E152" i="7"/>
  <c r="E151" i="7"/>
  <c r="E150" i="7"/>
  <c r="E149" i="7"/>
  <c r="E148" i="7"/>
  <c r="E147" i="7"/>
  <c r="E146" i="7"/>
  <c r="E145" i="7"/>
  <c r="E144" i="7"/>
  <c r="L143" i="7"/>
  <c r="E143" i="7"/>
  <c r="E142" i="7"/>
  <c r="E141" i="7"/>
  <c r="E140" i="7"/>
  <c r="E139" i="7"/>
  <c r="E138" i="7"/>
  <c r="E137" i="7"/>
  <c r="E136" i="7"/>
  <c r="L135" i="7"/>
  <c r="E135" i="7"/>
  <c r="E134" i="7"/>
  <c r="E133" i="7"/>
  <c r="E132" i="7"/>
  <c r="E131" i="7"/>
  <c r="E130" i="7"/>
  <c r="E129" i="7"/>
  <c r="E128" i="7"/>
  <c r="E127" i="7"/>
  <c r="E126" i="7"/>
  <c r="L116" i="7"/>
  <c r="L113" i="7"/>
  <c r="E107" i="7"/>
  <c r="E106" i="7"/>
  <c r="E105" i="7"/>
  <c r="E104" i="7"/>
  <c r="L103" i="7"/>
  <c r="E103" i="7"/>
  <c r="E102" i="7"/>
  <c r="E101" i="7"/>
  <c r="L100" i="7"/>
  <c r="E100" i="7"/>
  <c r="E99" i="7"/>
  <c r="E98" i="7"/>
  <c r="L97" i="7"/>
  <c r="E97" i="7"/>
  <c r="E96" i="7"/>
  <c r="E95" i="7"/>
  <c r="G94" i="7"/>
  <c r="E94" i="7"/>
  <c r="G93" i="7"/>
  <c r="E93" i="7"/>
  <c r="G92" i="7"/>
  <c r="E92" i="7"/>
  <c r="G91" i="7"/>
  <c r="E91" i="7"/>
  <c r="G90" i="7"/>
  <c r="E90" i="7"/>
  <c r="G89" i="7"/>
  <c r="E89" i="7"/>
  <c r="G88" i="7"/>
  <c r="E88" i="7"/>
  <c r="G87" i="7"/>
  <c r="E87" i="7"/>
  <c r="G86" i="7"/>
  <c r="E86" i="7"/>
  <c r="G85" i="7"/>
  <c r="E85" i="7"/>
  <c r="G84" i="7"/>
  <c r="E84" i="7"/>
  <c r="G83" i="7"/>
  <c r="E83" i="7"/>
  <c r="G82" i="7"/>
  <c r="E82" i="7"/>
  <c r="G81" i="7"/>
  <c r="E81" i="7"/>
  <c r="G80" i="7"/>
  <c r="E80" i="7"/>
  <c r="G79" i="7"/>
  <c r="E79" i="7"/>
  <c r="G78" i="7"/>
  <c r="E78" i="7"/>
  <c r="G77" i="7"/>
  <c r="E77" i="7"/>
  <c r="G76" i="7"/>
  <c r="E76" i="7"/>
  <c r="G75" i="7"/>
  <c r="E75" i="7"/>
  <c r="G74" i="7"/>
  <c r="E74" i="7"/>
  <c r="G73" i="7"/>
  <c r="E73" i="7"/>
  <c r="G72" i="7"/>
  <c r="E72" i="7"/>
  <c r="G71" i="7"/>
  <c r="E71" i="7"/>
  <c r="G70" i="7"/>
  <c r="E70" i="7"/>
  <c r="G69" i="7"/>
  <c r="E69" i="7"/>
  <c r="G68" i="7"/>
  <c r="E68" i="7"/>
  <c r="G67" i="7"/>
  <c r="E67" i="7"/>
  <c r="G66" i="7"/>
  <c r="E66" i="7"/>
  <c r="G65" i="7"/>
  <c r="E65" i="7"/>
  <c r="G64" i="7"/>
  <c r="E64" i="7"/>
  <c r="G63" i="7"/>
  <c r="E63" i="7"/>
  <c r="G62" i="7"/>
  <c r="E62" i="7"/>
  <c r="G61" i="7"/>
  <c r="E61" i="7"/>
  <c r="G60" i="7"/>
  <c r="E60" i="7"/>
  <c r="G59" i="7"/>
  <c r="E59" i="7"/>
  <c r="G58" i="7"/>
  <c r="E58" i="7"/>
  <c r="G57" i="7"/>
  <c r="E57" i="7"/>
  <c r="G56" i="7"/>
  <c r="E56" i="7"/>
  <c r="G55" i="7"/>
  <c r="E55" i="7"/>
  <c r="G54" i="7"/>
  <c r="E54" i="7"/>
  <c r="G53" i="7"/>
  <c r="E53" i="7"/>
  <c r="G52" i="7"/>
  <c r="E52" i="7"/>
  <c r="G51" i="7"/>
  <c r="E51" i="7"/>
  <c r="G50" i="7"/>
  <c r="E50" i="7"/>
  <c r="G49" i="7"/>
  <c r="E49" i="7"/>
  <c r="G48" i="7"/>
  <c r="E48" i="7"/>
  <c r="G47" i="7"/>
  <c r="E47" i="7"/>
  <c r="G46" i="7"/>
  <c r="E46" i="7"/>
  <c r="G45" i="7"/>
  <c r="E45" i="7"/>
  <c r="G44" i="7"/>
  <c r="E44" i="7"/>
  <c r="G43" i="7"/>
  <c r="E43" i="7"/>
  <c r="G42" i="7"/>
  <c r="E42" i="7"/>
  <c r="G41" i="7"/>
  <c r="E41" i="7"/>
  <c r="G40" i="7"/>
  <c r="E40" i="7"/>
  <c r="G39" i="7"/>
  <c r="E39" i="7"/>
  <c r="G38" i="7"/>
  <c r="E38" i="7"/>
  <c r="G37" i="7"/>
  <c r="E37" i="7"/>
  <c r="G36" i="7"/>
  <c r="E36" i="7"/>
  <c r="G35" i="7"/>
  <c r="E35" i="7"/>
  <c r="G34" i="7"/>
  <c r="E34" i="7"/>
  <c r="G33" i="7"/>
  <c r="E33" i="7"/>
  <c r="G32" i="7"/>
  <c r="E32" i="7"/>
  <c r="G31" i="7"/>
  <c r="E31" i="7"/>
  <c r="G30" i="7"/>
  <c r="E30" i="7"/>
  <c r="G29" i="7"/>
  <c r="E29" i="7"/>
  <c r="G28" i="7"/>
  <c r="E28" i="7"/>
  <c r="G27" i="7"/>
  <c r="E27" i="7"/>
  <c r="G26" i="7"/>
  <c r="E26" i="7"/>
  <c r="G25" i="7"/>
  <c r="E25" i="7"/>
  <c r="G24" i="7"/>
  <c r="E24" i="7"/>
  <c r="G23" i="7"/>
  <c r="E23" i="7"/>
  <c r="G22" i="7"/>
  <c r="E22" i="7"/>
  <c r="G21" i="7"/>
  <c r="E21" i="7"/>
  <c r="G20" i="7"/>
  <c r="E20" i="7"/>
  <c r="G19" i="7"/>
  <c r="E19" i="7"/>
  <c r="G18" i="7"/>
  <c r="E18" i="7"/>
  <c r="G17" i="7"/>
  <c r="E17" i="7"/>
  <c r="G16" i="7"/>
  <c r="E16" i="7"/>
  <c r="G15" i="7"/>
  <c r="E15" i="7"/>
  <c r="G14" i="7"/>
  <c r="E14" i="7"/>
  <c r="G13" i="7"/>
  <c r="E13" i="7"/>
  <c r="G12" i="7"/>
  <c r="E12" i="7"/>
  <c r="G11" i="7"/>
  <c r="E11" i="7"/>
  <c r="G10" i="7"/>
  <c r="E10" i="7"/>
  <c r="G9" i="7"/>
  <c r="E9" i="7"/>
  <c r="G8" i="7"/>
  <c r="E8" i="7"/>
  <c r="G7" i="7"/>
  <c r="E7" i="7"/>
  <c r="L127" i="7" l="1"/>
  <c r="L866" i="7"/>
  <c r="L862" i="7"/>
  <c r="L868" i="7"/>
  <c r="L864" i="7"/>
  <c r="J864" i="7"/>
  <c r="L867" i="7"/>
  <c r="L865" i="7"/>
  <c r="L863" i="7"/>
  <c r="L861" i="7"/>
  <c r="L859" i="7"/>
  <c r="L857" i="7"/>
  <c r="L855" i="7"/>
  <c r="L853" i="7"/>
  <c r="L851" i="7"/>
  <c r="L849" i="7"/>
  <c r="L847" i="7"/>
  <c r="L845" i="7"/>
  <c r="L843" i="7"/>
  <c r="L841" i="7"/>
  <c r="L839" i="7"/>
  <c r="L837" i="7"/>
  <c r="L835" i="7"/>
  <c r="L833" i="7"/>
  <c r="L831" i="7"/>
  <c r="L753" i="7"/>
  <c r="L751" i="7"/>
  <c r="L749" i="7"/>
  <c r="L558" i="7"/>
  <c r="L542" i="7"/>
  <c r="L496" i="7"/>
  <c r="L494" i="7"/>
  <c r="L492" i="7"/>
  <c r="L490" i="7"/>
  <c r="L488" i="7"/>
  <c r="L366" i="7"/>
  <c r="L364" i="7"/>
  <c r="L362" i="7"/>
  <c r="L360" i="7"/>
  <c r="L187" i="7"/>
  <c r="L142" i="7"/>
  <c r="L140" i="7"/>
  <c r="L138" i="7"/>
  <c r="L136" i="7"/>
  <c r="L121" i="7"/>
  <c r="L119" i="7"/>
  <c r="L117" i="7"/>
  <c r="J116" i="7"/>
  <c r="J114" i="7"/>
  <c r="L112" i="7"/>
  <c r="L110" i="7"/>
  <c r="L108" i="7"/>
  <c r="L106" i="7"/>
  <c r="L104" i="7"/>
  <c r="L99" i="7"/>
  <c r="J867" i="7"/>
  <c r="J865" i="7"/>
  <c r="J863" i="7"/>
  <c r="J861" i="7"/>
  <c r="J859" i="7"/>
  <c r="J849" i="7"/>
  <c r="J847" i="7"/>
  <c r="J845" i="7"/>
  <c r="J843" i="7"/>
  <c r="J841" i="7"/>
  <c r="J839" i="7"/>
  <c r="J837" i="7"/>
  <c r="J835" i="7"/>
  <c r="J833" i="7"/>
  <c r="J753" i="7"/>
  <c r="L651" i="7"/>
  <c r="L563" i="7"/>
  <c r="L561" i="7"/>
  <c r="L528" i="7"/>
  <c r="L526" i="7"/>
  <c r="L222" i="7"/>
  <c r="L153" i="7"/>
  <c r="L151" i="7"/>
  <c r="L149" i="7"/>
  <c r="L147" i="7"/>
  <c r="L145" i="7"/>
  <c r="L134" i="7"/>
  <c r="L132" i="7"/>
  <c r="L130" i="7"/>
  <c r="L128" i="7"/>
  <c r="J121" i="7"/>
  <c r="J119" i="7"/>
  <c r="J117" i="7"/>
  <c r="L115" i="7"/>
  <c r="J112" i="7"/>
  <c r="J110" i="7"/>
  <c r="J108" i="7"/>
  <c r="L102" i="7"/>
  <c r="L95" i="7"/>
  <c r="L860" i="7"/>
  <c r="L858" i="7"/>
  <c r="L856" i="7"/>
  <c r="L854" i="7"/>
  <c r="L852" i="7"/>
  <c r="L850" i="7"/>
  <c r="L848" i="7"/>
  <c r="L846" i="7"/>
  <c r="L844" i="7"/>
  <c r="L842" i="7"/>
  <c r="L840" i="7"/>
  <c r="L838" i="7"/>
  <c r="L836" i="7"/>
  <c r="L834" i="7"/>
  <c r="L754" i="7"/>
  <c r="L752" i="7"/>
  <c r="L750" i="7"/>
  <c r="L559" i="7"/>
  <c r="L541" i="7"/>
  <c r="L497" i="7"/>
  <c r="L495" i="7"/>
  <c r="L493" i="7"/>
  <c r="L491" i="7"/>
  <c r="L489" i="7"/>
  <c r="L365" i="7"/>
  <c r="L363" i="7"/>
  <c r="L361" i="7"/>
  <c r="L190" i="7"/>
  <c r="L141" i="7"/>
  <c r="L139" i="7"/>
  <c r="L137" i="7"/>
  <c r="L126" i="7"/>
  <c r="L120" i="7"/>
  <c r="L118" i="7"/>
  <c r="J115" i="7"/>
  <c r="L111" i="7"/>
  <c r="L109" i="7"/>
  <c r="L107" i="7"/>
  <c r="L105" i="7"/>
  <c r="L98" i="7"/>
  <c r="J868" i="7"/>
  <c r="J866" i="7"/>
  <c r="J862" i="7"/>
  <c r="J860" i="7"/>
  <c r="J848" i="7"/>
  <c r="J846" i="7"/>
  <c r="J844" i="7"/>
  <c r="J842" i="7"/>
  <c r="J840" i="7"/>
  <c r="J838" i="7"/>
  <c r="J836" i="7"/>
  <c r="J834" i="7"/>
  <c r="J752" i="7"/>
  <c r="L650" i="7"/>
  <c r="L562" i="7"/>
  <c r="L560" i="7"/>
  <c r="L527" i="7"/>
  <c r="L508" i="7"/>
  <c r="L498" i="7"/>
  <c r="L217" i="7"/>
  <c r="L152" i="7"/>
  <c r="L150" i="7"/>
  <c r="L148" i="7"/>
  <c r="L146" i="7"/>
  <c r="L144" i="7"/>
  <c r="L133" i="7"/>
  <c r="L131" i="7"/>
  <c r="L129" i="7"/>
  <c r="J120" i="7"/>
  <c r="J118" i="7"/>
  <c r="L114" i="7"/>
  <c r="J113" i="7"/>
  <c r="J111" i="7"/>
  <c r="J109" i="7"/>
  <c r="L101" i="7"/>
  <c r="L96" i="7"/>
  <c r="A858" i="7" l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L742" i="7"/>
  <c r="L745" i="7"/>
  <c r="L701" i="7"/>
  <c r="L746" i="7"/>
  <c r="L744" i="7"/>
  <c r="G745" i="7"/>
  <c r="G744" i="7"/>
  <c r="L737" i="7"/>
  <c r="G742" i="7"/>
  <c r="G701" i="7"/>
  <c r="G746" i="7"/>
  <c r="G737" i="7"/>
  <c r="J746" i="7"/>
  <c r="J745" i="7"/>
  <c r="E746" i="7"/>
  <c r="E745" i="7"/>
</calcChain>
</file>

<file path=xl/sharedStrings.xml><?xml version="1.0" encoding="utf-8"?>
<sst xmlns="http://schemas.openxmlformats.org/spreadsheetml/2006/main" count="25013" uniqueCount="15617">
  <si>
    <t>STT</t>
  </si>
  <si>
    <t>Sản phẩm</t>
  </si>
  <si>
    <t>Giá bán lẻ</t>
  </si>
  <si>
    <t>Chưa VAT</t>
  </si>
  <si>
    <t>Có VAT</t>
  </si>
  <si>
    <t>Ruột phích 2L loại 1</t>
  </si>
  <si>
    <t>đ/c</t>
  </si>
  <si>
    <t>Ruột phích 1040</t>
  </si>
  <si>
    <t>Ruột phích 1045</t>
  </si>
  <si>
    <t>Ruột phích 1055</t>
  </si>
  <si>
    <t>Ruột phích 3245-3,2L</t>
  </si>
  <si>
    <t>Ruột phích 3240-3,2L</t>
  </si>
  <si>
    <t>Ruột phích 1045 ST1.E-1,0L</t>
  </si>
  <si>
    <t>Ruột phích 2045 ST1.E-2.0L</t>
  </si>
  <si>
    <t>Ruột phích 2545 ST1.E-2,5L</t>
  </si>
  <si>
    <t>Ruột phích 0940</t>
  </si>
  <si>
    <t>Ruột phích 1235</t>
  </si>
  <si>
    <t>Ruột phích 1542</t>
  </si>
  <si>
    <t>Ruột phích 04528</t>
  </si>
  <si>
    <t>Ruột phích 1038 (N1)</t>
  </si>
  <si>
    <t>Ruột phích 1038 (N2)</t>
  </si>
  <si>
    <t>Ruột phích 0538</t>
  </si>
  <si>
    <t>Ruột phích 0850-0.8L</t>
  </si>
  <si>
    <t>Ruột phích 1100-1.1L</t>
  </si>
  <si>
    <t>Ruột phích 1800-1.8L</t>
  </si>
  <si>
    <t>Ruột phích 1300-1.3L</t>
  </si>
  <si>
    <t>Phích đựng nước nóng (RD-1038 N1)-1L</t>
  </si>
  <si>
    <t>Phích đựng nước nóng (RD-1038 N2)-1L</t>
  </si>
  <si>
    <t>Phích đựng nước nóng (RD 0538 N1) 0,5L</t>
  </si>
  <si>
    <t>Phích cá nhân RD 0538 N2.E</t>
  </si>
  <si>
    <t>Phích giữ nhiệt (RD 04528 ) 0,45L</t>
  </si>
  <si>
    <t>Phích giữ nhiệt (RD 04528 N2) 0,45L</t>
  </si>
  <si>
    <t>Phích 1040-1L</t>
  </si>
  <si>
    <t>Phích 1040TS-1L HT</t>
  </si>
  <si>
    <t>Phích 1040 ST2-1L-Thân Inox</t>
  </si>
  <si>
    <t>Phích 1040 N1.E-1,0L-Pioneer</t>
  </si>
  <si>
    <t>Phích 1040 ST2.E-1,0L-Pioneer</t>
  </si>
  <si>
    <t>Phích 1040 N2-1.0L</t>
  </si>
  <si>
    <t>Phích cà phê RD 1040 ST3.E</t>
  </si>
  <si>
    <t>Phích 1045TS-E Pioneer</t>
  </si>
  <si>
    <t>Phích cao cấp 1045 N1.E-1.0L Pioneer</t>
  </si>
  <si>
    <t>Phích cao cấp 1045 ST1.E-1,0L</t>
  </si>
  <si>
    <t>Phích trà 1045 N2.E</t>
  </si>
  <si>
    <t>Phích đựng nước RD 1045 N3.E</t>
  </si>
  <si>
    <t>Phích trà 1055TS-1L</t>
  </si>
  <si>
    <t>Phích trà 1055TS-1L HT</t>
  </si>
  <si>
    <t>Phích 1055 ST1.E-1L-Pioneer</t>
  </si>
  <si>
    <t>Phích cao cấp 1055 N1.E-1.0L Pioneer</t>
  </si>
  <si>
    <t>Phích sắt XK-2L</t>
  </si>
  <si>
    <t>Phích Nhựa 899-2Lít</t>
  </si>
  <si>
    <t>Phích Nhựa 697-2L</t>
  </si>
  <si>
    <t>Phích 1235 N1-1,2Lít</t>
  </si>
  <si>
    <t>Phích pha trà 1542 N2.E-1.5L Pioneer</t>
  </si>
  <si>
    <t>Phích đựng nước RD 1542 N3.E</t>
  </si>
  <si>
    <t>Phích pha trà 1565 N1.E-1.5L</t>
  </si>
  <si>
    <t>Phích 2035 N1.E-2L-Pioneer</t>
  </si>
  <si>
    <t>Phích 2035 N10.E-2L-Pioneer</t>
  </si>
  <si>
    <t>Phích 2035 N5-2Lít</t>
  </si>
  <si>
    <t>Phích cao cấp 2045 ST1.E-2,0L</t>
  </si>
  <si>
    <t>Phích cao cấp RD-2045 TS.E-2,0L Pioneer</t>
  </si>
  <si>
    <t>Phích cao cấp 2045 ST3.E-2,0L</t>
  </si>
  <si>
    <t>Phích cao cấp 2045 ST2.E-2,0L</t>
  </si>
  <si>
    <t>Phích cao cấp 2545 ST1.E-2,5L</t>
  </si>
  <si>
    <t>Phích 3245 N1.E-3,2L-Pioneer</t>
  </si>
  <si>
    <t>Phích đựng nước nóng 3245 N3-3,2L</t>
  </si>
  <si>
    <t>Phích đựng nước 2 lít N6 (Nút xoáy)</t>
  </si>
  <si>
    <t>Phích RD-0940 N1.E</t>
  </si>
  <si>
    <t>Phích 2035 N3-2Lít (MN)</t>
  </si>
  <si>
    <t>Phích 2035 ST1-2Lít</t>
  </si>
  <si>
    <t>Phích 2035 ST2-2Lít</t>
  </si>
  <si>
    <t>Phích cao cấp 2035 ST1.E-2,0L</t>
  </si>
  <si>
    <t>Phích 3240 ST1-3,2Lít</t>
  </si>
  <si>
    <t>Phích giữ nhiệt (RD 04528 N2) 0,45L-QT</t>
  </si>
  <si>
    <t>Phích 1040 ST2.E-1,0L-Pioneer-QT</t>
  </si>
  <si>
    <t>Phích cao cấp 1055 N1.E-1.0L Pioneer-QT</t>
  </si>
  <si>
    <t>Phích cao cấp 2045 ST1.E-2,0L - QT</t>
  </si>
  <si>
    <t>Phích trà 1355 TS</t>
  </si>
  <si>
    <t>Phích trà 1355 HT</t>
  </si>
  <si>
    <t>Phích cà phê RD 0740 ST3.E</t>
  </si>
  <si>
    <t>Gioăng silicon cổ phích 2L</t>
  </si>
  <si>
    <t>Gioăng Silicon cổ phích 1055 ST1</t>
  </si>
  <si>
    <t>Gioăng Silicon cổ phích 3245</t>
  </si>
  <si>
    <t>Nút phích gỗ 2.05 lít</t>
  </si>
  <si>
    <t>Bình đựng thức ăn 0850 N1.T</t>
  </si>
  <si>
    <t>Bình đựng thức ăn 1100 N1.T</t>
  </si>
  <si>
    <t>Bình nước cầm tay 07P1</t>
  </si>
  <si>
    <t>Bình nước cầm tay 05P1</t>
  </si>
  <si>
    <t>Bình nước cầm tay 06P1</t>
  </si>
  <si>
    <t>Bình nước cầm tay 10P1</t>
  </si>
  <si>
    <t>Bình nước cầm tay 12P1</t>
  </si>
  <si>
    <t>Bình đựng thức ăn RD 1800 N1.T</t>
  </si>
  <si>
    <t>Bình nước cầm tay RD 045G1</t>
  </si>
  <si>
    <t>Bình nước cầm tay RD 045G2</t>
  </si>
  <si>
    <t>Bình nước cầm tay RD 045G3</t>
  </si>
  <si>
    <t>Ấm điện siêu tốc RD-AST18 ST1</t>
  </si>
  <si>
    <t>Ấm điện siêu tốc RD-AST18 ST2</t>
  </si>
  <si>
    <t>Ấm điện siêu tốc RD-AST17 ST1.E</t>
  </si>
  <si>
    <t>Ấm điện siêu tốc RD-AST17 P1</t>
  </si>
  <si>
    <t>Ấm điện siêu tốc RD-AST17 P2</t>
  </si>
  <si>
    <t>Bình ủ RD 1300 TS1</t>
  </si>
  <si>
    <t>Bình ủ RD 1300 TS1.E</t>
  </si>
  <si>
    <t>Bình ủ RD 1300 ST1.E</t>
  </si>
  <si>
    <t>Phích giữ nhiệt RD-04528N2 - Combo</t>
  </si>
  <si>
    <t>Phích cá nhân RD-0538N2.E - Combo</t>
  </si>
  <si>
    <t>Bình nước cầm tay RD-05P2</t>
  </si>
  <si>
    <t>Bình nước cầm tay RD-05P3</t>
  </si>
  <si>
    <t>Bình nước cầm tay RD-07P2</t>
  </si>
  <si>
    <t>Bình nước cầm tay RD-07P3</t>
  </si>
  <si>
    <t>Bình nước RD-05P2.QT (hộp quà tặng &amp; dây treo)</t>
  </si>
  <si>
    <t>Bình nước RD-05P2. Combo (hộp có sáp màu)</t>
  </si>
  <si>
    <t>Bình ủ RD 1800 N1.E</t>
  </si>
  <si>
    <t>Phích đựng nước RD 1340 ST1.E</t>
  </si>
  <si>
    <t>Phích đựng nước RD 1040 ST4.E</t>
  </si>
  <si>
    <t>Phích đựng nước RD 0538 N3.E</t>
  </si>
  <si>
    <t>Bình ủ RD 1300 TS2.E</t>
  </si>
  <si>
    <t>Phích đựng nước RD 1542 N4.E</t>
  </si>
  <si>
    <t>Bình nước cầm tay 10P2</t>
  </si>
  <si>
    <t>Ấm điện siêu tốc RD-AST17 P1.E</t>
  </si>
  <si>
    <t>Ấm điện siêu tốc RD-AST17 ST2.E</t>
  </si>
  <si>
    <t>Bình nước cầm tay 12P2</t>
  </si>
  <si>
    <t>Phích đựng nước RD-2035 TS2.E</t>
  </si>
  <si>
    <t>Phích đựng nước RD-2035 ST2.E</t>
  </si>
  <si>
    <t>Phích đựng nước RD 0540 N1.E</t>
  </si>
  <si>
    <t>Phích đựng nước RD 1040 TS4.E HT</t>
  </si>
  <si>
    <t>Bình ủ RD 0900 TS1.E</t>
  </si>
  <si>
    <t>Bình ủ RD 0900 TS1.S</t>
  </si>
  <si>
    <t>Bình ủ RD 0900 ST1.S</t>
  </si>
  <si>
    <t>Phích đựng nước RD-1040 ST3</t>
  </si>
  <si>
    <t>Phích đựng nước RD-1542 N5.E</t>
  </si>
  <si>
    <t>Phích đựng nước RD-3045 ST1.E</t>
  </si>
  <si>
    <t>Phích đựng nước RD-3545 ST1.E</t>
  </si>
  <si>
    <t>Bộ combo quà tặng-Model: RD-KT.01</t>
  </si>
  <si>
    <t>Bình ủ RD-1300TS2.E Combo</t>
  </si>
  <si>
    <t>Ấm điện siêu tốc RD-AST12 ST2</t>
  </si>
  <si>
    <t>Ấm điện siêu tốc RD-AST18 ST3</t>
  </si>
  <si>
    <t>1</t>
  </si>
  <si>
    <t>2</t>
  </si>
  <si>
    <t>3</t>
  </si>
  <si>
    <t>#</t>
  </si>
  <si>
    <t>Tên chủng loại</t>
  </si>
  <si>
    <t>Mã Hàng hóa</t>
  </si>
  <si>
    <t>Mô tả hàng hóa</t>
  </si>
  <si>
    <t>P0003-Giá cấp 1 MN</t>
  </si>
  <si>
    <t>P0018-Giá lẻ niêm yết</t>
  </si>
  <si>
    <t>Bộ đèn LED</t>
  </si>
  <si>
    <t>00000266</t>
  </si>
  <si>
    <t>Bộ đèn LED Tube T8 M9/22Wx1.GO 5000K</t>
  </si>
  <si>
    <t>LED00005508</t>
  </si>
  <si>
    <t>Bộ đèn LED TUBE T8 M9/18Wx2 Trắng S(110V)</t>
  </si>
  <si>
    <t>LED00006000</t>
  </si>
  <si>
    <t>Bộ đèn LED Tube T8 M9/18Wx1 3000K</t>
  </si>
  <si>
    <t>LED00012349</t>
  </si>
  <si>
    <t>Bộ đèn LED Tube T8 CA01/18Wx2 6500K SS</t>
  </si>
  <si>
    <t>LED00012752</t>
  </si>
  <si>
    <t>Bộ đèn LED Tube T5 LT03 600/8W 6500K SS</t>
  </si>
  <si>
    <t>LED00014194</t>
  </si>
  <si>
    <t>Bộ đèn LED CSLH/20Wx1 6500K SS</t>
  </si>
  <si>
    <t>LED00014195</t>
  </si>
  <si>
    <t>Bộ đèn LED Tube T8 CSLH/20Wx2 6500K SS</t>
  </si>
  <si>
    <t>LED00019550</t>
  </si>
  <si>
    <t>LED LUMINAIRE FS T8 12Wx4-M6-6500K(XK)</t>
  </si>
  <si>
    <t>LED00025158</t>
  </si>
  <si>
    <t>Bộ LED Tube T8 M11/10Wx1 6500K SS-CT</t>
  </si>
  <si>
    <t>LED00025465</t>
  </si>
  <si>
    <t>Bộ đèn LED M26 600/18W 6500K</t>
  </si>
  <si>
    <t>LED00026383</t>
  </si>
  <si>
    <t>Bộ đèn LED Tube T8 M11/20Wx1.DA 6500K SS</t>
  </si>
  <si>
    <t>LED00026507</t>
  </si>
  <si>
    <t>Bộ đèn LED chống nổ CN01 1200/36W.DA 6500K</t>
  </si>
  <si>
    <t>LED00029047</t>
  </si>
  <si>
    <t>Bộ đèn LED M36 1200/40W 6500K</t>
  </si>
  <si>
    <t>LED00035197</t>
  </si>
  <si>
    <t>Bộ đèn LED Tube T8 M11/20Wx1 6500K (LPF) SS</t>
  </si>
  <si>
    <t>LED00035252</t>
  </si>
  <si>
    <t>Bộ đèn LED cảm biến Parking light SKD 1200/36W 5700K</t>
  </si>
  <si>
    <t>LED00035535</t>
  </si>
  <si>
    <t>Bộ đèn LED Tube T8 TT01 CSLH/20Wx2 6500K SS</t>
  </si>
  <si>
    <t>LED00036238</t>
  </si>
  <si>
    <t>Bộ đèn LED M26 1200/40W 3000K</t>
  </si>
  <si>
    <t>LED00048630</t>
  </si>
  <si>
    <t>Bộ đèn LED M18 600/20W 5700K (KC-KN)</t>
  </si>
  <si>
    <t>LED00053798</t>
  </si>
  <si>
    <t>Bộ đèn LED Tube T8  M11/20Wx1 3000K</t>
  </si>
  <si>
    <t>LED00055368</t>
  </si>
  <si>
    <t>Đèn LED Đánh cá DC06 500W 5000K</t>
  </si>
  <si>
    <t>LED00056230</t>
  </si>
  <si>
    <t>Bộ đèn LED linear LR02 1200/42W 6500K-CT</t>
  </si>
  <si>
    <t>LED00056232</t>
  </si>
  <si>
    <t>Bộ đèn LED Tube T5 LT03 1200/16W 3000K SS-CT</t>
  </si>
  <si>
    <t>LED00059469</t>
  </si>
  <si>
    <t>Bộ đèn LED Tube T8 LT.GR08 1200/22W (IP65)</t>
  </si>
  <si>
    <t>LED00062261</t>
  </si>
  <si>
    <t>Bộ đèn LED PKLOT 1200/20W.V2 5700K (TOP) SS</t>
  </si>
  <si>
    <t>LED00064178</t>
  </si>
  <si>
    <t>Đèn LED tủ đông ORION H CANOPY 1176 4000K (N17735)</t>
  </si>
  <si>
    <t>LED00005119</t>
  </si>
  <si>
    <t>Bộ đèn LED TUBE T8 LT01 1200/18W 3000K</t>
  </si>
  <si>
    <t>LED00005123</t>
  </si>
  <si>
    <t>Bộ đèn LED Tube T8 LT01 1200/18W 6500K SS</t>
  </si>
  <si>
    <t>LED00005507</t>
  </si>
  <si>
    <t>Bộ đèn LED TUBE T8 M9/18Wx1 Trắng S(110V)</t>
  </si>
  <si>
    <t>LED00005512</t>
  </si>
  <si>
    <t>Bộ đèn LED Tube T8 N01 M11/18Wx1 6500K SS</t>
  </si>
  <si>
    <t>LED00011991</t>
  </si>
  <si>
    <t>Bộ đèn LED M18 600/18W 6500K SS</t>
  </si>
  <si>
    <t>LED00012348</t>
  </si>
  <si>
    <t>Bộ đèn LED Tube T8 CA01/18Wx1 6500K SS</t>
  </si>
  <si>
    <t>LED00012430</t>
  </si>
  <si>
    <t>Bộ đèn LED Tube T8 N02 M21.1/18Wx1 6500K</t>
  </si>
  <si>
    <t>LED00012723</t>
  </si>
  <si>
    <t>Bộ đèn LED Tube T8 TT01 M21.1/18Wx1 6500K SS</t>
  </si>
  <si>
    <t>LED00025744</t>
  </si>
  <si>
    <t>Bộ đèn LED Tube T8 TT01 CSLH/18Wx1 3000K SS</t>
  </si>
  <si>
    <t>LED00026237</t>
  </si>
  <si>
    <t>Bộ đèn LED chống nổ CN01 1200/36W 6500K</t>
  </si>
  <si>
    <t>LED00029628</t>
  </si>
  <si>
    <t>Bộ đèn LED TUBE T8 M25/18Wx4</t>
  </si>
  <si>
    <t>LED00031590</t>
  </si>
  <si>
    <t>Bộ đèn LED Tube T8 CA01/20Wx1 6500K SS</t>
  </si>
  <si>
    <t>LED00033395</t>
  </si>
  <si>
    <t>Bộ đèn LED M16 600/18W.DA 6500K</t>
  </si>
  <si>
    <t>LED00035245</t>
  </si>
  <si>
    <t>Đèn LED chữ X/50W 6500K (580mm Kumho)</t>
  </si>
  <si>
    <t>LED00036204</t>
  </si>
  <si>
    <t>Bộ đèn LED Tube T8 TT01 M21.1/20Wx1 6500K-CTT</t>
  </si>
  <si>
    <t>LED00036567</t>
  </si>
  <si>
    <t>Bộ đèn LED Tube T8 TT01 CA01/20Wx2 6500K</t>
  </si>
  <si>
    <t>LED00040846</t>
  </si>
  <si>
    <t>Bộ đèn LED Tube T8 M10/36Wx2 6500K SS</t>
  </si>
  <si>
    <t>LED00041799</t>
  </si>
  <si>
    <t>Bộ đèn LED chống nổ CN01 1200/40W.DA 6500K</t>
  </si>
  <si>
    <t>LED00052188</t>
  </si>
  <si>
    <t>Bộ đèn LED Tube T8 CA01/20Wx2.PLUS 6500K</t>
  </si>
  <si>
    <t>LED00052580</t>
  </si>
  <si>
    <t>Bộ đèn LED CSLH 1200/20W 6500K SS</t>
  </si>
  <si>
    <t>LED00052775</t>
  </si>
  <si>
    <t>Bộ đèn LED CSLH 200x1200/40W.PLUS 6500K</t>
  </si>
  <si>
    <t>LED00053429</t>
  </si>
  <si>
    <t>Bộ đèn LED M26 1200/40W 6500K-TC</t>
  </si>
  <si>
    <t>LED00054195</t>
  </si>
  <si>
    <t>Bộ đèn LED tube T5 LT05 300/5W 6500K (KC)</t>
  </si>
  <si>
    <t>LED00054944</t>
  </si>
  <si>
    <t>Bộ đèn LED Tube T8 M11/20Wx1 3000K (LPF)</t>
  </si>
  <si>
    <t>LED00060208</t>
  </si>
  <si>
    <t>Đèn LED Đánh cá DC05 500W.V2 5000K</t>
  </si>
  <si>
    <t>LED00016250</t>
  </si>
  <si>
    <t>Bộ đèn LED Tube T8 M11/10Wx1.DA 6500K SS</t>
  </si>
  <si>
    <t>LED00018698</t>
  </si>
  <si>
    <t>Đèn LED chữ X 600x600/45W 6500K SS</t>
  </si>
  <si>
    <t>LED00022632</t>
  </si>
  <si>
    <t>Bộ đèn LED M20 TT01 600/12W 5000K SS</t>
  </si>
  <si>
    <t>LED00044870</t>
  </si>
  <si>
    <t>Đèn LED Downlight nổi trần NT01 110/20W 6500K</t>
  </si>
  <si>
    <t>LED00049706</t>
  </si>
  <si>
    <t>Bộ đèn LED Tube T8 CA01/20Wx2 6500K</t>
  </si>
  <si>
    <t>LED00050297</t>
  </si>
  <si>
    <t>Đèn LED Downlight nổi trần NT01 110/10W 3000K</t>
  </si>
  <si>
    <t>LED00061236</t>
  </si>
  <si>
    <t>Bộ chiếu sáng LED Base Light BL 1200/32.5W 5000K</t>
  </si>
  <si>
    <t>LED00063096</t>
  </si>
  <si>
    <t>Bộ đèn LED M20 NT01 900/21W.LF 6500K</t>
  </si>
  <si>
    <t>LED00063114</t>
  </si>
  <si>
    <t>Bộ đèn LED M20 NT01 1200/28W.LF 4000K</t>
  </si>
  <si>
    <t>LED00065488</t>
  </si>
  <si>
    <t>Bóng đèn LED tube dự phòng T5.DP 1500/25W 6500K</t>
  </si>
  <si>
    <t>LED00066544</t>
  </si>
  <si>
    <t>Đèn LED ZDL 1205 13W 5000K (Yankon)</t>
  </si>
  <si>
    <t>LED00067072</t>
  </si>
  <si>
    <t>Đèn LED tủ đông ORION V CHILLER  1476 4000K (N17722)</t>
  </si>
  <si>
    <t>LED00070410</t>
  </si>
  <si>
    <t>Bộ đèn LED M36 600/25W 6500K</t>
  </si>
  <si>
    <t>LED00080084</t>
  </si>
  <si>
    <t>Bộ đèn LED chống ẩm M18 1200/40W.GOV.V2</t>
  </si>
  <si>
    <t>LED00081669</t>
  </si>
  <si>
    <t>Đèn LED tủ đông ION V CHILLER 1676 C 4000K (N14610)</t>
  </si>
  <si>
    <t>Bộ Phụ Kiện</t>
  </si>
  <si>
    <t>00000545</t>
  </si>
  <si>
    <t>Phụ kiện lò xo cho M15</t>
  </si>
  <si>
    <t>LED00016729</t>
  </si>
  <si>
    <t>Giá treo đèn nổi trần M15 600x600</t>
  </si>
  <si>
    <t>LED00053876</t>
  </si>
  <si>
    <t>Giắc nối  IP bộ đèn LED Tube T5/T8</t>
  </si>
  <si>
    <t>Chao, choá</t>
  </si>
  <si>
    <t>LED00005617</t>
  </si>
  <si>
    <t>Chao đèn downlight C CFL AT04/160 CK</t>
  </si>
  <si>
    <t>LED00005712</t>
  </si>
  <si>
    <t>Chao đèn Công nghiệp C HID HB02 E40/150W</t>
  </si>
  <si>
    <t>Đèn bàn LED</t>
  </si>
  <si>
    <t>LED00016222</t>
  </si>
  <si>
    <t>Đèn bàn LED bảo vệ thị lực RD-RL-16 5W 6500K SS</t>
  </si>
  <si>
    <t>LED00017604</t>
  </si>
  <si>
    <t>Đèn bàn LED bảo vệ thị lực RD-RL-24 5W 6500K</t>
  </si>
  <si>
    <t>LED00017608</t>
  </si>
  <si>
    <t>Đèn bàn LED bảo vệ thị lực RD-RL-26 5W 6500K</t>
  </si>
  <si>
    <t>LED00017610</t>
  </si>
  <si>
    <t>Đèn bàn LED bảo vệ thị lực RD-RL-27 5W 3000K</t>
  </si>
  <si>
    <t>LED00017611</t>
  </si>
  <si>
    <t>Đèn bàn LED bảo vệ thị lực RD-RL-27 5W 6500K</t>
  </si>
  <si>
    <t>LED00005493</t>
  </si>
  <si>
    <t>Bộ đèn LED M16 1200/36W 6500K SS</t>
  </si>
  <si>
    <t>LED00005516</t>
  </si>
  <si>
    <t>Bộ đèn LED Tube T8 CA01/10Wx1 6500K SS</t>
  </si>
  <si>
    <t>LED00006001</t>
  </si>
  <si>
    <t>Bộ đèn LED Tube T8 M9/18Wx1 5000K</t>
  </si>
  <si>
    <t>LED00012075</t>
  </si>
  <si>
    <t>Bộ đèn LED Tube T8 M11/18Wx1 3000K SS</t>
  </si>
  <si>
    <t>LED00014040</t>
  </si>
  <si>
    <t>Bộ đèn LED Tube T8 TT01 M21.1/10Wx1 6500K SS</t>
  </si>
  <si>
    <t>LED00015418</t>
  </si>
  <si>
    <t>Bộ đèn LED CSLH/36Wx1 6500K SS</t>
  </si>
  <si>
    <t>LED00020307</t>
  </si>
  <si>
    <t>Bộ đèn LED TUBE T5 LT01 600/7W 5000K</t>
  </si>
  <si>
    <t>LED00021658</t>
  </si>
  <si>
    <t>Bộ đèn LED M16 300/8W.DA 6500K SS</t>
  </si>
  <si>
    <t>LED00021815</t>
  </si>
  <si>
    <t>Bộ đèn LED M20 AT01 1200/24W 5000K SS</t>
  </si>
  <si>
    <t>LED00029605</t>
  </si>
  <si>
    <t>Bộ đèn TUBE T8 M25/36Wx4 Huỳnh quang có nắp</t>
  </si>
  <si>
    <t>LED00033410</t>
  </si>
  <si>
    <t>Bộ đèn LED Tube T8 M9/18Wx1 6500K SS</t>
  </si>
  <si>
    <t>LED00036573</t>
  </si>
  <si>
    <t>Bộ đèn LED Tube T8 TT01 M11/18Wx1 (Ko bóng-RANLUX)</t>
  </si>
  <si>
    <t>LED00037986</t>
  </si>
  <si>
    <t>Bộ đèn LED M26 600/20W 3000K</t>
  </si>
  <si>
    <t>LED00039844</t>
  </si>
  <si>
    <t>Đèn LED ZDL 1038 9.5W 5000K (Yankon)</t>
  </si>
  <si>
    <t>LED00040081</t>
  </si>
  <si>
    <t>Bộ bảo vệ đèn LED tàu cá PLD/25kV</t>
  </si>
  <si>
    <t>LED00040379</t>
  </si>
  <si>
    <t>Bộ đèn LED MXL 2071 600/ 10Wx2 4000K (Yankon)</t>
  </si>
  <si>
    <t>LED00042738</t>
  </si>
  <si>
    <t>Bộ đèn LED GWL 1004 4FT 40W 4000K (Yankon)</t>
  </si>
  <si>
    <t>LED00046376</t>
  </si>
  <si>
    <t>Bộ đèn LED M26 300/9W 6500K-CT</t>
  </si>
  <si>
    <t>LED00050835</t>
  </si>
  <si>
    <t>Bộ đèn LED Tube T8 M11/20Wx1 6500K (LPF)-CT</t>
  </si>
  <si>
    <t>LED00055016</t>
  </si>
  <si>
    <t>Bộ đèn LED Tube T8 1200/24W WW+DR+FR (IP65)</t>
  </si>
  <si>
    <t>LED00057635</t>
  </si>
  <si>
    <t>Bộ đèn LED cảm biến M28.RAD.BLE 1200/40W 6500K (DIM)</t>
  </si>
  <si>
    <t>LED00059943</t>
  </si>
  <si>
    <t>Bộ đèn LED Tube T8 LT.GR2 1200/25W (IP65)</t>
  </si>
  <si>
    <t>LED00063602</t>
  </si>
  <si>
    <t>Đèn ray LED Thanh RLT01 330/10W (48V)</t>
  </si>
  <si>
    <t>LED00065456</t>
  </si>
  <si>
    <t>Đèn LED tủ đông ION V FREEZER 1476 E 5000K (N14550)</t>
  </si>
  <si>
    <t>LED00065459</t>
  </si>
  <si>
    <t>Đèn LED tủ đông ION V FREEZER 1476 E 4000K (N14570)</t>
  </si>
  <si>
    <t>LED00005114</t>
  </si>
  <si>
    <t>Bộ đèn LED chống nổ CN01 1200/18W 6500K</t>
  </si>
  <si>
    <t>LED00011869</t>
  </si>
  <si>
    <t>Bộ đèn LED Tube T8 CSLH/18Wx1 6500K SS</t>
  </si>
  <si>
    <t>LED00011990</t>
  </si>
  <si>
    <t>Bộ đèn LED M18 1200/36W 6500K SS</t>
  </si>
  <si>
    <t>LED00015337</t>
  </si>
  <si>
    <t>Bộ đèn LED M18 1200/36W 6500K (Ilshine) SS</t>
  </si>
  <si>
    <t>LED00015789</t>
  </si>
  <si>
    <t>Đèn LED chữ I/30W 6500K (Kumho)</t>
  </si>
  <si>
    <t>LED00016299</t>
  </si>
  <si>
    <t>Bộ đèn LED M16 1200/35W.DA 6500K SS</t>
  </si>
  <si>
    <t>LED00016800</t>
  </si>
  <si>
    <t>Đèn LED chữ I D I01L 60/18W 6500K SS</t>
  </si>
  <si>
    <t>LED00022955</t>
  </si>
  <si>
    <t>Bộ đèn LED M26 300/9W 3000K SS</t>
  </si>
  <si>
    <t>LED00035093</t>
  </si>
  <si>
    <t>Bộ đèn LED MXL 2077 600/15W 4000K (Yankon)</t>
  </si>
  <si>
    <t>LED00035202</t>
  </si>
  <si>
    <t>Bộ đèn LED Tube T8 TT01 M21.1/20Wx1 6500K</t>
  </si>
  <si>
    <t>LED00035425</t>
  </si>
  <si>
    <t>Bộ đèn LED Tube T8 TT01 CSBA /20Wx1 6500K</t>
  </si>
  <si>
    <t>LED00038188</t>
  </si>
  <si>
    <t>Đèn LED panel MQL 1046 2x2 30W 3CCT (Yankon-Nora)</t>
  </si>
  <si>
    <t>LED00039763</t>
  </si>
  <si>
    <t>Bộ đèn LED M26 300/9W 3000K</t>
  </si>
  <si>
    <t>LED00040080</t>
  </si>
  <si>
    <t>Bộ bảo vệ đèn LED tàu cá SPL/10kW</t>
  </si>
  <si>
    <t>LED00040936</t>
  </si>
  <si>
    <t>Bộ đèn LED MXL 2071 600/ 10Wx1 4000K (Yankon)</t>
  </si>
  <si>
    <t>LED00041726</t>
  </si>
  <si>
    <t>Đèn LED chữ X/50W.ST 6500K (580mm Kumho)</t>
  </si>
  <si>
    <t>LED00050298</t>
  </si>
  <si>
    <t>Đèn LED Downlight nổi trần NT01 110/12W 3000K</t>
  </si>
  <si>
    <t>LED00053172</t>
  </si>
  <si>
    <t>Bộ đèn LED Parking light 600/20W 5700K (KC-KN)</t>
  </si>
  <si>
    <t>LED00053432</t>
  </si>
  <si>
    <t>Bộ đèn LED M66 1200/60W 6500K-TC</t>
  </si>
  <si>
    <t>LED00062730</t>
  </si>
  <si>
    <t>Bộ đèn LED M46 600/25W 6500K</t>
  </si>
  <si>
    <t>LED00062873</t>
  </si>
  <si>
    <t>Bộ chiếu sáng LED Base Light 1200/43W âm trần 5000K</t>
  </si>
  <si>
    <t>LED00063184</t>
  </si>
  <si>
    <t>Đèn LED tủ lạnh ORION V FREEZER 1476 3500K (N17113)</t>
  </si>
  <si>
    <t>LED00072160</t>
  </si>
  <si>
    <t>Đèn LED tủ đông ION H SHELF 1476 3500K (N14696)</t>
  </si>
  <si>
    <t>LED00072996</t>
  </si>
  <si>
    <t>Bộ đèn LED chống nổ CN01 1200/40W.PLUS 3000K</t>
  </si>
  <si>
    <t>LED00073068</t>
  </si>
  <si>
    <t>Đèn LED tủ đông ION V FREZEER 1488 LFB 3500K-XARR (N11735)</t>
  </si>
  <si>
    <t>LED00005492</t>
  </si>
  <si>
    <t>Bộ đèn LED M16 600/18W 6500K SS</t>
  </si>
  <si>
    <t>LED00005510</t>
  </si>
  <si>
    <t>Bộ đèn LED Tube T8 M11/10Wx1 6500K SS</t>
  </si>
  <si>
    <t>LED00028521</t>
  </si>
  <si>
    <t>Bộ đèn LED M20 TT01 1200/24W 3000K SS</t>
  </si>
  <si>
    <t>LED00031579</t>
  </si>
  <si>
    <t>Bộ đèn LED Tube T8 TT01 CA01/18Wx2 8000K (Yemen)</t>
  </si>
  <si>
    <t>LED00034224</t>
  </si>
  <si>
    <t>Bộ đèn LED M26 600/18W 3000K</t>
  </si>
  <si>
    <t>LED00038189</t>
  </si>
  <si>
    <t>Đèn LED panel MQL 1046 2x2 30W 4000K (Yankon-Nora)</t>
  </si>
  <si>
    <t>LED00040434</t>
  </si>
  <si>
    <t>Đèn LED panel MQL 1046 2x2FT CCT (Yankon-MEGAMAN)</t>
  </si>
  <si>
    <t>LED00042191</t>
  </si>
  <si>
    <t>Bộ đèn LED Tube T8 CA01/18Wx1.DA 6500K SS</t>
  </si>
  <si>
    <t>LED00046578</t>
  </si>
  <si>
    <t>Bộ đèn LED Tube T8 TT01 M25/20Wx3 có kính - Loại 2</t>
  </si>
  <si>
    <t>LED00050880</t>
  </si>
  <si>
    <t>Bộ đèn LED Tube T8 M11/10Wx1 6500K SS-CT</t>
  </si>
  <si>
    <t>LED00051065</t>
  </si>
  <si>
    <t>Bộ đèn LED Tube T8 M11/20Wx1 6500K (LPF)-CTT</t>
  </si>
  <si>
    <t>LED00051392</t>
  </si>
  <si>
    <t>Bộ đèn LED Tube T8 TT01 M21.1/20Wx1 6500K-TC</t>
  </si>
  <si>
    <t>LED00051395</t>
  </si>
  <si>
    <t>Bộ đèn LED Tube T8 M11/10Wx1 6500K SS-TC</t>
  </si>
  <si>
    <t>LED00061238</t>
  </si>
  <si>
    <t>Bộ chiếu sáng LED Base Light BL 1200/32.5W 5000K (KCV)</t>
  </si>
  <si>
    <t>LED00061682</t>
  </si>
  <si>
    <t>Bộ đèn LED Parking Light 1200/40W 4000K (XK-LDV)</t>
  </si>
  <si>
    <t>LED00063075</t>
  </si>
  <si>
    <t>Bộ đèn LED M20 NT01 1200/28W.LF 6500K</t>
  </si>
  <si>
    <t>LED00063145</t>
  </si>
  <si>
    <t>Đèn Ray LED Thanh x/g đổi màu RLT03.BLE.CW 240/12W (48V)</t>
  </si>
  <si>
    <t>LED00063182</t>
  </si>
  <si>
    <t>Đèn LED kệ siêu thị ORION H SHELF 560 RT (N17778)</t>
  </si>
  <si>
    <t>LED00063447</t>
  </si>
  <si>
    <t>Bộ đèn LED Base Light âm trần BL 1200/43W 5000K (XK)</t>
  </si>
  <si>
    <t>LED00064237</t>
  </si>
  <si>
    <t>Đèn LED tủ đông ORION V CHILLER  1776 4000K (N17724)</t>
  </si>
  <si>
    <t>LED00065463</t>
  </si>
  <si>
    <t>Đèn LED tủ đông ION H SHELF 1136 3500K (N14743)</t>
  </si>
  <si>
    <t>LED00065464</t>
  </si>
  <si>
    <t>Đèn LED tủ đông ION H SHELF 1176 3500K (N14692)</t>
  </si>
  <si>
    <t>LED00065934</t>
  </si>
  <si>
    <t>Đèn LED ZDL 1204 34W 5000K (Yankon)</t>
  </si>
  <si>
    <t>LED00068139</t>
  </si>
  <si>
    <t>Đèn LED panel MQL 1059 2x4 45W CCT (YK-Energetic)</t>
  </si>
  <si>
    <t>LED00005998</t>
  </si>
  <si>
    <t>Bộ đèn LED chống nổ CN01 1200/18W.DA 6500K</t>
  </si>
  <si>
    <t>LED00011742</t>
  </si>
  <si>
    <t>Bộ đèn LED M16 300/9W 6500K SS</t>
  </si>
  <si>
    <t>LED00018883</t>
  </si>
  <si>
    <t>Bộ đèn LED Tube T8 M11/10Wx1 4000K</t>
  </si>
  <si>
    <t>LED00021834</t>
  </si>
  <si>
    <t>Bộ đèn LED M18 1200/35W.DA 3000K (IP65) SS</t>
  </si>
  <si>
    <t>LED00022083</t>
  </si>
  <si>
    <t>Bộ đèn LED Tube T5 LT01 600/7W 6500K SS</t>
  </si>
  <si>
    <t>LED00022952</t>
  </si>
  <si>
    <t>Bộ đèn LED M26 1200/36W 3000K SS</t>
  </si>
  <si>
    <t>LED00022960</t>
  </si>
  <si>
    <t>Bộ đèn LED M26 600/18W 6500K SS</t>
  </si>
  <si>
    <t>LED00024024</t>
  </si>
  <si>
    <t>Bộ đèn LED M16 1200/18W 5000K (HPF) SS</t>
  </si>
  <si>
    <t>LED00029629</t>
  </si>
  <si>
    <t>Bộ đèn LED TUBE T8 M25/18Wx2</t>
  </si>
  <si>
    <t>LED00032399</t>
  </si>
  <si>
    <t>Bộ đèn LED Tube T8 CA01/18Wx2 6500K HPF SS</t>
  </si>
  <si>
    <t>LED00034485</t>
  </si>
  <si>
    <t>Bộ đèn LED cảm biến Parking light 1200/36W 5700K SS (TOP-E)</t>
  </si>
  <si>
    <t>LED00035885</t>
  </si>
  <si>
    <t>Bộ đèn LED Parking Light 1200/18W 5700K (TOP-E) SS</t>
  </si>
  <si>
    <t>LED00036962</t>
  </si>
  <si>
    <t>Bộ đèn LED Tube T8 TT01 CSLH/20Wx2 3000K</t>
  </si>
  <si>
    <t>LED00037648</t>
  </si>
  <si>
    <t>Bộ đèn LED Linear đổi màu LR01.BLE L2400x1500</t>
  </si>
  <si>
    <t>LED00037660</t>
  </si>
  <si>
    <t>Bộ đèn LED Tube T8 N02 M21.1/20Wx1 6500K</t>
  </si>
  <si>
    <t>LED00042737</t>
  </si>
  <si>
    <t>Đèn LED Panel MQL 1046 2x4 45W 5000K (Yankon-Nora)</t>
  </si>
  <si>
    <t>LED00043986</t>
  </si>
  <si>
    <t>Bộ đèn LED CSLH.LS 1200/36W 6500K SS</t>
  </si>
  <si>
    <t>LED00044516</t>
  </si>
  <si>
    <t>Đèn LED Downlight nổi trần NT01 100/30W 6500K</t>
  </si>
  <si>
    <t>LED00044517</t>
  </si>
  <si>
    <t>Đèn LED Downlight nổi trần NT01 115/40W 6500K</t>
  </si>
  <si>
    <t>LED00046199</t>
  </si>
  <si>
    <t>Đèn LED Đánh cá DC06 500W 4000K</t>
  </si>
  <si>
    <t>LED00046380</t>
  </si>
  <si>
    <t>Bộ đèn LED M36 600/20W 6500K-CT</t>
  </si>
  <si>
    <t>LED00048629</t>
  </si>
  <si>
    <t>Bộ đèn LED cảm biến Parking light 600/20W 5700K (KC-KN)</t>
  </si>
  <si>
    <t>LED00049374</t>
  </si>
  <si>
    <t>Bộ đèn LED M18 300/10W 5700K (KC)</t>
  </si>
  <si>
    <t>LED00051144</t>
  </si>
  <si>
    <t>Bộ đèn LED Tube T8 M11/10Wx1 6500K SS-CTT</t>
  </si>
  <si>
    <t>LED00052934</t>
  </si>
  <si>
    <t>Đèn LED Downlight nổi trần NT01 110/15W 6500K (trắng)</t>
  </si>
  <si>
    <t>00000267</t>
  </si>
  <si>
    <t>Bộ đèn LED Tube T8 M8/22Wx1 6500K SS</t>
  </si>
  <si>
    <t>LED00005118</t>
  </si>
  <si>
    <t>Bộ đèn LED TUBE T8 LT01 600/10W 3000K</t>
  </si>
  <si>
    <t>LED00005514</t>
  </si>
  <si>
    <t>Bộ đèn LED Tube T8 CSBA/18Wx1 6500K SS</t>
  </si>
  <si>
    <t>LED00012722</t>
  </si>
  <si>
    <t>Bộ đèn LED CSBA 1200/18W 6500K SS</t>
  </si>
  <si>
    <t>LED00014692</t>
  </si>
  <si>
    <t>Bộ đèn LED Tube T5 LT03 600/8W.DA 3000K</t>
  </si>
  <si>
    <t>LED00016373</t>
  </si>
  <si>
    <t>Đèn LED chữ X/50W 6500K (Kumho)</t>
  </si>
  <si>
    <t>LED00016722</t>
  </si>
  <si>
    <t>Bộ đèn LED M20 AT01 1200/24W 3000K SS</t>
  </si>
  <si>
    <t>LED00025126</t>
  </si>
  <si>
    <t>Bộ đèn LED đổi màu M26 1200/36W SS</t>
  </si>
  <si>
    <t>LED00025792</t>
  </si>
  <si>
    <t>Bộ đèn LED Tube T5 LT03 1200/16W.DA 6500K SS</t>
  </si>
  <si>
    <t>LED00026512</t>
  </si>
  <si>
    <t>Bộ đèn LED Parking Light 1200/36W 5700K (TOP-E) SS</t>
  </si>
  <si>
    <t>LED00026575</t>
  </si>
  <si>
    <t>Bộ đèn LED Tube T8 M9/18Wx1 5000K SS</t>
  </si>
  <si>
    <t>LED00031593</t>
  </si>
  <si>
    <t>Bộ đèn LED Tube T8 TT01 CA01/18Wx2 6500K SS</t>
  </si>
  <si>
    <t>LED00034393</t>
  </si>
  <si>
    <t>Bộ đèn LED đổi màu M36 1200/40W</t>
  </si>
  <si>
    <t>LED00040082</t>
  </si>
  <si>
    <t>Bộ bảo vệ đèn LED tàu cá SPL/30kW</t>
  </si>
  <si>
    <t>LED00042735</t>
  </si>
  <si>
    <t>Đèn LED panel MQL 1046 1x4 30W 3CCT (Yankon-Nora)</t>
  </si>
  <si>
    <t>LED00044108</t>
  </si>
  <si>
    <t>Đèn LED panel MQL 1046 2x4 CCT HL (Yankon-ENERGETIC)</t>
  </si>
  <si>
    <t>LED00044881</t>
  </si>
  <si>
    <t>Bộ đèn LED M26 1200/20W 6500K</t>
  </si>
  <si>
    <t>LED00045479</t>
  </si>
  <si>
    <t>Bộ đèn LED M26 1200/40W 6500K-CT</t>
  </si>
  <si>
    <t>LED00047819</t>
  </si>
  <si>
    <t>Bộ đèn LED Tube T8 TT01 M21.1/10Wx1 3000K</t>
  </si>
  <si>
    <t>LED00053428</t>
  </si>
  <si>
    <t>Bộ đèn LED M26 600/20W 6500K-TC</t>
  </si>
  <si>
    <t>LED00054196</t>
  </si>
  <si>
    <t>Bộ đèn LED tube T5 LT05 600/9W 6500K (KC)</t>
  </si>
  <si>
    <t>LED00055344</t>
  </si>
  <si>
    <t>Bộ đèn LED Tube T8 LT.GR2 1200/18W (IP20)</t>
  </si>
  <si>
    <t>LED00059952</t>
  </si>
  <si>
    <t>Bộ đèn LED Tube T5 LT.GR4 1200/22W (IP65)</t>
  </si>
  <si>
    <t>LED00064103</t>
  </si>
  <si>
    <t>Bộ đèn LED chống nổ CN01 1200/40W.PLUS 6500K</t>
  </si>
  <si>
    <t>LED00066134</t>
  </si>
  <si>
    <t>Đèn LED ZDL 1208 DC4.5V/2A (Yankon)</t>
  </si>
  <si>
    <t>00000268</t>
  </si>
  <si>
    <t>Bộ đèn LEDTUBE CSBA/18Wx1 trắng LED SS</t>
  </si>
  <si>
    <t>LED00005494</t>
  </si>
  <si>
    <t>Bộ đèn LED M16 600/18W 3000K SS</t>
  </si>
  <si>
    <t>LED00005519</t>
  </si>
  <si>
    <t>Bộ đèn LED Tube T8 TT01 M11/18Wx1 6500K SS</t>
  </si>
  <si>
    <t>LED00011655</t>
  </si>
  <si>
    <t>Bộ đèn LED Tube T8 CA01/20Wx1.DA 6500K SS</t>
  </si>
  <si>
    <t>LED00012754</t>
  </si>
  <si>
    <t>Bộ đèn LED Tube T5 LT03 300/4W 6500K SS</t>
  </si>
  <si>
    <t>LED00018324</t>
  </si>
  <si>
    <t>Bộ đèn LED M18 1200/36W 4000K SS</t>
  </si>
  <si>
    <t>LED00033580</t>
  </si>
  <si>
    <t>Bộ đèn LED Tube T8 TT01 M11/18Wx1 6500K (Fiji)</t>
  </si>
  <si>
    <t>LED00035401</t>
  </si>
  <si>
    <t>Đèn LED panel MQL 1046 2x4 40W 4000K (Yankon)</t>
  </si>
  <si>
    <t>LED00036313</t>
  </si>
  <si>
    <t>Đèn LED ZDL 1095 6.5W 3000K (Yankon)</t>
  </si>
  <si>
    <t>LED00036685</t>
  </si>
  <si>
    <t>Bộ đèn LED M26 1200/18W 3000K SS</t>
  </si>
  <si>
    <t>LED00036960</t>
  </si>
  <si>
    <t>Bộ đèn LED Tube T8 TT01 CSBA /20Wx1 3000K</t>
  </si>
  <si>
    <t>LED00038741</t>
  </si>
  <si>
    <t>Đèn LED panel MQL 1046 2x2 30W 3000K (Yankon-Nora)</t>
  </si>
  <si>
    <t>LED00044109</t>
  </si>
  <si>
    <t>Đèn LED panel MQL 1046 2x2 CCT HL (Yankon-ENERGETIC)</t>
  </si>
  <si>
    <t>LED00045181</t>
  </si>
  <si>
    <t>Đèn LED Đánh cá DC06 250W 4000K</t>
  </si>
  <si>
    <t>LED00053840</t>
  </si>
  <si>
    <t>Bộ đèn LED Tube T8 LT.GR3 1200/30W (IP65)</t>
  </si>
  <si>
    <t>LED00056821</t>
  </si>
  <si>
    <t>Bộ đèn LED M28.V2 1200/40W 6500K</t>
  </si>
  <si>
    <t>LED00056822</t>
  </si>
  <si>
    <t>Bộ đèn LED M28.V2 600/20W 6500K</t>
  </si>
  <si>
    <t>LED00059456</t>
  </si>
  <si>
    <t>Bộ đèn LED Base Light BL 1200/43W Inverted 5000K (XK)</t>
  </si>
  <si>
    <t>LED00060847</t>
  </si>
  <si>
    <t>Bộ đèn LED M18 600/10W.GOV 6500K</t>
  </si>
  <si>
    <t>LED00063009</t>
  </si>
  <si>
    <t>Bộ đèn LED M20 NT01 1200/28W 6500K_LPF</t>
  </si>
  <si>
    <t>LED00063143</t>
  </si>
  <si>
    <t>Đèn ray LED Thanh đổi màu RLT01.BLE.CW 330/10W (48V)</t>
  </si>
  <si>
    <t>LED00065023</t>
  </si>
  <si>
    <t>Bộ đèn LED Tube T8 TT01 TG/20Wx2 6500K</t>
  </si>
  <si>
    <t>LED00070984</t>
  </si>
  <si>
    <t>Đèn LED tủ đông ION H CANOPY 505 5700K (N14891)</t>
  </si>
  <si>
    <t>LED00072161</t>
  </si>
  <si>
    <t>Đèn LED tủ đông ION H SHELF HO 876 3000K (N14947)</t>
  </si>
  <si>
    <t>LED00072193</t>
  </si>
  <si>
    <t>Đèn LED tủ đông ORION H CANOPY 560 4000K (N17768)</t>
  </si>
  <si>
    <t>LED00005504</t>
  </si>
  <si>
    <t>Bộ đèn LED Tube T5 M6/8Wx4 6500K (Âm trần) SS</t>
  </si>
  <si>
    <t>LED00011643</t>
  </si>
  <si>
    <t>Bộ đèn LED M18 1200/36W 6500K (Cuba) SS</t>
  </si>
  <si>
    <t>LED00018822</t>
  </si>
  <si>
    <t>Đèn LED chữ I 600/25W 6500K SS</t>
  </si>
  <si>
    <t>LED00018910</t>
  </si>
  <si>
    <t>Bộ đèn LED Tube T8 TT01 M21.1/22Wx1 6500K (NR) SS</t>
  </si>
  <si>
    <t>LED00022959</t>
  </si>
  <si>
    <t>Bộ đèn LED M26 600/18W 4000K SS</t>
  </si>
  <si>
    <t>LED00024026</t>
  </si>
  <si>
    <t>Bộ đèn LED M16 2400/36W 5000K SS</t>
  </si>
  <si>
    <t>LED00033022</t>
  </si>
  <si>
    <t>Bộ đèn LED M36 1200/40W 3000K</t>
  </si>
  <si>
    <t>LED00036324</t>
  </si>
  <si>
    <t>Bộ đèn LED Tube T8 TT01 CSLH/18Wx1 6500K</t>
  </si>
  <si>
    <t>LED00036566</t>
  </si>
  <si>
    <t>Bộ đèn LED Tube T8 TT01 CA01/20Wx1 6500K</t>
  </si>
  <si>
    <t>LED00037423</t>
  </si>
  <si>
    <t>Bộ đèn LED Tube T8 TT01 M21.1/20Wx1 6500K-CT</t>
  </si>
  <si>
    <t>LED00037647</t>
  </si>
  <si>
    <t>Bộ đèn LED Linear đổi màu LR01.BLE T4000/56W</t>
  </si>
  <si>
    <t>LED00038837</t>
  </si>
  <si>
    <t>Bộ đèn LED M28 1200/36W 5700K không nguồn (XK) SS</t>
  </si>
  <si>
    <t>LED00042176</t>
  </si>
  <si>
    <t>Bộ đèn LED CSLH 300x1200/40W 6500K (CRI90)</t>
  </si>
  <si>
    <t>LED00045038</t>
  </si>
  <si>
    <t>Đèn LED chữ X/50W 6500K V3 (580mm Kumho)</t>
  </si>
  <si>
    <t>LED00045483</t>
  </si>
  <si>
    <t>Bộ đèn LED Tube T8 TT01 CSLH/20Wx2 6500K SS-CT</t>
  </si>
  <si>
    <t>LED00047863</t>
  </si>
  <si>
    <t>Bộ đèn LED M18 1200/36W.QT 3000K</t>
  </si>
  <si>
    <t>LED00049050</t>
  </si>
  <si>
    <t>Bộ đèn LED Tube T8 CA01/16Wx2.DA 4000K</t>
  </si>
  <si>
    <t>LED00049132</t>
  </si>
  <si>
    <t>Bộ đèn LED Tube T8 TT01 CA01/20Wx1 4000K</t>
  </si>
  <si>
    <t>LED00050834</t>
  </si>
  <si>
    <t>Bộ đèn LED Tube T8 CSLH/20Wx2 6500K SS-CT</t>
  </si>
  <si>
    <t>LED00053412</t>
  </si>
  <si>
    <t>Bộ đèn LED Tube T8 TT01 M11/20Wx1 3000K</t>
  </si>
  <si>
    <t>LED00053430</t>
  </si>
  <si>
    <t>Bộ đèn LED M36 600/20W 6500K-TC</t>
  </si>
  <si>
    <t>LED00055317</t>
  </si>
  <si>
    <t>Bộ đèn LED M66 1200/60W 6500K-CT</t>
  </si>
  <si>
    <t>LED00059927</t>
  </si>
  <si>
    <t>Bộ đèn LED Tube T8 LT.GR2 1200/30W (IP65)</t>
  </si>
  <si>
    <t>LED00059942</t>
  </si>
  <si>
    <t>Bộ đèn LED Tube T8 LT.GR1 1200/25W (IP65)</t>
  </si>
  <si>
    <t>LED00060844</t>
  </si>
  <si>
    <t>Bộ đèn LED M18 1200/36W.GOV 6500K</t>
  </si>
  <si>
    <t>LED00014325</t>
  </si>
  <si>
    <t>Bộ đèn LED M16 900/27W 6500K SS</t>
  </si>
  <si>
    <t>LED00016300</t>
  </si>
  <si>
    <t>Bộ đèn LED M16 600/16W.DA 6500K SS</t>
  </si>
  <si>
    <t>LED00017300</t>
  </si>
  <si>
    <t>Bộ đèn LED nổi trần NT01 600x600/36W-72W 6500K SS</t>
  </si>
  <si>
    <t>LED00019638</t>
  </si>
  <si>
    <t>Bộ đèn LED M16 1200/18W HPF 6500K LED SS</t>
  </si>
  <si>
    <t>LED00022957</t>
  </si>
  <si>
    <t>Bộ đèn LED M26 300/9W 6500K SS</t>
  </si>
  <si>
    <t>LED00026584</t>
  </si>
  <si>
    <t>Bộ đèn LED Tube T8 M9/10Wx1 5000K</t>
  </si>
  <si>
    <t>LED00033409</t>
  </si>
  <si>
    <t>Bộ đèn LED Tube T8 M9/10Wx1 65000K SS</t>
  </si>
  <si>
    <t>LED00033754</t>
  </si>
  <si>
    <t>Bộ đèn LED Tube T8 TT01 M21.1/10Wx1 6500K</t>
  </si>
  <si>
    <t>LED00033849</t>
  </si>
  <si>
    <t>Bộ đèn LED CSLH 1200/36W 6500K HCL SS</t>
  </si>
  <si>
    <t>LED00035223</t>
  </si>
  <si>
    <t>Bộ đèn LED MXL 2071 1200/ 20Wx2 4000K (Yankon)</t>
  </si>
  <si>
    <t>LED00035402</t>
  </si>
  <si>
    <t>Đèn LED panel MQL 1046 2x4 40W 5000K (Yankon)</t>
  </si>
  <si>
    <t>LED00035659</t>
  </si>
  <si>
    <t>Bộ đèn LED M26 1200/40W 6500K</t>
  </si>
  <si>
    <t>LED00036312</t>
  </si>
  <si>
    <t>Đèn LED ZDL 1094 3.5W 3000K (Yankon)</t>
  </si>
  <si>
    <t>LED00040554</t>
  </si>
  <si>
    <t>Bộ đèn LED Tube T8 LT 1200/30W B/R (IP65)</t>
  </si>
  <si>
    <t>LED00040918</t>
  </si>
  <si>
    <t>Bộ đèn LED Tube T8 TT01 M11/10Wx1 6500K</t>
  </si>
  <si>
    <t>LED00043756</t>
  </si>
  <si>
    <t>Bộ đèn LED M28 1200/36W 5700K (XK-KN)</t>
  </si>
  <si>
    <t>LED00044515</t>
  </si>
  <si>
    <t>Đèn LED Downlight nổi trần NT01 100/25W 6500K</t>
  </si>
  <si>
    <t>LED00044731</t>
  </si>
  <si>
    <t>Bộ đèn LED Tube T8 TT01 CA01/20Wx2 3000K</t>
  </si>
  <si>
    <t>LED00046377</t>
  </si>
  <si>
    <t>Bộ đèn LED M26 600/20W 6500K-CT</t>
  </si>
  <si>
    <t>LED00049115</t>
  </si>
  <si>
    <t>Bộ đèn LED chống nổ CN01 1200/40W.DA 4000K</t>
  </si>
  <si>
    <t>LED00050296</t>
  </si>
  <si>
    <t>Đèn LED Downlight nổi trần NT01 90/10W 3000K</t>
  </si>
  <si>
    <t>LED00050890</t>
  </si>
  <si>
    <t>Bộ đèn LED MXL 2071 1200/ 20Wx2 4000K (Yankon)-CT</t>
  </si>
  <si>
    <t>LED00052932</t>
  </si>
  <si>
    <t>Đèn LED Downlight nổi trần NT01 110/12W 6500K (trắng)</t>
  </si>
  <si>
    <t>LED00059676</t>
  </si>
  <si>
    <t>Đèn LED Đánh cá DC06.V3 500W 4000K</t>
  </si>
  <si>
    <t>LED00059944</t>
  </si>
  <si>
    <t>Bộ đèn LED Tube T8 LT.GR3 1200/25W (IP65)</t>
  </si>
  <si>
    <t>00000263</t>
  </si>
  <si>
    <t>Bộ đèn LED Tube LT02 T5 600/8W 6500K</t>
  </si>
  <si>
    <t>00000473</t>
  </si>
  <si>
    <t>Bộ LED Tube T5 LT02 N01 1200/16W 6500K</t>
  </si>
  <si>
    <t>LED00005500</t>
  </si>
  <si>
    <t>Bộ đèn LED Tube T8 M9/18Wx1 6500K</t>
  </si>
  <si>
    <t>LED00011935</t>
  </si>
  <si>
    <t>Bộ đèn LED Tube T8 LT01 600/10W 6500K SS</t>
  </si>
  <si>
    <t>LED00017679</t>
  </si>
  <si>
    <t>Bộ đèn LED M18 1200/36W 3000K SS</t>
  </si>
  <si>
    <t>LED00022956</t>
  </si>
  <si>
    <t>Bộ đèn LED M26 300/9W 4000K SS</t>
  </si>
  <si>
    <t>LED00033581</t>
  </si>
  <si>
    <t>Bộ đèn LED Tube T8 TT01 M11/10Wx1 6500K (Fiji)</t>
  </si>
  <si>
    <t>LED00033848</t>
  </si>
  <si>
    <t>Bộ đèn LED CSLH 1200/36W 6500K DIM SS</t>
  </si>
  <si>
    <t>LED00036578</t>
  </si>
  <si>
    <t>Đèn LED ZDL 1096 4W 3000K (Yankon)</t>
  </si>
  <si>
    <t>LED00043302</t>
  </si>
  <si>
    <t>Bộ TB bảo vệ đèn LED tàu cá SPL/20kW</t>
  </si>
  <si>
    <t>LED00044923</t>
  </si>
  <si>
    <t>Bộ đèn LED M20 NT01 1200/28W 6500K</t>
  </si>
  <si>
    <t>LED00046382</t>
  </si>
  <si>
    <t>Bộ đèn LED Tube T8 N02 M11/20Wx1 6500K-CT</t>
  </si>
  <si>
    <t>LED00052943</t>
  </si>
  <si>
    <t>Bộ đèn LED M66 1200/60W 6500K-CTT</t>
  </si>
  <si>
    <t>LED00052944</t>
  </si>
  <si>
    <t>Bộ đèn LED M36 600/20W 6500K-CTT</t>
  </si>
  <si>
    <t>LED00053842</t>
  </si>
  <si>
    <t>Bộ đèn LED Tube T8 LT.GR4 1200/30W (IP65)</t>
  </si>
  <si>
    <t>LED00060384</t>
  </si>
  <si>
    <t>Bộ đèn LED đổi màu MXL2133 1200/45W (Yankon)</t>
  </si>
  <si>
    <t>LED00061299</t>
  </si>
  <si>
    <t>Bộ đèn LED Tube T8 LT.GR6 1200/30W (IP65)</t>
  </si>
  <si>
    <t>LED00063604</t>
  </si>
  <si>
    <t>Đèn Ray LED Thanh xoay góc RLT03 240/12W (48V)</t>
  </si>
  <si>
    <t>LED00063605</t>
  </si>
  <si>
    <t>Đèn Ray LED Thanh RLT02 370/10W (48V)</t>
  </si>
  <si>
    <t>LED00064269</t>
  </si>
  <si>
    <t>Đèn LED tủ đông ORION V CHILLER  650 5000K (N17798)</t>
  </si>
  <si>
    <t>LED00064322</t>
  </si>
  <si>
    <t>Bộ đèn LED chống nổ CN01 1200/20W.PLUS 6500K</t>
  </si>
  <si>
    <t>LED00065462</t>
  </si>
  <si>
    <t>Đèn LED tủ đông ION H SHELF 805 3500K (N14919)</t>
  </si>
  <si>
    <t>LED00066464</t>
  </si>
  <si>
    <t>Bộ đèn LED M08 1200/18W.GOV.V4 6500K</t>
  </si>
  <si>
    <t>LED00068826</t>
  </si>
  <si>
    <t>Đèn LED tủ lạnh ORION V FREEZER 1676 4000K (N17709)</t>
  </si>
  <si>
    <t>LED00070977</t>
  </si>
  <si>
    <t>Đèn LED tủ đông ION H SHELF 1176 3000K (N14691)</t>
  </si>
  <si>
    <t>00000554</t>
  </si>
  <si>
    <t>Đèn LED TUBE âm trần D M6LT5x4/40W 6500K S</t>
  </si>
  <si>
    <t>LED00005511</t>
  </si>
  <si>
    <t>Bộ đèn LED Tube T8 N01 M11/10Wx1 6500K SS</t>
  </si>
  <si>
    <t>LED00012753</t>
  </si>
  <si>
    <t>Bộ đèn LED Tube T5 LT03 600/8W 3000K SS</t>
  </si>
  <si>
    <t>LED00021816</t>
  </si>
  <si>
    <t>Bộ đèn LED M20 TT01 1200/24W 5000K SS</t>
  </si>
  <si>
    <t>LED00023783</t>
  </si>
  <si>
    <t>Bộ đèn LED Tube T8 TT01 M21.1/18Wx1 3000K SS</t>
  </si>
  <si>
    <t>LED00027789</t>
  </si>
  <si>
    <t>Bộ đèn LED Tube T8 N02 M11/18Wx1 6500K</t>
  </si>
  <si>
    <t>LED00029603</t>
  </si>
  <si>
    <t>Bộ đèn LED TUBE T8 M25120x2 có nắp</t>
  </si>
  <si>
    <t>LED00029604</t>
  </si>
  <si>
    <t>Bộ đèn TUBE T8 M25/36Wx3 Huỳnh quang có nắp</t>
  </si>
  <si>
    <t>LED00029955</t>
  </si>
  <si>
    <t>Bộ đèn LED Tube T8 TT01 M21.1/18Wx1 6500K</t>
  </si>
  <si>
    <t>LED00034219</t>
  </si>
  <si>
    <t>Bộ đèn LED M38 1200/40W 6500K</t>
  </si>
  <si>
    <t>LED00034388</t>
  </si>
  <si>
    <t>Bộ đèn LED Parking Light 1200/40W 5700K (TOP-E) SS</t>
  </si>
  <si>
    <t>LED00035255</t>
  </si>
  <si>
    <t>Đèn LED chữ I/30W 6500K (580mm Kumho)</t>
  </si>
  <si>
    <t>LED00036575</t>
  </si>
  <si>
    <t>Bộ đèn LED Tube T8 TT01 M11/18Wx2 (có chóa-RANLUX)</t>
  </si>
  <si>
    <t>LED00038215</t>
  </si>
  <si>
    <t>Bộ đèn LED Tube T8 CA01/16Wx1.DA 5000K SS</t>
  </si>
  <si>
    <t>LED00040847</t>
  </si>
  <si>
    <t>Bộ đèn LED Tube T8 M10/36Wx2 6500K</t>
  </si>
  <si>
    <t>LED00041035</t>
  </si>
  <si>
    <t>Đèn LED panel MQL 1046 2x4 CCT (Yankon-ENERGETIC)</t>
  </si>
  <si>
    <t>LED00041727</t>
  </si>
  <si>
    <t>Đèn LED chữ I/30W.ST 6500K (580mm Kumho)</t>
  </si>
  <si>
    <t>LED00044871</t>
  </si>
  <si>
    <t>Đèn LED Downlight nổi trần NT01 100/30W 4000K</t>
  </si>
  <si>
    <t>LED00046577</t>
  </si>
  <si>
    <t>Bộ đèn LED Tube T8 TT01 M25/20Wx3 có kính - Loại 1</t>
  </si>
  <si>
    <t>LED00049094</t>
  </si>
  <si>
    <t>Bộ đèn LED Tube T8 CA01/20Wx2.DA 4000K</t>
  </si>
  <si>
    <t>LED00053431</t>
  </si>
  <si>
    <t>Bộ đèn LED M36 1200/40W 6500K-TC</t>
  </si>
  <si>
    <t>LED00053918</t>
  </si>
  <si>
    <t>Bộ đèn LED linear LR02 1200/42W 6500K</t>
  </si>
  <si>
    <t>LED00056228</t>
  </si>
  <si>
    <t>Bộ đèn LED M16 1200/36W 6500K SS-CT</t>
  </si>
  <si>
    <t>LED00058354</t>
  </si>
  <si>
    <t>Bộ đèn LED PKLOT 1200/40W.V2 5700K (TOP) SS</t>
  </si>
  <si>
    <t>LED00059947</t>
  </si>
  <si>
    <t>Bộ đèn LED Tube T5 LT.GR2 1200/25W (IP65)</t>
  </si>
  <si>
    <t>LED00005509</t>
  </si>
  <si>
    <t>Bộ đèn LED Tube T8 M11/18Wx1 6500K SS</t>
  </si>
  <si>
    <t>LED00016791</t>
  </si>
  <si>
    <t>Đèn LED chữ X D X01L 60x60/36W 6500K SS</t>
  </si>
  <si>
    <t>LED00016900</t>
  </si>
  <si>
    <t>Bộ đèn LED Tube T5 LT01 1150/16W.DA 4000K (CRI80) SS</t>
  </si>
  <si>
    <t>LED00018430</t>
  </si>
  <si>
    <t>Bộ đèn LED M20 AT01 1200/24W 6500K SS</t>
  </si>
  <si>
    <t>LED00018431</t>
  </si>
  <si>
    <t>Bộ đèn LED M20 TT01 1200/24W 6500K SS</t>
  </si>
  <si>
    <t>LED00022951</t>
  </si>
  <si>
    <t>Bộ đèn LED M26 1200/36W 4000K SS</t>
  </si>
  <si>
    <t>LED00025462</t>
  </si>
  <si>
    <t>Bộ đèn LED M26 300/9W 6500K</t>
  </si>
  <si>
    <t>LED00033457</t>
  </si>
  <si>
    <t>Bộ đèn LED Tube T8 TT01 CA01/18Wx1 6500K SS</t>
  </si>
  <si>
    <t>LED00035668</t>
  </si>
  <si>
    <t>Bộ đèn LED M26 600/20W 6500K</t>
  </si>
  <si>
    <t>LED00036579</t>
  </si>
  <si>
    <t>Đèn LED ZDL 1097 4W 3000K (Yankon)</t>
  </si>
  <si>
    <t>LED00039767</t>
  </si>
  <si>
    <t>Bộ đèn M20 TT01 1200/24W.DA 3000K</t>
  </si>
  <si>
    <t>LED00040420</t>
  </si>
  <si>
    <t>Đèn LED panel MQL 1046 2x4 CCT (Yankon-MEGAMAN)</t>
  </si>
  <si>
    <t>LED00040509</t>
  </si>
  <si>
    <t>Bộ đèn LED Tube T8 TT01 CSLH/20Wx1 3000K</t>
  </si>
  <si>
    <t>LED00042736</t>
  </si>
  <si>
    <t>Đèn LED Panel MQL 1046 2x2 30W 5000K (Yankon-Nora)</t>
  </si>
  <si>
    <t>LED00043480</t>
  </si>
  <si>
    <t>Bộ đèn LED Parking Light 1200/40W 5700K (KC-TOP-KN)</t>
  </si>
  <si>
    <t>LED00043706</t>
  </si>
  <si>
    <t>Đèn LED panel MQL 1046 2x4 40W 4000K (Yankon-Energetic)</t>
  </si>
  <si>
    <t>LED00044190</t>
  </si>
  <si>
    <t>Bộ đèn LED Tube T8 CA01.DP/11Wx1.DA 6500K SS-PCCC</t>
  </si>
  <si>
    <t>LED00044869</t>
  </si>
  <si>
    <t>Đèn LED Downlight nổi trần NT01 90/12W 4000K</t>
  </si>
  <si>
    <t>LED00048276</t>
  </si>
  <si>
    <t>Bộ đèn LED Tube T8 CSBA/20Wx1 6500K</t>
  </si>
  <si>
    <t>LED00050730</t>
  </si>
  <si>
    <t>Bộ đèn LED M28.F 1200/40W 6500K</t>
  </si>
  <si>
    <t>LED00051064</t>
  </si>
  <si>
    <t>Bộ đèn LED Tube T8 TT01 M21.1/10Wx1 6500K-CTT</t>
  </si>
  <si>
    <t>LED00055015</t>
  </si>
  <si>
    <t>Bộ đèn LED Tube T8 1200/24W WW+DR (IP65)</t>
  </si>
  <si>
    <t>LED00056231</t>
  </si>
  <si>
    <t>Bộ đèn LED Tube T5 LT03 1200/16W 6500K SS-CT</t>
  </si>
  <si>
    <t>LED00059457</t>
  </si>
  <si>
    <t>Bộ đèn LED Base Light BL 1200/43W Square 5000K (XK)</t>
  </si>
  <si>
    <t>LED00063185</t>
  </si>
  <si>
    <t>Đèn LED tủ lạnh ORION V FREEZER 1676 3500K (N17114)</t>
  </si>
  <si>
    <t>LED00018884</t>
  </si>
  <si>
    <t>Bộ đèn LED Tube T8 M11/18Wx1 4000K SS</t>
  </si>
  <si>
    <t>LED00020895</t>
  </si>
  <si>
    <t>Bộ đèn LED M26 1200/36W 6500K SS</t>
  </si>
  <si>
    <t>LED00021825</t>
  </si>
  <si>
    <t>Bộ đèn LED M20 AT01 1200/12W 5000K SS</t>
  </si>
  <si>
    <t>LED00022958</t>
  </si>
  <si>
    <t>Bộ đèn LED M26 600/18W 3000K SS</t>
  </si>
  <si>
    <t>LED00034064</t>
  </si>
  <si>
    <t>Bộ đèn LED M26 1200/18W 6500K SS</t>
  </si>
  <si>
    <t>LED00037523</t>
  </si>
  <si>
    <t>Bộ đèn LED Linear đổi màu LR01.BLE T3000/42W</t>
  </si>
  <si>
    <t>LED00037937</t>
  </si>
  <si>
    <t>Bộ đèn LED M36 600/20W 3000K</t>
  </si>
  <si>
    <t>LED00041798</t>
  </si>
  <si>
    <t>Bộ đèn LED chống nổ CN01 1200/20W.DA 6500K</t>
  </si>
  <si>
    <t>LED00042651</t>
  </si>
  <si>
    <t>Bộ đèn LED Parking Light 300/10W 5700K (XK)</t>
  </si>
  <si>
    <t>LED00045480</t>
  </si>
  <si>
    <t>Bộ đèn LED M36 1200/40W 6500K-CT</t>
  </si>
  <si>
    <t>LED00046579</t>
  </si>
  <si>
    <t>Bộ đèn LED Tube T8 TT01 M25/20Wx3 ko kính</t>
  </si>
  <si>
    <t>LED00047261</t>
  </si>
  <si>
    <t>Bộ đèn LED M66 1200/60W 6500K</t>
  </si>
  <si>
    <t>LED00049666</t>
  </si>
  <si>
    <t>Bộ đèn LED CSLH.LS 1200/36W 6500K HCL SS</t>
  </si>
  <si>
    <t>LED00050041</t>
  </si>
  <si>
    <t>Bộ đèn LED Tube T5 LT.GR1 1200/25W (IP65)</t>
  </si>
  <si>
    <t>LED00050733</t>
  </si>
  <si>
    <t>Bộ đèn LED Tube T8 CSLH/20Wx2 6500K</t>
  </si>
  <si>
    <t>LED00051394</t>
  </si>
  <si>
    <t>Bộ đèn LED Tube T8 M11/20Wx1 6500K (LPF)-TC</t>
  </si>
  <si>
    <t>LED00052940</t>
  </si>
  <si>
    <t>Bộ đèn LED M26 600/20W 6500K-CTT</t>
  </si>
  <si>
    <t>LED00053841</t>
  </si>
  <si>
    <t>Bộ đèn LED Tube T8 LT.GR1 1200/30W (IP65)</t>
  </si>
  <si>
    <t>LED00055014</t>
  </si>
  <si>
    <t>Bộ đèn LED Tube T8 1200/24W CW+DR (IP65)</t>
  </si>
  <si>
    <t>LED00062680</t>
  </si>
  <si>
    <t>Bộ đèn LED M46 1200/50W 6500K</t>
  </si>
  <si>
    <t>LED00065461</t>
  </si>
  <si>
    <t>Đèn LED tủ đông ION V CHILLER 1476 E 4000K (N14642)</t>
  </si>
  <si>
    <t>LED00068482</t>
  </si>
  <si>
    <t>Bộ đèn LED Tube T5 LT03 300/4W 6500K SS-CT</t>
  </si>
  <si>
    <t>LED00072163</t>
  </si>
  <si>
    <t>Đèn LED tủ đông ION H SHELF HO 1176 3000K (N14953)</t>
  </si>
  <si>
    <t>LED00072166</t>
  </si>
  <si>
    <t>Đèn LED tủ đông ION H CANOPY 425 3000K (N14941)</t>
  </si>
  <si>
    <t>LED00073261</t>
  </si>
  <si>
    <t>Đèn LED tủ đông ION V CHILLER RP 1476 E 4000K PW (N14464)</t>
  </si>
  <si>
    <t>00000264</t>
  </si>
  <si>
    <t>Đèn Ledtube c.ẩm DLN CA01LTT01/18Wx2 6500K SS</t>
  </si>
  <si>
    <t>00000265</t>
  </si>
  <si>
    <t>Bộ đèn LED Tube T8 M9/12Wx1.GO 5000K</t>
  </si>
  <si>
    <t>00000319</t>
  </si>
  <si>
    <t>Bộ đèn LED Tube T5 LT02 300/4W 3000K SS</t>
  </si>
  <si>
    <t>LED00005117</t>
  </si>
  <si>
    <t>Bộ đèn LED Tube T8 LT01 1200/18W 6500K</t>
  </si>
  <si>
    <t>LED00005513</t>
  </si>
  <si>
    <t>Bộ đèn LED Tube CSLH/18Wx1 ko bóng</t>
  </si>
  <si>
    <t>LED00005522</t>
  </si>
  <si>
    <t>Bộ đèn LED Tube T8 CA01/22Wx2 6500K SS</t>
  </si>
  <si>
    <t>LED00014584</t>
  </si>
  <si>
    <t>Bộ đèn LED Tube T5 LT03 1200/16W.DA 3000K</t>
  </si>
  <si>
    <t>LED00016293</t>
  </si>
  <si>
    <t>Bộ đèn LED Tube T8 M11/16Wx1.DA 6500K SS</t>
  </si>
  <si>
    <t>LED00020128</t>
  </si>
  <si>
    <t>Bộ đèn LED Tube T8 N02 M11/18Wx1 6500K SS</t>
  </si>
  <si>
    <t>LED00033827</t>
  </si>
  <si>
    <t>Bộ đèn LED Tube T8 CA01/20Wx2 6500K (36V)</t>
  </si>
  <si>
    <t>LED00036314</t>
  </si>
  <si>
    <t>Bộ đèn LED Tube T8 TT01 CSLH/20Wx1 6500K</t>
  </si>
  <si>
    <t>LED00037671</t>
  </si>
  <si>
    <t>Bộ đèn LED Tube T8 M11/18Wx1.DA 6500K SS</t>
  </si>
  <si>
    <t>LED00040555</t>
  </si>
  <si>
    <t>Bộ đèn LED Tube T8 LT 1500/35W B/R (IP65)</t>
  </si>
  <si>
    <t>LED00040947</t>
  </si>
  <si>
    <t>Bộ đèn LED MXL 2071 1200/ 20Wx1 4000K (Yankon)</t>
  </si>
  <si>
    <t>LED00042175</t>
  </si>
  <si>
    <t>Bộ đèn LED CSBA 80x1200/28W 6500K (CRI80)</t>
  </si>
  <si>
    <t>LED00048838</t>
  </si>
  <si>
    <t>Đèn LED panel MQL 1046 2x4 40W 5000K (Yankon-Energetic)</t>
  </si>
  <si>
    <t>LED00051909</t>
  </si>
  <si>
    <t>Bóng LED tube T5 1500/25W 6500K</t>
  </si>
  <si>
    <t>LED00052942</t>
  </si>
  <si>
    <t>Bộ đèn LED M36 1200/40W 6500K-CTT</t>
  </si>
  <si>
    <t>LED00058807</t>
  </si>
  <si>
    <t>Bộ đèn LED CSBA 2400/36W 6500K SS</t>
  </si>
  <si>
    <t>LED00059677</t>
  </si>
  <si>
    <t>Đèn LED Đánh cá DC06.V3 300W 4000K</t>
  </si>
  <si>
    <t>LED00059945</t>
  </si>
  <si>
    <t>Bộ đèn LED Tube T8 LT.GR4 1200/25W (IP65)</t>
  </si>
  <si>
    <t>LED00060848</t>
  </si>
  <si>
    <t>Bộ đèn LED chống nổ CN01 1200/40W.GOV 6500K</t>
  </si>
  <si>
    <t>LED00063117</t>
  </si>
  <si>
    <t>Bộ đèn LED M20 NT01 900/21W.LF 3000K</t>
  </si>
  <si>
    <t>LED00063144</t>
  </si>
  <si>
    <t>Đèn Ray LED Thanh x/g đổi màu RLT03.BLE.CW 130/6W (48V)</t>
  </si>
  <si>
    <t>LED00065457</t>
  </si>
  <si>
    <t>Đèn LED tủ đông ION V FREEZER 750 C 5000K (N14500)</t>
  </si>
  <si>
    <t>LED00005498</t>
  </si>
  <si>
    <t>Bộ đèn LED Tube T8 M11/10Wx1 6500K</t>
  </si>
  <si>
    <t>LED00005523</t>
  </si>
  <si>
    <t>Bộ đèn LED Tube T8 CA01/20Wx2 6500K SS</t>
  </si>
  <si>
    <t>LED00011871</t>
  </si>
  <si>
    <t>Bộ đèn LED Tube T8 CSLH/18Wx2 6500K SS</t>
  </si>
  <si>
    <t>LED00012555</t>
  </si>
  <si>
    <t>Bộ đèn LED Tube T8 TT01 CSLH/18Wx1 6500K SS</t>
  </si>
  <si>
    <t>LED00015334</t>
  </si>
  <si>
    <t>Bộ đèn LED M16 1200/36W 6500K (Ilshine) SS</t>
  </si>
  <si>
    <t>LED00016206</t>
  </si>
  <si>
    <t>Bộ đèn LED M16 300/9W 3000K SS</t>
  </si>
  <si>
    <t>LED00019529</t>
  </si>
  <si>
    <t>Bộ đèn LED Tube T8 N02 M21.1/18Wx1 6500K SS</t>
  </si>
  <si>
    <t>LED00022044</t>
  </si>
  <si>
    <t>Bộ đèn LED Tube T5 LT01 1200/15W 5000K</t>
  </si>
  <si>
    <t>LED00029602</t>
  </si>
  <si>
    <t>Bộ đèn LED Tube T8 CSLH TT01/18Wx2 3000K SS</t>
  </si>
  <si>
    <t>LED00031852</t>
  </si>
  <si>
    <t>Bộ đèn LED M18 1200/36W 5700K (TOP-E) SS</t>
  </si>
  <si>
    <t>LED00036773</t>
  </si>
  <si>
    <t>Bộ đèn LED Tube T8 N02 M11/20Wx1 6500K</t>
  </si>
  <si>
    <t>LED00037524</t>
  </si>
  <si>
    <t>Bộ đèn LED Linear đổi màu LR01.BLE L2500x4440</t>
  </si>
  <si>
    <t>LED00037823</t>
  </si>
  <si>
    <t>Bộ đèn LED CSLH 1200/40W 6500K SS</t>
  </si>
  <si>
    <t>LED00042316</t>
  </si>
  <si>
    <t>Bộ đèn LED đổi màu M26 1200/40W</t>
  </si>
  <si>
    <t>LED00042791</t>
  </si>
  <si>
    <t>Đèn LED Chữ I/50W 6500K (900mm Kumho)</t>
  </si>
  <si>
    <t>LED00044093</t>
  </si>
  <si>
    <t>Bộ đèn LED MXL 2071 2400/ 40Wx2 4000K (Yankon)</t>
  </si>
  <si>
    <t>LED00044512</t>
  </si>
  <si>
    <t>Đèn LED Downlight nổi trần NT01 90/12W 6500K</t>
  </si>
  <si>
    <t>LED00045481</t>
  </si>
  <si>
    <t>Bộ đèn LED Tube T8 M11/20Wx1 6500K (LPF) SS-CT</t>
  </si>
  <si>
    <t>LED00048804</t>
  </si>
  <si>
    <t>Bộ đèn LED Tube T8 M11/20Wx1 6500K (LPF)</t>
  </si>
  <si>
    <t>LED00049131</t>
  </si>
  <si>
    <t>Bộ đèn LED Tube T8 TT01 CA01/20Wx2 4000K</t>
  </si>
  <si>
    <t>LED00050428</t>
  </si>
  <si>
    <t>Bộ đèn LED Tube T8 TT01 CA01/17Wx2 4000K</t>
  </si>
  <si>
    <t>LED00051393</t>
  </si>
  <si>
    <t>Bộ đèn LED Tube T8 TT01 M21.1/10Wx1 6500K-TC</t>
  </si>
  <si>
    <t>LED00052941</t>
  </si>
  <si>
    <t>Bộ đèn LED M26 1200/40W 6500K-CTT</t>
  </si>
  <si>
    <t>LED00053839</t>
  </si>
  <si>
    <t>Bộ đèn LED Tube T5 LT.GR3 1200/25W (IP65)</t>
  </si>
  <si>
    <t>LED00054197</t>
  </si>
  <si>
    <t>Bộ đèn LED tube T5 LT05 900/14W 6500K (KC)</t>
  </si>
  <si>
    <t>LED00005505</t>
  </si>
  <si>
    <t>Bộ đèn LED Tube T8 CA01/16Wx2.DA 6500K SS</t>
  </si>
  <si>
    <t>LED00005876</t>
  </si>
  <si>
    <t>Bộ đèn LED Tube T8 LT01 1200/20W 6500K SS</t>
  </si>
  <si>
    <t>LED00012074</t>
  </si>
  <si>
    <t>Bộ đèn LED TUBE T8 M11/10Wx1 3000K SS</t>
  </si>
  <si>
    <t>LED00012424</t>
  </si>
  <si>
    <t>Bộ đèn LED Tube T8 TT01 CSBA/18Wx1 6500K SS</t>
  </si>
  <si>
    <t>LED00012748</t>
  </si>
  <si>
    <t>Bộ đèn LED Tube T5 LT03 1200/16W 6500K SS</t>
  </si>
  <si>
    <t>LED00016778</t>
  </si>
  <si>
    <t>Bộ đèn LED M18 1200/35W.DA 6500K (IP65) SS</t>
  </si>
  <si>
    <t>LED00017620</t>
  </si>
  <si>
    <t>Bộ đèn LED M16 600/16W.DA 4000K SS</t>
  </si>
  <si>
    <t>LED00022631</t>
  </si>
  <si>
    <t>Bộ đèn LED M20 AT01 600/12W 5000K SS</t>
  </si>
  <si>
    <t>LED00025467</t>
  </si>
  <si>
    <t>Bộ đèn LED M26 1200/36W 6500K</t>
  </si>
  <si>
    <t>LED00028519</t>
  </si>
  <si>
    <t>Bộ đèn LED M20 1200/24W.DA 5000K SS</t>
  </si>
  <si>
    <t>LED00036218</t>
  </si>
  <si>
    <t>Bộ đèn LED Tube T8 TT01 CA01/10Wx1 6500K</t>
  </si>
  <si>
    <t>LED00041437</t>
  </si>
  <si>
    <t>Đèn LED panel MQL 1046 2x4 45W 3CCT (Yankon-Nora)</t>
  </si>
  <si>
    <t>LED00041803</t>
  </si>
  <si>
    <t>Bộ đèn LED Tube T8 CA01/20Wx2.DA 6500K SS</t>
  </si>
  <si>
    <t>LED00043303</t>
  </si>
  <si>
    <t>Bộ TB bảo vệ đèn LED tàu cá SPL/25kW</t>
  </si>
  <si>
    <t>LED00044872</t>
  </si>
  <si>
    <t>Đèn LED Downlight nổi trần NT01 110/20W 4000K</t>
  </si>
  <si>
    <t>LED00045494</t>
  </si>
  <si>
    <t>Bộ đèn LED Tube T8 CA01/20W.Hx1 6500K</t>
  </si>
  <si>
    <t>LED00046385</t>
  </si>
  <si>
    <t>Bộ đèn LED Tube T8 TT01 M21.1/10Wx1 6500K-CT</t>
  </si>
  <si>
    <t>LED00047003</t>
  </si>
  <si>
    <t>Đèn LED Chữ I/50W 3000K (900mm Kumho)</t>
  </si>
  <si>
    <t>LED00053397</t>
  </si>
  <si>
    <t>Bộ đèn LED Parking light 1200/40W 5700K FOWIN</t>
  </si>
  <si>
    <t>LED00054198</t>
  </si>
  <si>
    <t>Bộ đèn LED tube T5 LT05 1200/18W 6500K (KC)</t>
  </si>
  <si>
    <t>LED00056227</t>
  </si>
  <si>
    <t>Bộ đèn LED Tube T8 TT01 CSBA /20Wx1 6500K-CT</t>
  </si>
  <si>
    <t>LED00057762</t>
  </si>
  <si>
    <t>Đèn LED Đánh cá DC06.V2 500W 5000K</t>
  </si>
  <si>
    <t>LED00061239</t>
  </si>
  <si>
    <t>Bộ chiếu sáng LED Base Light BL 1200/43W 5000K (KCV)</t>
  </si>
  <si>
    <t>LED00063183</t>
  </si>
  <si>
    <t>Đèn LED kệ siêu thị ORION H SHELF 1176 RT (N17819)</t>
  </si>
  <si>
    <t>LED00064175</t>
  </si>
  <si>
    <t>Đèn LED tủ đông ORION V CHILLER  1476 3500K (N17118)</t>
  </si>
  <si>
    <t>LED00005999</t>
  </si>
  <si>
    <t>Bộ đèn LED Tube T8 CA01/16Wx1.DA 6500K SS</t>
  </si>
  <si>
    <t>LED00012750</t>
  </si>
  <si>
    <t>Bộ đèn LED Tube T5 LT03 1200/16W 3000K SS</t>
  </si>
  <si>
    <t>LED00017622</t>
  </si>
  <si>
    <t>Bộ đèn LED M18 1200/50W.DA 6500K (IP65)</t>
  </si>
  <si>
    <t>LED00017850</t>
  </si>
  <si>
    <t>Bộ đèn LED Tube T8 M11/16Wx1.DA 3000K SS</t>
  </si>
  <si>
    <t>LED00025743</t>
  </si>
  <si>
    <t>Bộ đèn LED Tube T8 TT01 CSBA/18Wx1 3000K SS</t>
  </si>
  <si>
    <t>LED00031211</t>
  </si>
  <si>
    <t>Bộ đèn LED M20 TT01 1200/24W.DA 6500K LED SS</t>
  </si>
  <si>
    <t>LED00033295</t>
  </si>
  <si>
    <t>Bộ đèn LED M36 600/20W 6500K</t>
  </si>
  <si>
    <t>LED00033414</t>
  </si>
  <si>
    <t>Bộ đèn LED M36 300/10W 6500K</t>
  </si>
  <si>
    <t>LED00034250</t>
  </si>
  <si>
    <t>Bộ đèn LED Tube T8 N02 M11/10Wx1 6500K</t>
  </si>
  <si>
    <t>LED00035198</t>
  </si>
  <si>
    <t>Bộ đèn LED Tube T8 TT01 M11/20Wx1 6500K</t>
  </si>
  <si>
    <t>LED00041457</t>
  </si>
  <si>
    <t>Bộ bảo vệ đèn LED tàu cá SPL/25kW</t>
  </si>
  <si>
    <t>LED00047818</t>
  </si>
  <si>
    <t>Bộ đèn LED Tube T8 TT01 M21.1/20Wx1 3000K</t>
  </si>
  <si>
    <t>LED00050299</t>
  </si>
  <si>
    <t>Đèn LED Downlight nổi trần NT01 110/15W 3000K</t>
  </si>
  <si>
    <t>LED00056229</t>
  </si>
  <si>
    <t>Bộ đèn LED đổi màu M36 1200/40W-CT</t>
  </si>
  <si>
    <t>LED00059458</t>
  </si>
  <si>
    <t>Bộ đèn LED Base Light BL 1200/32.5W Square 5000K (XK)</t>
  </si>
  <si>
    <t>LED00059946</t>
  </si>
  <si>
    <t>Bộ đèn LED Tube T5 LT.GR1 1200/22W (IP65)</t>
  </si>
  <si>
    <t>LED00061681</t>
  </si>
  <si>
    <t>Bộ đèn LED Parking Light 1200/60W 4000K (XK-LDV)</t>
  </si>
  <si>
    <t>LED00064176</t>
  </si>
  <si>
    <t>Đèn LED tủ đông ORION V CHILLER  1676 3500K (N17119)</t>
  </si>
  <si>
    <t>LED00064177</t>
  </si>
  <si>
    <t>Đèn LED tủ đông ORION V CHILLER  1676 4000K (N17723)</t>
  </si>
  <si>
    <t>LED00065583</t>
  </si>
  <si>
    <t>Đèn LED tủ đông ORION V CHILLER  1176 4000K (N17721)</t>
  </si>
  <si>
    <t>LED00066189</t>
  </si>
  <si>
    <t>Đèn LED ZDL 1203 41W 5000K (Yankon)</t>
  </si>
  <si>
    <t>LED00068478</t>
  </si>
  <si>
    <t>Bộ đèn LED Parking Light 1200/40W 6500K (XK-LDV)-CT</t>
  </si>
  <si>
    <t>LED00068544</t>
  </si>
  <si>
    <t>Đèn LED tủ đông ION H CANOPY HO 876 3500K (N14730)</t>
  </si>
  <si>
    <t>LED00069237</t>
  </si>
  <si>
    <t>Đèn LED MQL1060 2x2FT 30W (YanKon)</t>
  </si>
  <si>
    <t>LED00070975</t>
  </si>
  <si>
    <t>Đèn LED tủ đông ION H SHELF 576 3500K (N14926)</t>
  </si>
  <si>
    <t>LED00005112</t>
  </si>
  <si>
    <t>Bộ đèn LED TUBE T5 LT01 600/8W 3000K</t>
  </si>
  <si>
    <t>LED00005495</t>
  </si>
  <si>
    <t>Bộ đèn LED M16 1200/36W 3000K SS</t>
  </si>
  <si>
    <t>LED00012394</t>
  </si>
  <si>
    <t>Bộ đèn LED Tube T8 TT01 CSLH/18Wx2 6500K SS</t>
  </si>
  <si>
    <t>LED00012755</t>
  </si>
  <si>
    <t>Bộ đèn LED Tube T5 LT03 300/4W 3000K SS</t>
  </si>
  <si>
    <t>LED00017676</t>
  </si>
  <si>
    <t>Bộ đèn LED M20 AT01 1200/24W.DA 6500K SS</t>
  </si>
  <si>
    <t>LED00024242</t>
  </si>
  <si>
    <t>Bộ đèn LED M18 600/18W 3000K SS</t>
  </si>
  <si>
    <t>LED00024964</t>
  </si>
  <si>
    <t>Bộ đèn LED Tube T8 N02 M11/10Wx1 6500K SS</t>
  </si>
  <si>
    <t>LED00031173</t>
  </si>
  <si>
    <t>Bộ đèn LED M20 AT01 1200/28W 6500K  SS</t>
  </si>
  <si>
    <t>LED00036025</t>
  </si>
  <si>
    <t>Bộ đèn LED MXL 2077 1200/30W 4000K (Yankon)</t>
  </si>
  <si>
    <t>LED00036574</t>
  </si>
  <si>
    <t>Bộ đèn LED Tube T8 TT01 M11/18Wx2 (Ko bóng-RANLUX)</t>
  </si>
  <si>
    <t>LED00042901</t>
  </si>
  <si>
    <t>Đèn LED panel MQL 1046 2x2 CCT (Yankon-ENERGETIC)</t>
  </si>
  <si>
    <t>LED00044145</t>
  </si>
  <si>
    <t>Bộ đèn LED Tube T8 CA01/18Wx2.DA 6500K SS</t>
  </si>
  <si>
    <t>LED00045495</t>
  </si>
  <si>
    <t>Bộ đèn LED Tube T8 CA01/20W.Hx2 6500K</t>
  </si>
  <si>
    <t>LED00049453</t>
  </si>
  <si>
    <t>Bộ đèn LED Parking light 300/10W 5700K (KC)</t>
  </si>
  <si>
    <t>LED00049805</t>
  </si>
  <si>
    <t>Bộ đèn LED Tube T8 TT01 CA01/20W.Hx2 6500K</t>
  </si>
  <si>
    <t>LED00055345</t>
  </si>
  <si>
    <t>Bộ đèn LED Tube T8 LT.GR6 1200/24W (IP65)</t>
  </si>
  <si>
    <t>LED00055371</t>
  </si>
  <si>
    <t>Đèn LED Đánh cá DC06 250W 5000K</t>
  </si>
  <si>
    <t>LED00059468</t>
  </si>
  <si>
    <t>Bộ đèn LED Tube T5 LT.GR09 1200/15W (IP65)</t>
  </si>
  <si>
    <t>LED00060451</t>
  </si>
  <si>
    <t>Bộ đèn LED đổi màu MXL2132 1200/41W (Yankon)</t>
  </si>
  <si>
    <t>LED00063181</t>
  </si>
  <si>
    <t>Đèn LED tủ lạnh ORION V FREEZER 1476 5000K (N17713)</t>
  </si>
  <si>
    <t>LED00066727</t>
  </si>
  <si>
    <t>Bóng đèn LED tube dự phòng T5.DP 1500/25W 6500K (HPF)</t>
  </si>
  <si>
    <t>LED00067254</t>
  </si>
  <si>
    <t>Bộ đèn LED Tube T5 LT03 600/8W 6500K SS-CT</t>
  </si>
  <si>
    <t>LED00068165</t>
  </si>
  <si>
    <t>Đèn LED chữ I/30W SHARK 6500K (Kumho)</t>
  </si>
  <si>
    <t>LED00069572</t>
  </si>
  <si>
    <t>Đèn LED tủ đông ION V CHILLER RP 1476 C 4000K (N14662)</t>
  </si>
  <si>
    <t>LED00070976</t>
  </si>
  <si>
    <t>Đèn LED tủ đông ION H SHELF 876 3500K (N14688)</t>
  </si>
  <si>
    <t>LED00064839</t>
  </si>
  <si>
    <t>Đèn LED panel MQL 1064 1x4 3CCT (Yankon)</t>
  </si>
  <si>
    <t>LED00065468</t>
  </si>
  <si>
    <t>Đèn LED tủ đông ION H CANOPY HO 1176 3500K (N14733)</t>
  </si>
  <si>
    <t>LED00065469</t>
  </si>
  <si>
    <t>Đèn LED tủ đông ION H CANOPY HO 1176 4000K (N14734)</t>
  </si>
  <si>
    <t>LED00068062</t>
  </si>
  <si>
    <t>Đèn LED panel MQL 1059 2x2 30W CCT (YK-Brown Box)</t>
  </si>
  <si>
    <t>LED00068166</t>
  </si>
  <si>
    <t>Đèn LED chữ I/50W SHARK 6500K (Kumho)</t>
  </si>
  <si>
    <t>LED00072178</t>
  </si>
  <si>
    <t>Đèn LED tủ đông ION H CANOPY HO 876 4000K (N14731)</t>
  </si>
  <si>
    <t>LED00072192</t>
  </si>
  <si>
    <t>Đèn LED tủ đông ORION H CANOPY HO 1176 2700K (N17752)</t>
  </si>
  <si>
    <t>LED00072870</t>
  </si>
  <si>
    <t>Bộ đèn LED Tube T8 TT01 CA02/20Wx2 6500K</t>
  </si>
  <si>
    <t>LED00073648</t>
  </si>
  <si>
    <t>Đèn LED MQL1060 2x2FT 30W ( YanKon-EM )</t>
  </si>
  <si>
    <t>LED00076974</t>
  </si>
  <si>
    <t>Bộ Ray đèn tủ lạnh N47213-1512G-12 (Nualight)</t>
  </si>
  <si>
    <t>LED00077285</t>
  </si>
  <si>
    <t>Đèn LED tủ đông ION V CHILLER 1476 C RT (N14594)</t>
  </si>
  <si>
    <t>LED00077586</t>
  </si>
  <si>
    <t>Đèn LED panel MQL 1059 2x2 30W CCT (YK-NORA)</t>
  </si>
  <si>
    <t>LED00077861</t>
  </si>
  <si>
    <t>Đèn LED panel MQL1046 2x4 45W CCT (Yankon-NORA)</t>
  </si>
  <si>
    <t>LED00079862</t>
  </si>
  <si>
    <t>Đèn LED tủ đông ION V CHILLER HO 1476 E 4000K (N14671)</t>
  </si>
  <si>
    <t>LED00080050</t>
  </si>
  <si>
    <t>Bộ đèn LED chống bụi M08 600/20W.GOV.V2 4000K</t>
  </si>
  <si>
    <t>LED00081956</t>
  </si>
  <si>
    <t>Bộ đèn LED chống bụi M08 600/10W.GOV.V2 4000K</t>
  </si>
  <si>
    <t>Bóng đèn tròn</t>
  </si>
  <si>
    <t>00000379</t>
  </si>
  <si>
    <t>Đèn METAL HALIDE(MH-BT 400W/642) E40</t>
  </si>
  <si>
    <t>00000254</t>
  </si>
  <si>
    <t>Chao đèn Nông nghiệp C CFL 160/HC</t>
  </si>
  <si>
    <t>00000258</t>
  </si>
  <si>
    <t>Chao PQ đ.compact âmtrần CFC110</t>
  </si>
  <si>
    <t>LED00005605</t>
  </si>
  <si>
    <t>Chao DN đơn 1,2m FS-40/36x1 CM2</t>
  </si>
  <si>
    <t>LED00005613</t>
  </si>
  <si>
    <t>Chao đèn Downlight âm trần CFC 100</t>
  </si>
  <si>
    <t>LED00005621</t>
  </si>
  <si>
    <t>Bộ chao đa năng RSL-06/270/E27</t>
  </si>
  <si>
    <t>LED00077064</t>
  </si>
  <si>
    <t>Bộ chao thép đèn LED HB05 250/80W-100W (XK)</t>
  </si>
  <si>
    <t>00000471</t>
  </si>
  <si>
    <t>Đèn bàn RD-RL-02 LED 6500K</t>
  </si>
  <si>
    <t>LED00005526</t>
  </si>
  <si>
    <t>Đèn bàn LED bảo vệ thị lực RD-RL-14 5W 6500K SS</t>
  </si>
  <si>
    <t>LED00068480</t>
  </si>
  <si>
    <t>Bộ đèn LED Parking Light 1200/60W 6500K (XK-LDV)-CT</t>
  </si>
  <si>
    <t>LED00068538</t>
  </si>
  <si>
    <t>Đèn LED tủ đông ION H SHELF 1176 RT (N14685)</t>
  </si>
  <si>
    <t>LED00070980</t>
  </si>
  <si>
    <t>Đèn LED tủ đông ION H SHELF HO 1176 3500K (N14954)</t>
  </si>
  <si>
    <t>LED00072131</t>
  </si>
  <si>
    <t>Đèn LED tủ đông ION H SHELF 576 4000K (N14879)</t>
  </si>
  <si>
    <t>LED00072439</t>
  </si>
  <si>
    <t>Đèn LED tủ đông ION H SHELF 1136 3500K (N14743-MB)</t>
  </si>
  <si>
    <t>LED00072462</t>
  </si>
  <si>
    <t>Bộ đèn LED M66 1200/60W 4000K</t>
  </si>
  <si>
    <t>LED00074941</t>
  </si>
  <si>
    <t>Đèn LED tủ đông ION V FREEZER 1676 C 5000K (N14516)</t>
  </si>
  <si>
    <t>LED00076950</t>
  </si>
  <si>
    <t>Đèn LED tủ đông ION V CHILLER 1188 RFB 3500K (N11646)</t>
  </si>
  <si>
    <t>LED00077282</t>
  </si>
  <si>
    <t>Đèn LED tủ đông ION V CHILLER 1176 E 4000K (N14638)</t>
  </si>
  <si>
    <t>LED00079737</t>
  </si>
  <si>
    <t>Đèn LED tủ đông ION H CANOPY 876 5000K (N14702)</t>
  </si>
  <si>
    <t>LED00079877</t>
  </si>
  <si>
    <t>Đèn LED tủ đông ION H CANOPY 276 3500K (N14907)</t>
  </si>
  <si>
    <t>LED00080013</t>
  </si>
  <si>
    <t>Bộ đèn LED chống bụi M08 1200/40W.GOV.V2 4000K</t>
  </si>
  <si>
    <t>LED00081522</t>
  </si>
  <si>
    <t>Bộ đèn LED Tube T5 LT 300/4.5W 3000K (Hera)</t>
  </si>
  <si>
    <t>00000536</t>
  </si>
  <si>
    <t>Bộ phụ kiện M36</t>
  </si>
  <si>
    <t>00000553</t>
  </si>
  <si>
    <t>Đui HQ M2-B91 ( nhân đen)</t>
  </si>
  <si>
    <t>00000555</t>
  </si>
  <si>
    <t>Túi đựng phích 04528 N2</t>
  </si>
  <si>
    <t>LED00042800</t>
  </si>
  <si>
    <t>Dây nối dài tấm Solar DN 3mx2.5 CP NLMT 70W/90W</t>
  </si>
  <si>
    <t>00000108</t>
  </si>
  <si>
    <t>Bóng 220V-60W xoáy nấm A50</t>
  </si>
  <si>
    <t>00000338</t>
  </si>
  <si>
    <t>Bóng 220V-100W MN</t>
  </si>
  <si>
    <t>00000385</t>
  </si>
  <si>
    <t>Đèn cao áp NATRI (HPS-T400W/220) E40</t>
  </si>
  <si>
    <t>00000517</t>
  </si>
  <si>
    <t>Bóng 110V/127V-60W</t>
  </si>
  <si>
    <t>00000256</t>
  </si>
  <si>
    <t>Chao nhôm fi 400,STĐ-đui đèn E40</t>
  </si>
  <si>
    <t>00000259</t>
  </si>
  <si>
    <t>Chao PQ đ.compact âmtrần CFC120</t>
  </si>
  <si>
    <t>00000504</t>
  </si>
  <si>
    <t>Chao PQ đ.compact âmtrần CFC145</t>
  </si>
  <si>
    <t>00000557</t>
  </si>
  <si>
    <t>Chao (choá) Inox 0.6m đơn,trần</t>
  </si>
  <si>
    <t>LED00017653</t>
  </si>
  <si>
    <t>Đèn bàn LED bảo vệ thị lực RD-RL-29 5W 3000K</t>
  </si>
  <si>
    <t>LED00017655</t>
  </si>
  <si>
    <t>Đèn bàn LED bảo vệ thị lực RD-RL-30 5W 3000K</t>
  </si>
  <si>
    <t>LED00038682</t>
  </si>
  <si>
    <t>Đèn bàn LED bảo vệ thị lực RD-RL-24.V2 5W 3000K</t>
  </si>
  <si>
    <t>LED00045444</t>
  </si>
  <si>
    <t>Đèn bàn LED bảo vệ thị lực RD-RL-01.V2 5W 3000K-CT</t>
  </si>
  <si>
    <t>LED00075175</t>
  </si>
  <si>
    <t>Đèn bàn LED bảo vệ thị lực RD-RL-32 5W 3000K-CT</t>
  </si>
  <si>
    <t>LED00081411</t>
  </si>
  <si>
    <t>Đèn bàn LED bảo vệ thị lực RD-RL-16 5W 6500K</t>
  </si>
  <si>
    <t>Đèn Compact</t>
  </si>
  <si>
    <t>00000164</t>
  </si>
  <si>
    <t>Đèn HQ Compact T3-2U  5W Galaxy E6500K</t>
  </si>
  <si>
    <t>00000394</t>
  </si>
  <si>
    <t>Đèn  CFL 3U T4 6000h-20W B22 6500K MN</t>
  </si>
  <si>
    <t>00000395</t>
  </si>
  <si>
    <t>Đèn HQ Compact T3-3U 11W Galaxy E6500K</t>
  </si>
  <si>
    <t>00000405</t>
  </si>
  <si>
    <t>Bóng đèn CFL HST4 30W H8 E27 6500K</t>
  </si>
  <si>
    <t>00000423</t>
  </si>
  <si>
    <t>Đèn HQ Compact CFL 5UT5-100W E6500K</t>
  </si>
  <si>
    <t>00000424</t>
  </si>
  <si>
    <t>Đèn HQ Compact T3-2U  5W Galaxy E2700K</t>
  </si>
  <si>
    <t>00000462</t>
  </si>
  <si>
    <t>Đèn HQCompact xoắnCFH-ST4 15W B6500K</t>
  </si>
  <si>
    <t>00000499</t>
  </si>
  <si>
    <t>Đèn HQCompact xoắnCFH-YT4 20W E6500K</t>
  </si>
  <si>
    <t>00000506</t>
  </si>
  <si>
    <t>Đèn HQ Compact T3-3U 11W Galaxy B6500K</t>
  </si>
  <si>
    <t>00000512</t>
  </si>
  <si>
    <t>Bóng đèn CFL 3U T4 15W H8 E27 2700K MN</t>
  </si>
  <si>
    <t>Đèn Huỳnh quang</t>
  </si>
  <si>
    <t>00000342</t>
  </si>
  <si>
    <t>Đèn huỳnh quang T8-18W-BLUE</t>
  </si>
  <si>
    <t>00000420</t>
  </si>
  <si>
    <t>Bóng đèn FL T8 36W H22 DELUXE E DL</t>
  </si>
  <si>
    <t>00000528</t>
  </si>
  <si>
    <t>Đèn HQ chống ẩm T8 H22 D LN CA/36Wx2</t>
  </si>
  <si>
    <t>LED00005697</t>
  </si>
  <si>
    <t>Bộ đèn HQ T8-18Wx1 M9GD-balát đ/tử</t>
  </si>
  <si>
    <t>LED00005700</t>
  </si>
  <si>
    <t>Bộ đèn HQ T8-36Wx1 M9GS-balát đ/tử</t>
  </si>
  <si>
    <t>LED00015419</t>
  </si>
  <si>
    <t>Bộ đèn CSBA FS40/36x1 CM1*EH</t>
  </si>
  <si>
    <t>Đèn LED công nghiệp</t>
  </si>
  <si>
    <t>LED00077003</t>
  </si>
  <si>
    <t>Đèn LED Tracklight TRL08 30W 3000K (Đen)</t>
  </si>
  <si>
    <t>Đèn LED Nông, Ngư nghiệp</t>
  </si>
  <si>
    <t>00000033</t>
  </si>
  <si>
    <t>Đèn LED TRR 120/25W-100% BLUE</t>
  </si>
  <si>
    <t>00000049</t>
  </si>
  <si>
    <t>Đèn LED Đánh cá DC04 400W 4000K</t>
  </si>
  <si>
    <t>LED00061654</t>
  </si>
  <si>
    <t>Bộ đèn LED Parking Light 1200/60W 6500K (XK-LDV)</t>
  </si>
  <si>
    <t>LED00063147</t>
  </si>
  <si>
    <t>Đèn Ray LED Thanh đổi màu RLT02.BLE.CW 670/20W (48V)</t>
  </si>
  <si>
    <t>LED00067032</t>
  </si>
  <si>
    <t>Bộ đèn LED M46 600/25W 3000K</t>
  </si>
  <si>
    <t>LED00068477</t>
  </si>
  <si>
    <t>Bộ đèn LED Parking Light 1200/40W 4000K (XK-LDV)-CT</t>
  </si>
  <si>
    <t>LED00069240</t>
  </si>
  <si>
    <t>Đèn LED MQL1060 2x4FT 45W (YanKon)</t>
  </si>
  <si>
    <t>LED00069291</t>
  </si>
  <si>
    <t>Bộ đèn LED Base Light âm trần BL 1200/32.5W 5000K (XK)</t>
  </si>
  <si>
    <t>LED00070202</t>
  </si>
  <si>
    <t>Bộ đèn LED M26 1200/50W 6500K</t>
  </si>
  <si>
    <t>LED00071910</t>
  </si>
  <si>
    <t>Đèn LED MQL1067 2x2FT 3CCT  (YanKon)</t>
  </si>
  <si>
    <t>LED00072162</t>
  </si>
  <si>
    <t>Đèn LED tủ đông ION H SHELF HO 876 3500K (N14948)</t>
  </si>
  <si>
    <t>LED00072951</t>
  </si>
  <si>
    <t>Đèn LED tủ đông ION V FREEZER LO 1776 C 4000K (N14769)</t>
  </si>
  <si>
    <t>LED00073067</t>
  </si>
  <si>
    <t>Đèn LED tủ đông ION V FREZEER 1488 RFB 3500K-XARR (N11736)</t>
  </si>
  <si>
    <t>LED00076860</t>
  </si>
  <si>
    <t>Bộ đèn LED chống bụi M08 1200/20W.GOV.V2 6500K</t>
  </si>
  <si>
    <t>LED00076949</t>
  </si>
  <si>
    <t>Đèn LED tủ đông ION V CHILLER 1188 RFB 3000K (N11643)</t>
  </si>
  <si>
    <t>LED00077290</t>
  </si>
  <si>
    <t>Đèn LED tủ đông ION V CHILLER 1476 E RT (N14630)</t>
  </si>
  <si>
    <t>LED00079835</t>
  </si>
  <si>
    <t>Đèn LED tủ đông ION V FREEZER 876 E 5000K (N14542)</t>
  </si>
  <si>
    <t>LED00081988</t>
  </si>
  <si>
    <t>Bộ đèn LED chống nổ CN01 1200/40W.GOV.V2</t>
  </si>
  <si>
    <t>LED00084458</t>
  </si>
  <si>
    <t>Đèn LED tủ đông ION H SHELF 505 3000K (N14963)</t>
  </si>
  <si>
    <t>Bộ phụ kiện</t>
  </si>
  <si>
    <t>00000332</t>
  </si>
  <si>
    <t>LED00005630</t>
  </si>
  <si>
    <t>Bộ cần treo đèn tròn dài 0,5m</t>
  </si>
  <si>
    <t>LED00005642</t>
  </si>
  <si>
    <t>Bộ cần đèn n/xómRSL-05/20W/E27,dài 1m</t>
  </si>
  <si>
    <t>LED00050831</t>
  </si>
  <si>
    <t>Bộ cần treo đèn tròn dài 0,7m-CT</t>
  </si>
  <si>
    <t>LED00070528</t>
  </si>
  <si>
    <t>Hạt ổ cắm âm tường HOC03 2C/16A</t>
  </si>
  <si>
    <t>LED00078996</t>
  </si>
  <si>
    <t>Bảng trải nghiệm thiết bị điện</t>
  </si>
  <si>
    <t>00000255</t>
  </si>
  <si>
    <t>Chao nhôm fi 300,STĐ-đui đèn E27</t>
  </si>
  <si>
    <t>LED00005603</t>
  </si>
  <si>
    <t>Chao trần,đơn,1.2m sơn tĩnh điện</t>
  </si>
  <si>
    <t>LED00072458</t>
  </si>
  <si>
    <t>Bộ Ray đèn tủ lạnh N47213-1698G-12 (Nualight)</t>
  </si>
  <si>
    <t>LED00073706</t>
  </si>
  <si>
    <t>Đèn LED tủ đông ION V FREEZER 750 E 5600K (N14502)</t>
  </si>
  <si>
    <t>LED00074961</t>
  </si>
  <si>
    <t>Đèn LED tủ đông ORION H CANOPY 876 4000K (N17734)</t>
  </si>
  <si>
    <t>LED00076966</t>
  </si>
  <si>
    <t>Đèn LED tủ đông ION V CHILLER 1488 CFB 4000K (N11662)</t>
  </si>
  <si>
    <t>LED00084429</t>
  </si>
  <si>
    <t>Đèn LED tủ đông ION V CHILLER 1476 C 5000K (N14587)</t>
  </si>
  <si>
    <t>00000261</t>
  </si>
  <si>
    <t>Bộ cần treo 0,8m đèn CSLH 120/20W</t>
  </si>
  <si>
    <t>LED00054752</t>
  </si>
  <si>
    <t>Mặt công tắc ổ cắm âm tường MOC01 80x120x9/1H</t>
  </si>
  <si>
    <t>LED00054753</t>
  </si>
  <si>
    <t>Mặt công tắc ổ cắm âm tường MOC01 80x120x9/2H</t>
  </si>
  <si>
    <t>00000282</t>
  </si>
  <si>
    <t>Bóng đèn LED MR16/3W GU10 g.c 30o-Vàng E</t>
  </si>
  <si>
    <t>00000336</t>
  </si>
  <si>
    <t>Bóng 220V-60W xoáy</t>
  </si>
  <si>
    <t>00000339</t>
  </si>
  <si>
    <t>Bóng 220V-40W xoáy nấm A50</t>
  </si>
  <si>
    <t>00000390</t>
  </si>
  <si>
    <t>Bóng 220V-25W xoáy nấm A50</t>
  </si>
  <si>
    <t>00000468</t>
  </si>
  <si>
    <t>Chao đèn Công nghiệp RSL-07/50W/E27</t>
  </si>
  <si>
    <t>LED00005606</t>
  </si>
  <si>
    <t>Chao DN đơn 1,2m FS-40/36x1 CM3</t>
  </si>
  <si>
    <t>LED00005612</t>
  </si>
  <si>
    <t>Chao đèn Downlight âm trần CFC 90</t>
  </si>
  <si>
    <t>LED00005710</t>
  </si>
  <si>
    <t>Bộ chao đa năng RSL-06/400/E40</t>
  </si>
  <si>
    <t>LED00017656</t>
  </si>
  <si>
    <t>Đèn bàn LED bảo vệ thị lực RD-RL-30 5W 6500K</t>
  </si>
  <si>
    <t>00000170</t>
  </si>
  <si>
    <t>Bóng đèn CFL 4UT5 40W.S H8 E27 6500K</t>
  </si>
  <si>
    <t>00000406</t>
  </si>
  <si>
    <t>Bóng đèn CFL-5UT5 80W H8 E27 6500K</t>
  </si>
  <si>
    <t>00000457</t>
  </si>
  <si>
    <t>Đèn CFL 2U T4 6000h-11W E27 2700K MN</t>
  </si>
  <si>
    <t>00000489</t>
  </si>
  <si>
    <t>B/đèn CFL-HST5 85W 220V xoắn E40 6500K</t>
  </si>
  <si>
    <t>00000505</t>
  </si>
  <si>
    <t>Bộ đèn ốp trần 16W (CL-01-16)</t>
  </si>
  <si>
    <t>00000518</t>
  </si>
  <si>
    <t>Đèn huỳnh quang T9-19W-0.58m</t>
  </si>
  <si>
    <t>LED00005667</t>
  </si>
  <si>
    <t>SOCKETLAMPSR-PQ345RBLEDTL02.2110/0,5W</t>
  </si>
  <si>
    <t>LED00005996</t>
  </si>
  <si>
    <t>Đèn LED Tracklight TRL04 30W 4000K</t>
  </si>
  <si>
    <t>LED00076954</t>
  </si>
  <si>
    <t>Đèn LED tủ đông ION V CHILLER 1488 RFB 4000K (N11664)</t>
  </si>
  <si>
    <t>LED00078561</t>
  </si>
  <si>
    <t>Bộ đèn LED Base Light BL 1200/32.5W Fuji 230 5000K (XK)</t>
  </si>
  <si>
    <t>LED00082000</t>
  </si>
  <si>
    <t>Bộ đèn LED chống ẩm M28 1200/40W.GOV.V2</t>
  </si>
  <si>
    <t>LED00083682</t>
  </si>
  <si>
    <t>Đèn LED tủ đông ION H CANOPY 1476 RT (N14713)</t>
  </si>
  <si>
    <t>LED00084739</t>
  </si>
  <si>
    <t>Bộ đèn LED M56 600/20W 4000K</t>
  </si>
  <si>
    <t>00000207</t>
  </si>
  <si>
    <t>Bộ công son CSBA 120/18W loại 0,4m</t>
  </si>
  <si>
    <t>00000535</t>
  </si>
  <si>
    <t>Bộ phụ kiện M16</t>
  </si>
  <si>
    <t>LED00005637</t>
  </si>
  <si>
    <t>Bộ cần treo đèn vuông dài 0,9m</t>
  </si>
  <si>
    <t>LED00078726</t>
  </si>
  <si>
    <t>Bộ móc treo panel nổi trần 300x1200</t>
  </si>
  <si>
    <t>LED00083892</t>
  </si>
  <si>
    <t>Bộ lưu trữ Pin NLMT CD08.SL.IoT 120W.NEMA  60Ah-12.8V</t>
  </si>
  <si>
    <t>LED00084401</t>
  </si>
  <si>
    <t>Bộ tai treo panel MQL 1064 CBT-clip SKD (Current)</t>
  </si>
  <si>
    <t>00000334</t>
  </si>
  <si>
    <t>Bóng 220V-25W xoáy</t>
  </si>
  <si>
    <t>00000443</t>
  </si>
  <si>
    <t>Bóng 220V-25W E27 (IL A50 25W)</t>
  </si>
  <si>
    <t>00000257</t>
  </si>
  <si>
    <t>Chao đèn Downlight âm trần CFC 170</t>
  </si>
  <si>
    <t>LED00005714</t>
  </si>
  <si>
    <t>Chao đèn Công nghiệp C HID HB02 E40/250W</t>
  </si>
  <si>
    <t>LED00080362</t>
  </si>
  <si>
    <t>Bộ chao kim cương đèn LED HB05 300/120W-150W (XK)</t>
  </si>
  <si>
    <t>LED00045447</t>
  </si>
  <si>
    <t>Đèn bàn LED bảo vệ thị lực RD-RL-27.V2 5W 3000K-CT</t>
  </si>
  <si>
    <t>00000407</t>
  </si>
  <si>
    <t>Bóng đèn CFL 4UT5 36W.S H8 E27 6500K</t>
  </si>
  <si>
    <t>00000503</t>
  </si>
  <si>
    <t>Đèn HQCompact CF-SY-2U-9W E27 6500oK</t>
  </si>
  <si>
    <t>LED00005716</t>
  </si>
  <si>
    <t>Đèn Compact  gắn tường D GT01/14W</t>
  </si>
  <si>
    <t>00000110</t>
  </si>
  <si>
    <t>Đèn huỳnh quangT8-18W GALAXY(S)SL</t>
  </si>
  <si>
    <t>LED00005677</t>
  </si>
  <si>
    <t>Balat điện tử đèn bàn 1 chế độ(RL-01)</t>
  </si>
  <si>
    <t>LED00037575</t>
  </si>
  <si>
    <t>Đèn LED Khẩn cấp KC04 6W vàng-PCCC</t>
  </si>
  <si>
    <t>LED00053241</t>
  </si>
  <si>
    <t>Đèn LED Tracklight TRL05 30W 4000K (trắng)</t>
  </si>
  <si>
    <t>LED00075172</t>
  </si>
  <si>
    <t>Đèn LED Khẩn cấp KC04 6W trắng-PCCC-CT</t>
  </si>
  <si>
    <t>LED00066465</t>
  </si>
  <si>
    <t>Bộ đèn LED M08 1200/36W.GOV.V4 6500K</t>
  </si>
  <si>
    <t>LED00068684</t>
  </si>
  <si>
    <t>Đèn LED tủ đông ION H SHELF 205 5700K (N14856)</t>
  </si>
  <si>
    <t>LED00070982</t>
  </si>
  <si>
    <t>Đèn LED tủ đông ION H SHELF 876 4000K (N14689)</t>
  </si>
  <si>
    <t>LED00071117</t>
  </si>
  <si>
    <t>Đèn LED tủ lạnh ORION V FREEZER 1176 4000K (N17707)</t>
  </si>
  <si>
    <t>LED00072184</t>
  </si>
  <si>
    <t>Đèn LED tủ đông ION H CANOPY HO 1476 4000K (N14737)</t>
  </si>
  <si>
    <t>LED00072872</t>
  </si>
  <si>
    <t>Bộ đèn LED Tube T8 TT01 CA02/20Wx1 6500K</t>
  </si>
  <si>
    <t>LED00074946</t>
  </si>
  <si>
    <t>Đèn LED tủ đông ION V FREEZER 750 E 5000K (N14538)</t>
  </si>
  <si>
    <t>LED00078823</t>
  </si>
  <si>
    <t>Đèn LED panel MQL 1059 2x2 30W CCT (YK-Energetic)</t>
  </si>
  <si>
    <t>LED00079845</t>
  </si>
  <si>
    <t>Đèn LED tủ đông ION V CHILLER 1676 E 4000K (N14646)</t>
  </si>
  <si>
    <t>LED00081235</t>
  </si>
  <si>
    <t>Đèn LED panel MQL 1059 1x4 30W CCT (YK-Energetic)</t>
  </si>
  <si>
    <t>LED00081939</t>
  </si>
  <si>
    <t>Bộ đèn LED Tube T8 LT.GR6.B 1200/30W (IP65)</t>
  </si>
  <si>
    <t>00000144</t>
  </si>
  <si>
    <t>Bộ cần treo 0,6m đèn CSLH 120/20W</t>
  </si>
  <si>
    <t>LED00048575</t>
  </si>
  <si>
    <t>Cáp điều khiển CTH DMX.QT</t>
  </si>
  <si>
    <t>LED00062892</t>
  </si>
  <si>
    <t>Dây nối dài 3m NLMT CP02 30-50W+UFO 150W</t>
  </si>
  <si>
    <t>00000278</t>
  </si>
  <si>
    <t>Bóng đèn (LED PAR20/3W) E27 á/s trắng</t>
  </si>
  <si>
    <t>00000439</t>
  </si>
  <si>
    <t>Bóng 220V-40W nấm A50</t>
  </si>
  <si>
    <t>00000421</t>
  </si>
  <si>
    <t>Chao đèn Công nghiệp C CFL 07 E27</t>
  </si>
  <si>
    <t>00000478</t>
  </si>
  <si>
    <t>Bộ chao đa năng RSL-06/400/E27</t>
  </si>
  <si>
    <t>LED00062915</t>
  </si>
  <si>
    <t>Vành đèn LED Downlight Fi 90-Voltex Black</t>
  </si>
  <si>
    <t>LED00005529</t>
  </si>
  <si>
    <t>Đèn bàn LED bảo vệ thị lực RD-RL-16 5W 3000K SS</t>
  </si>
  <si>
    <t>LED00005531</t>
  </si>
  <si>
    <t>Đèn bàn LED bảo vệ thị lực RD-RL-19 5W 6500K SS</t>
  </si>
  <si>
    <t>LED00017627</t>
  </si>
  <si>
    <t>Đèn bàn LED bảo vệ thị lực RD-RL-28 5W 3000K</t>
  </si>
  <si>
    <t>LED00025504</t>
  </si>
  <si>
    <t>Đèn bàn LED bảo vệ thị lực RD-RL-33 5W 3000K</t>
  </si>
  <si>
    <t>LED00046387</t>
  </si>
  <si>
    <t>Đèn bàn LED bảo vệ thị lực RD-RL-19 5W 3000K SS-CT</t>
  </si>
  <si>
    <t>LED00046390</t>
  </si>
  <si>
    <t>Đèn bàn LED bảo vệ thị lực RD-RL-25 5W 6500K-CT</t>
  </si>
  <si>
    <t>LED00055017</t>
  </si>
  <si>
    <t>Bộ đèn LED Tube T8 1200/22W WW+DR (IP65)</t>
  </si>
  <si>
    <t>LED00055931</t>
  </si>
  <si>
    <t>Đèn LED chữ I/30W.V2 6500K (580mm, DOB, Kumho)</t>
  </si>
  <si>
    <t>LED00059459</t>
  </si>
  <si>
    <t>Bộ đèn LED Base Light BL 1200/32.5W Inverted 5000K (XK)</t>
  </si>
  <si>
    <t>LED00060468</t>
  </si>
  <si>
    <t>Bộ đèn LED đổi màu MXL2132 1400/82W (Yankon)</t>
  </si>
  <si>
    <t>LED00065584</t>
  </si>
  <si>
    <t>Đèn LED tủ đông ORION H CANOPY HO 1176 4000K (N17756)</t>
  </si>
  <si>
    <t>LED00066137</t>
  </si>
  <si>
    <t>Bộ đèn LED M18 1200/36W.GOV.V4 6500K</t>
  </si>
  <si>
    <t>LED00067253</t>
  </si>
  <si>
    <t>Bộ đèn LED Tube T5 LT03 600/8W 3000K SS-CT</t>
  </si>
  <si>
    <t>LED00068187</t>
  </si>
  <si>
    <t>Bộ Ray đèn tủ lạnh N47213-1512-12 (Nualight)</t>
  </si>
  <si>
    <t>LED00069576</t>
  </si>
  <si>
    <t>Đèn LED tủ đông ION V CHILLER RP 1476 E 4000K (N14663)</t>
  </si>
  <si>
    <t>LED00070979</t>
  </si>
  <si>
    <t>Đèn LED tủ đông ION H SHELF 425 3500K (N14936)</t>
  </si>
  <si>
    <t>LED00070981</t>
  </si>
  <si>
    <t>Đèn LED tủ đông ION H SHELF 876 3000K (N14687)</t>
  </si>
  <si>
    <t>LED00071831</t>
  </si>
  <si>
    <t>Đèn LED tủ đông ION H SHELF 276 4000K (N14901)</t>
  </si>
  <si>
    <t>LED00071837</t>
  </si>
  <si>
    <t>Đèn LED tủ đông ION H SHELF 425 3000K (N14935)</t>
  </si>
  <si>
    <t>LED00072869</t>
  </si>
  <si>
    <t>Bộ đèn LED Tube T8 CA02/20Wx2 6500K</t>
  </si>
  <si>
    <t>LED00073264</t>
  </si>
  <si>
    <t>Đèn LED tủ đông ION V CHILLER 1176 E 4000K PW (N14653)</t>
  </si>
  <si>
    <t>LED00074315</t>
  </si>
  <si>
    <t>Đèn LED tủ đông ION V FREEZER 1176 C 5000K (N14508)</t>
  </si>
  <si>
    <t>LED00074332</t>
  </si>
  <si>
    <t>Bộ đèn LED Linear LR01 1800/40W 6500K (Có DR)</t>
  </si>
  <si>
    <t>LED00075078</t>
  </si>
  <si>
    <t>Bộ đèn LED M36 1200/50W 3000K</t>
  </si>
  <si>
    <t>LED00076953</t>
  </si>
  <si>
    <t>Đèn LED tủ đông ION V CHILLER 1488 RFB 3500K (N11661)</t>
  </si>
  <si>
    <t>LED00076959</t>
  </si>
  <si>
    <t>Đèn LED tủ đông ION V CHILLER 1488 LFB 3500K (N11660)</t>
  </si>
  <si>
    <t>00000327</t>
  </si>
  <si>
    <t>Bộ công son CSBA 120/20W loại 0,4m</t>
  </si>
  <si>
    <t>00000329</t>
  </si>
  <si>
    <t>LED00044787</t>
  </si>
  <si>
    <t>Bộ nối góc ray tracklight RAY TRL01/NG</t>
  </si>
  <si>
    <t>LED00083894</t>
  </si>
  <si>
    <t>Bộ lưu trữ Pin NLMT CD08.SL.IoT 120W.GATEWAY 30Ah-25.6V</t>
  </si>
  <si>
    <t>LED00068164</t>
  </si>
  <si>
    <t>Đèn LED chữ X/50W SHARK 6500K (Kumho)</t>
  </si>
  <si>
    <t>LED00071166</t>
  </si>
  <si>
    <t>Đèn LED kệ siêu thị ORION H SHELF 876 RT (N17818)</t>
  </si>
  <si>
    <t>LED00072164</t>
  </si>
  <si>
    <t>Đèn LED tủ đông ION H SHELF HO 1176 4000K (N14955)</t>
  </si>
  <si>
    <t>LED00073704</t>
  </si>
  <si>
    <t>Đèn LED tủ đông ION V FREEZER LO 1476 E 5600K (N14533)</t>
  </si>
  <si>
    <t>LED00073707</t>
  </si>
  <si>
    <t>Đèn LED tủ đông ION H SHELF 876 5600K (N14708)</t>
  </si>
  <si>
    <t>LED00074689</t>
  </si>
  <si>
    <t>Bộ đèn LED CSLH.LS 300x1200/40W 6500K</t>
  </si>
  <si>
    <t>LED00079730</t>
  </si>
  <si>
    <t>Đèn LED tủ đông ORION H CANOPY HO 1176 RT (N17791)</t>
  </si>
  <si>
    <t>LED00080960</t>
  </si>
  <si>
    <t>Đèn LED tủ đông ION H SHELF 750 4000K (N14894)</t>
  </si>
  <si>
    <t>LED00081756</t>
  </si>
  <si>
    <t>Bộ đèn LED Parking Light 1200/40W 4000K (XK-OSRAM)</t>
  </si>
  <si>
    <t>00000146</t>
  </si>
  <si>
    <t>Kích điện dùng cho bộ đèn cao áp</t>
  </si>
  <si>
    <t>LED00005633</t>
  </si>
  <si>
    <t>Bộ cần treo đèn tròn dài 0,8m</t>
  </si>
  <si>
    <t>00000102</t>
  </si>
  <si>
    <t>Bóng 220V-40W xoáy</t>
  </si>
  <si>
    <t>00000387</t>
  </si>
  <si>
    <t>Đèn Metal Halide ( MH-ED 250w/642 )  E27</t>
  </si>
  <si>
    <t>00000414</t>
  </si>
  <si>
    <t>Bóng 220V-60W MN</t>
  </si>
  <si>
    <t>00000481</t>
  </si>
  <si>
    <t>Đèn cao áp NATRI (HPS-T 70W/220) E27</t>
  </si>
  <si>
    <t>00000467</t>
  </si>
  <si>
    <t>Chao DN đơn 1,2m FS-40/36x1 CM1</t>
  </si>
  <si>
    <t>LED00080361</t>
  </si>
  <si>
    <t>Bộ chao kim cương đèn LED HB05 250/80W-100W (XK)</t>
  </si>
  <si>
    <t>Cơ khí</t>
  </si>
  <si>
    <t>LED00062857</t>
  </si>
  <si>
    <t>Connecting Rod - thanh nối âm trần</t>
  </si>
  <si>
    <t>LED00081382</t>
  </si>
  <si>
    <t>Đèn bàn LED bảo vệ thị lực RD-RL-01.V2 6W 3000K</t>
  </si>
  <si>
    <t>00000162</t>
  </si>
  <si>
    <t>Bóng đèn CFL 3U T4 20W H8 E27 6500K MN</t>
  </si>
  <si>
    <t>00000361</t>
  </si>
  <si>
    <t>Đèn CFL-S T3 14W Galaxy B22 6500K</t>
  </si>
  <si>
    <t>00000399</t>
  </si>
  <si>
    <t>Bóng đèn CFL 3U T4 15W H8 B22 6500K MN</t>
  </si>
  <si>
    <t>00000400</t>
  </si>
  <si>
    <t>Bóng đèn CFL 3UT4 30W H8 E27 6500K</t>
  </si>
  <si>
    <t>00000492</t>
  </si>
  <si>
    <t>Đèn CFL-ST3 11W Galaxy H8 E27 6500K</t>
  </si>
  <si>
    <t>00000500</t>
  </si>
  <si>
    <t>Bóng đèn Compact CFL-HST4 25W E6500K</t>
  </si>
  <si>
    <t>LED00059948</t>
  </si>
  <si>
    <t>Bộ đèn LED Tube T5 LT.GR2 1200/22W (IP65)</t>
  </si>
  <si>
    <t>LED00059949</t>
  </si>
  <si>
    <t>Bộ đèn LED Tube T5 LT.GR3 1200/22W (IP65)</t>
  </si>
  <si>
    <t>LED00063115</t>
  </si>
  <si>
    <t>Bộ đèn LED M20 NT01 1200/28W.LF 3000K</t>
  </si>
  <si>
    <t>LED00063116</t>
  </si>
  <si>
    <t>Bộ đèn LED M20 NT01 900/21W.LF 4000K</t>
  </si>
  <si>
    <t>LED00063146</t>
  </si>
  <si>
    <t>Đèn Ray LED Thanh đổi màu RLT02.BLE.CW 370/10W (48V)</t>
  </si>
  <si>
    <t>LED00065018</t>
  </si>
  <si>
    <t>Bộ đèn LED Tube T8 TT01 M9/20Wx2 6500K (ko nắp)</t>
  </si>
  <si>
    <t>LED00065467</t>
  </si>
  <si>
    <t>Đèn LED tủ đông ION H SHELF 1476 4000K (N14697)</t>
  </si>
  <si>
    <t>LED00068476</t>
  </si>
  <si>
    <t>Bộ đèn LED M26 600/20W 3000K-CT</t>
  </si>
  <si>
    <t>LED00068540</t>
  </si>
  <si>
    <t>Đèn LED tủ đông ION H CANOPY 1176 RT (N14712)</t>
  </si>
  <si>
    <t>LED00070246</t>
  </si>
  <si>
    <t>Bộ đèn LED M26 600/25W 6500K</t>
  </si>
  <si>
    <t>LED00070978</t>
  </si>
  <si>
    <t>Đèn LED tủ đông ION H SHELF 576 3000K (N14878)</t>
  </si>
  <si>
    <t>LED00071786</t>
  </si>
  <si>
    <t>Đèn LED tủ đông Muon H SHELF 1189 (N15007)</t>
  </si>
  <si>
    <t>LED00072168</t>
  </si>
  <si>
    <t>Đèn LED tủ đông ION H CANOPY 576 3000K (N14912)</t>
  </si>
  <si>
    <t>LED00072189</t>
  </si>
  <si>
    <t>Đèn LED tủ đông ION H SHELF 1676 3500K (N14674)</t>
  </si>
  <si>
    <t>LED00073263</t>
  </si>
  <si>
    <t>Đèn LED tủ đông ION V CHILLER 1176 C 4000K PW (N14652)</t>
  </si>
  <si>
    <t>LED00073708</t>
  </si>
  <si>
    <t>Đèn LED tủ đông ION H SHELF 1176 5600K (N14678)</t>
  </si>
  <si>
    <t>LED00076963</t>
  </si>
  <si>
    <t>Đèn LED tủ đông ION V CHILLER 1188 CFB 4000K (N11647)</t>
  </si>
  <si>
    <t>LED00076965</t>
  </si>
  <si>
    <t>Đèn LED tủ đông ION V CHILLER 1488 CFB 3500K (N11659)</t>
  </si>
  <si>
    <t>LED00077452</t>
  </si>
  <si>
    <t>Đèn LED tủ đông ION V CHILLER 1176 E 5700K (N14869)</t>
  </si>
  <si>
    <t>LED00078553</t>
  </si>
  <si>
    <t>Bộ đèn LED Base Light BL 1200/43W Fuji 150 5000K (XK)</t>
  </si>
  <si>
    <t>LED00080970</t>
  </si>
  <si>
    <t>Đèn LED tủ đông ION H SHELF 805 4000K (N14920)</t>
  </si>
  <si>
    <t>LED00081758</t>
  </si>
  <si>
    <t>Bộ đèn LED Parking Light 1200/60W 4000K (XK-OSRAM)</t>
  </si>
  <si>
    <t>LED00083827</t>
  </si>
  <si>
    <t>Đèn LED tủ đông ION V FREEZER LO 1676 E 4000K (N14477)</t>
  </si>
  <si>
    <t>LED00005635</t>
  </si>
  <si>
    <t>Bộ cần treo đèn vuông dài 0,5m</t>
  </si>
  <si>
    <t>LED00063186</t>
  </si>
  <si>
    <t>Đèn LED tủ lạnh ORION V FREEZER 1476 4000K (N17708)</t>
  </si>
  <si>
    <t>LED00065465</t>
  </si>
  <si>
    <t>Đèn LED tủ đông ION H SHELF 1176 4000K (N14693)</t>
  </si>
  <si>
    <t>LED00066769</t>
  </si>
  <si>
    <t>Bộ đèn LED M26 1200/40W 6500K SS</t>
  </si>
  <si>
    <t>LED00068584</t>
  </si>
  <si>
    <t>Bộ Ray đèn tủ lạnh N47213-1370G-12 (Nualight)</t>
  </si>
  <si>
    <t>LED00068687</t>
  </si>
  <si>
    <t>Đèn LED tủ đông ION H SHELF 276 3500K (N14900)</t>
  </si>
  <si>
    <t>LED00068814</t>
  </si>
  <si>
    <t>Đèn LED tủ đông ORION H CANOPY 1176 5000K (N17739)</t>
  </si>
  <si>
    <t>LED00070983</t>
  </si>
  <si>
    <t>Đèn LED tủ đông ION H CANOPY HO 1176 3000K (N14732)</t>
  </si>
  <si>
    <t>LED00071787</t>
  </si>
  <si>
    <t>Đèn LED tủ đông Muon H Canopy 1100 (N15008)</t>
  </si>
  <si>
    <t>LED00073066</t>
  </si>
  <si>
    <t>Đèn LED tủ đông ION V FREZEER 1488 CFB 3500K-XARR (N11734)</t>
  </si>
  <si>
    <t>LED00074600</t>
  </si>
  <si>
    <t>Đèn LED tủ đông ION H SHELF 876 2700K 12V (N14987)</t>
  </si>
  <si>
    <t>LED00076861</t>
  </si>
  <si>
    <t>Bộ đèn LED chống bụi M08 1200/40W.GOV.V2 6500K</t>
  </si>
  <si>
    <t>LED00076956</t>
  </si>
  <si>
    <t>Đèn LED tủ đông ION V CHILLER 1188 LFB 3500K (N11645)</t>
  </si>
  <si>
    <t>LED00076958</t>
  </si>
  <si>
    <t>Đèn LED tủ đông ION V CHILLER 1488 LFB 3000K (N11657)</t>
  </si>
  <si>
    <t>LED00079840</t>
  </si>
  <si>
    <t>Đèn LED tủ đông ION V FREEZER 876 C 5000K (N14504)</t>
  </si>
  <si>
    <t>LED00080969</t>
  </si>
  <si>
    <t>Đèn LED tủ đông ION H SHELF 805 3000K (N14918)</t>
  </si>
  <si>
    <t>LED00081524</t>
  </si>
  <si>
    <t>Bộ đèn LED Tube T5 LT 1150/16.5W 3000K (Hera)</t>
  </si>
  <si>
    <t>LED00084482</t>
  </si>
  <si>
    <t>Bộ đèn LED M28.V2 1200/40W 4000K</t>
  </si>
  <si>
    <t>LED00013988</t>
  </si>
  <si>
    <t>Giá treo đèn nổi trần M15 300x1200</t>
  </si>
  <si>
    <t>LED00046957</t>
  </si>
  <si>
    <t>Đèn LED chiếu sáng đường NLMT CSD02 SL 80W.DA</t>
  </si>
  <si>
    <t>LED00054754</t>
  </si>
  <si>
    <t>Mặt công tắc ổ cắm âm tường MOC01 80x120x9/3H</t>
  </si>
  <si>
    <t>LED00057759</t>
  </si>
  <si>
    <t>Bộ phụ kiện panel âm trần hệ trần nhôm</t>
  </si>
  <si>
    <t>LED00065243</t>
  </si>
  <si>
    <t>Mặt công tắc ổ cắm âm tường MOC02.V 8 trùng tên</t>
  </si>
  <si>
    <t>00000378</t>
  </si>
  <si>
    <t>Đèn METAL HALIDE(MH-ED 150W/642) E27</t>
  </si>
  <si>
    <t>00000317</t>
  </si>
  <si>
    <t>Đèn bàn bảovệ thị lực RD-RL-03 2700K</t>
  </si>
  <si>
    <t>LED00071913</t>
  </si>
  <si>
    <t>Đèn LED MQL1067 2x4FT 3CCT  (YanKon)</t>
  </si>
  <si>
    <t>LED00072165</t>
  </si>
  <si>
    <t>Đèn LED tủ đông ION H CANOPY 276 4000K (N14908)</t>
  </si>
  <si>
    <t>LED00072446</t>
  </si>
  <si>
    <t>Đèn LED tủ đông ION H CANOPY 1176 3000K (N14718)</t>
  </si>
  <si>
    <t>LED00073258</t>
  </si>
  <si>
    <t>Đèn LED tủ đông ION V FREEZER 1176 E 5000K (N14546)</t>
  </si>
  <si>
    <t>LED00074296</t>
  </si>
  <si>
    <t>Đèn LED tủ đông ORION V CHILLER  1676 5000K (N17728)</t>
  </si>
  <si>
    <t>LED00075170</t>
  </si>
  <si>
    <t>Bộ đèn LED M36 600/25W 6500K-CT</t>
  </si>
  <si>
    <t>LED00076964</t>
  </si>
  <si>
    <t>Đèn LED tủ đông ION V CHILLER 1488 CFB 3000K (N11656)</t>
  </si>
  <si>
    <t>LED00079870</t>
  </si>
  <si>
    <t>Đèn LED tủ đông ION H SHELF 700 4000K (N14861)</t>
  </si>
  <si>
    <t>LED00079950</t>
  </si>
  <si>
    <t>Đèn LED kệ siêu thị ORION H SHELF 1176 2700K (N17743)</t>
  </si>
  <si>
    <t>LED00080700</t>
  </si>
  <si>
    <t>Đèn LED tủ đông ION H CANOPY 1176 3500K MB (N14719-MB)</t>
  </si>
  <si>
    <t>LED00081497</t>
  </si>
  <si>
    <t>Bộ đèn LED Tube T5 LT 600/8.5W 3000K (Hera)</t>
  </si>
  <si>
    <t>LED00081757</t>
  </si>
  <si>
    <t>Bộ đèn LED Parking Light 1200/40W 6500K (XK-OSRAM)</t>
  </si>
  <si>
    <t>LED00083369</t>
  </si>
  <si>
    <t>Bộ đèn LED CSLH 300x1200/40W 6500K (CRI90, PF0.9)</t>
  </si>
  <si>
    <t>LED00083820</t>
  </si>
  <si>
    <t>Đèn LED tủ đông ION V FREEZER LO 1476 C 4000K (N14472)</t>
  </si>
  <si>
    <t>LED00083826</t>
  </si>
  <si>
    <t>Đèn LED tủ đông ION V FREEZER LO 1676 C 4000K (N14476)</t>
  </si>
  <si>
    <t>LED00084454</t>
  </si>
  <si>
    <t>Đèn LED tủ đông ION H SHELF 750 RT (N14898)</t>
  </si>
  <si>
    <t>LED00043707</t>
  </si>
  <si>
    <t>Đui đèn chống thấm nước E27 IP65 (60cm)</t>
  </si>
  <si>
    <t>LED00044789</t>
  </si>
  <si>
    <t>Bộ nối thẳng ray tracklight RAY TRL01/NT</t>
  </si>
  <si>
    <t>LED00050830</t>
  </si>
  <si>
    <t>Bộ cần treo đèn tròn dài 0,6m-CT</t>
  </si>
  <si>
    <t>LED00056401</t>
  </si>
  <si>
    <t>Bộ gá đèn downlight AT01</t>
  </si>
  <si>
    <t>00000337</t>
  </si>
  <si>
    <t>Bóng 220V-75W MN</t>
  </si>
  <si>
    <t>00000269</t>
  </si>
  <si>
    <t>Chao đènDownlight âmtrần cómặtkính CFC160GC</t>
  </si>
  <si>
    <t>LED00038680</t>
  </si>
  <si>
    <t>Đèn bàn LED bảo vệ thị lực RD-RL-27.V2 5W 3000K</t>
  </si>
  <si>
    <t>LED00042017</t>
  </si>
  <si>
    <t>Đèn bàn LED bảo vệ thị lực RD-RL-01.V2 5W 3000K</t>
  </si>
  <si>
    <t>LED00068132</t>
  </si>
  <si>
    <t>Đèn LED panel MQL 1059 2x4 45W CCT (YK-Brown Box)</t>
  </si>
  <si>
    <t>LED00068481</t>
  </si>
  <si>
    <t>Bộ đèn LED Tube T5 LT03 300/4W 3000K SS-CT</t>
  </si>
  <si>
    <t>LED00068686</t>
  </si>
  <si>
    <t>Đèn LED tủ đông ION H SHELF 305 5700K (N14857)</t>
  </si>
  <si>
    <t>LED00070302</t>
  </si>
  <si>
    <t>Bộ đèn LED M36 1200/50W 6500K</t>
  </si>
  <si>
    <t>LED00072159</t>
  </si>
  <si>
    <t>Đèn LED tủ đông ION H SHELF 1476 3000K (N14695)</t>
  </si>
  <si>
    <t>LED00072808</t>
  </si>
  <si>
    <t>Đèn LED tủ đông ION V CHILLER 1476 E 3500K (N14641)</t>
  </si>
  <si>
    <t>LED00072871</t>
  </si>
  <si>
    <t>Bộ đèn LED Tube T8 CA02/20Wx1 6500K</t>
  </si>
  <si>
    <t>LED00072960</t>
  </si>
  <si>
    <t>Đèn LED tủ đông ORION V CHILLER  1476 2700K (N17717)</t>
  </si>
  <si>
    <t>LED00074317</t>
  </si>
  <si>
    <t>Đèn LED tủ đông ION H CANOPY 1176 5000K (N14706)</t>
  </si>
  <si>
    <t>LED00074947</t>
  </si>
  <si>
    <t>Đèn LED tủ đông ION V FREEZER 1676 E 5000K (N14554)</t>
  </si>
  <si>
    <t>LED00075171</t>
  </si>
  <si>
    <t>Bộ đèn LED Tube T8 TT01 CSLH/20Wx1 6500K-CT</t>
  </si>
  <si>
    <t>LED00075510</t>
  </si>
  <si>
    <t>Đèn LED tủ đông ORION H CANOPY 1176 RT (N17788)</t>
  </si>
  <si>
    <t>LED00076951</t>
  </si>
  <si>
    <t>Đèn LED tủ đông ION V CHILLER 1188 RFB 4000K (N11649)</t>
  </si>
  <si>
    <t>LED00080930</t>
  </si>
  <si>
    <t>Đèn LED tủ đông ION H CANOPY 876 3000K (N14714)</t>
  </si>
  <si>
    <t>LED00082041</t>
  </si>
  <si>
    <t>Đèn LED tủ đông ION H CANOPY 876 3500K (N14715)</t>
  </si>
  <si>
    <t>LED00083114</t>
  </si>
  <si>
    <t>Bộ đèn LED thanh lắp nổi M20 1200/24W.GOV.V2 3000K</t>
  </si>
  <si>
    <t>LED00084446</t>
  </si>
  <si>
    <t>Đèn LED tủ đông ION H SHELF 576 5000K (N14880)</t>
  </si>
  <si>
    <t>LED00044790</t>
  </si>
  <si>
    <t>Bộ ray tracklight RAY TRL01/1000 (1m)</t>
  </si>
  <si>
    <t>LED00046956</t>
  </si>
  <si>
    <t>Bộ lưu trữ Pin NLMT đèn đường 80W.DA(12.8V-80Ah)</t>
  </si>
  <si>
    <t>00000279</t>
  </si>
  <si>
    <t>Bóng đèn (LED PAR20/3W) E27 á/s vàng</t>
  </si>
  <si>
    <t>00000280</t>
  </si>
  <si>
    <t>Bóng đèn (LED PAR38N/5W) E27 3500K</t>
  </si>
  <si>
    <t>00000281</t>
  </si>
  <si>
    <t>Bóng đèn LED MR16/3W E27 g.c 30o-Vàng E</t>
  </si>
  <si>
    <t>00000284</t>
  </si>
  <si>
    <t>Bóng đèn LED MR16/5W GU10 g.c 30o-Vàng E</t>
  </si>
  <si>
    <t>00000383</t>
  </si>
  <si>
    <t>Đèn cao áp NATRI (HPS-ED 400W/220) E40</t>
  </si>
  <si>
    <t>LED00059951</t>
  </si>
  <si>
    <t>Bộ đèn LED Tube T5 LT.GR4 1200/25W (IP65)</t>
  </si>
  <si>
    <t>LED00063603</t>
  </si>
  <si>
    <t>Đèn Ray LED Thanh xoay góc RLT03 130/6W (48V)</t>
  </si>
  <si>
    <t>LED00063606</t>
  </si>
  <si>
    <t>Đèn Ray LED Thanh RLT02 670/20W (48V)</t>
  </si>
  <si>
    <t>LED00065460</t>
  </si>
  <si>
    <t>Đèn LED tủ đông ION V CHILLER 1476 C 4000K (N14606)</t>
  </si>
  <si>
    <t>LED00068486</t>
  </si>
  <si>
    <t>Đèn LED tủ đông ION H SHELF 1136 3500K (N14743)-CT</t>
  </si>
  <si>
    <t>LED00068553</t>
  </si>
  <si>
    <t>Đèn LED tủ đông ION H CANOPY HO 1476 3500K (N14736)</t>
  </si>
  <si>
    <t>LED00068683</t>
  </si>
  <si>
    <t>Đèn LED tủ đông ION H CANOPY 425 3500K (N14942)</t>
  </si>
  <si>
    <t>LED00068819</t>
  </si>
  <si>
    <t>Đèn LED tủ đông ORION H CANOPY 1676 5000K (N17741)</t>
  </si>
  <si>
    <t>LED00071118</t>
  </si>
  <si>
    <t>Đèn LED kệ siêu thị ORION H SHELF 1176 4000K (N17746)</t>
  </si>
  <si>
    <t>LED00071119</t>
  </si>
  <si>
    <t>Đèn LED kệ siêu thị ORION H SHELF 1476 4000K (N17747)</t>
  </si>
  <si>
    <t>LED00071120</t>
  </si>
  <si>
    <t>Đèn LED tủ lạnh ORION V FREEZER 1776 4000K (N17832)</t>
  </si>
  <si>
    <t>LED00071838</t>
  </si>
  <si>
    <t>Đèn LED tủ đông ION H SHELF 425 4000K (N14937)</t>
  </si>
  <si>
    <t>LED00072169</t>
  </si>
  <si>
    <t>Đèn LED tủ đông ION H CANOPY 576 3500K (N14913)</t>
  </si>
  <si>
    <t>LED00072191</t>
  </si>
  <si>
    <t>Đèn LED kệ siêu thị ORION H SHELF 876 4000K (N17745)</t>
  </si>
  <si>
    <t>LED00075169</t>
  </si>
  <si>
    <t>Bộ đèn LED M26 600/25W 6500K-CT</t>
  </si>
  <si>
    <t>LED00075768</t>
  </si>
  <si>
    <t>Đèn LED tủ đông ION V CHILLER 1476 C 3500K (N14605)</t>
  </si>
  <si>
    <t>LED00076952</t>
  </si>
  <si>
    <t>Đèn LED tủ đông ION V CHILLER 1488 RFB 3000K (N11658)</t>
  </si>
  <si>
    <t>LED00080950</t>
  </si>
  <si>
    <t>Đèn LED tủ đông ION H CANOPY 1476 3000K (N14722)</t>
  </si>
  <si>
    <t>LED00082216</t>
  </si>
  <si>
    <t>Bộ đèn LED thanh lắp nổi M20 1200/24W.GOV.V2 6500K</t>
  </si>
  <si>
    <t>LED00084180</t>
  </si>
  <si>
    <t>Bộ đèn LED M28.V3 1200/36W 6500K</t>
  </si>
  <si>
    <t>LED00084437</t>
  </si>
  <si>
    <t>Đèn LED tủ đông ION H SHELF 876 5000K (N14675)</t>
  </si>
  <si>
    <t>LED00084762</t>
  </si>
  <si>
    <t>Bộ đèn LED Tube T8 M10/20Wx3 6500K</t>
  </si>
  <si>
    <t>00000539</t>
  </si>
  <si>
    <t>Bộ phụ kiện đèn gắn tường 2.5w</t>
  </si>
  <si>
    <t>00000542</t>
  </si>
  <si>
    <t>Đui đèn E27 lắp bộ chao đa năng</t>
  </si>
  <si>
    <t>LED00064333</t>
  </si>
  <si>
    <t>Bộ nguồn buck 40W cho đèn Parking light</t>
  </si>
  <si>
    <t>LED00065095</t>
  </si>
  <si>
    <t>Bộ đèn LED M56 1200/40W 6500K</t>
  </si>
  <si>
    <t>LED00065455</t>
  </si>
  <si>
    <t>Đèn LED tủ đông ION V FREEZER 1476 C 5000K (N14512)</t>
  </si>
  <si>
    <t>LED00065458</t>
  </si>
  <si>
    <t>Đèn LED tủ đông ION H CANOPY 1176 4000K (N14720)</t>
  </si>
  <si>
    <t>LED00065989</t>
  </si>
  <si>
    <t>Bộ đèn LED chống nổ CN01 1200/40W.GOV.V4 6500K</t>
  </si>
  <si>
    <t>LED00068479</t>
  </si>
  <si>
    <t>Bộ đèn LED Parking Light 1200/60W 4000K (XK-LDV)-CT</t>
  </si>
  <si>
    <t>LED00072175</t>
  </si>
  <si>
    <t>Đèn LED tủ đông ION H CANOPY HO 876 3000K (N14729)</t>
  </si>
  <si>
    <t>LED00073284</t>
  </si>
  <si>
    <t>Đèn LED tủ đông ION H CANOPY 876 4000K (N14716)</t>
  </si>
  <si>
    <t>LED00074160</t>
  </si>
  <si>
    <t>Bộ đèn LED M28 1200/36W 3000K (XK-KN)</t>
  </si>
  <si>
    <t>LED00074993</t>
  </si>
  <si>
    <t>Bộ đèn LED CSLH 300x1200/40W 5000K</t>
  </si>
  <si>
    <t>LED00075456</t>
  </si>
  <si>
    <t>Bộ đèn LED Tube T8 M11/20Wx2 6500K (LPF) SS</t>
  </si>
  <si>
    <t>LED00076955</t>
  </si>
  <si>
    <t>Đèn LED tủ đông ION V CHILLER 1188 LFB 3000K (N11642)</t>
  </si>
  <si>
    <t>LED00076960</t>
  </si>
  <si>
    <t>Đèn LED tủ đông ION V CHILLER 1488 LFB 4000K (N11663)</t>
  </si>
  <si>
    <t>LED00078722</t>
  </si>
  <si>
    <t>Bộ đèn LED Tube T8 TT01 M9/22Wx2 6500K NR</t>
  </si>
  <si>
    <t>LED00080233</t>
  </si>
  <si>
    <t>Bộ đèn LED Batten 1200/38W Non-Dim 4000K MKV (XK)</t>
  </si>
  <si>
    <t>LED00080973</t>
  </si>
  <si>
    <t>Đèn LED tủ đông ION H CANOPY 1136 4000K (N14997)</t>
  </si>
  <si>
    <t>LED00083821</t>
  </si>
  <si>
    <t>Đèn LED tủ đông ION V FREEZER LO 1476 E 4000K (N14473)</t>
  </si>
  <si>
    <t>LED00084368</t>
  </si>
  <si>
    <t>Bộ đèn LED chống nổ CN01 1200/20W.PLUS 4000K</t>
  </si>
  <si>
    <t>LED00084432</t>
  </si>
  <si>
    <t>Đèn LED tủ đông ION V CHILLER 1476 E 5000K (N14623)</t>
  </si>
  <si>
    <t>00000330</t>
  </si>
  <si>
    <t>00000552</t>
  </si>
  <si>
    <t>Chụp nhựa máng học đường</t>
  </si>
  <si>
    <t>LED00046536</t>
  </si>
  <si>
    <t>Dây nối dài tấm Solar DN 2mx0.75 CP NLMT 50W</t>
  </si>
  <si>
    <t>LED00065230</t>
  </si>
  <si>
    <t>Mặt công tắc ổ cắm âm tường MOC02.CN 70x120x6/1H (Ralli)</t>
  </si>
  <si>
    <t>LED00077065</t>
  </si>
  <si>
    <t>Bộ chao thép đèn LED HB05 300/120W-150W (XK)</t>
  </si>
  <si>
    <t>LED00065106</t>
  </si>
  <si>
    <t>Bộ đèn LED M56 600/20W 6500K</t>
  </si>
  <si>
    <t>LED00066367</t>
  </si>
  <si>
    <t>Đèn LED ZDL 1209 50W 5000K (Yankon)</t>
  </si>
  <si>
    <t>LED00066776</t>
  </si>
  <si>
    <t>Bộ đèn LED Tube T8 M11/10Wx1.DA 6500K</t>
  </si>
  <si>
    <t>LED00067030</t>
  </si>
  <si>
    <t>Bộ đèn LED M46 1200/50W 3000K</t>
  </si>
  <si>
    <t>LED00071165</t>
  </si>
  <si>
    <t>Đèn LED tủ đông ORION V CHILLER  1476 5000K (N17727)</t>
  </si>
  <si>
    <t>LED00072170</t>
  </si>
  <si>
    <t>Đèn LED tủ đông ION H CANOPY 576 4000K (N14914)</t>
  </si>
  <si>
    <t>LED00072361</t>
  </si>
  <si>
    <t>Bộ chiếu sáng LED Base Light 1200/32.5W âm trần 5000K</t>
  </si>
  <si>
    <t>LED00072956</t>
  </si>
  <si>
    <t>Đèn LED tủ đông ION V FREEZER LO 1776 E 4000K (N14773)</t>
  </si>
  <si>
    <t>LED00074138</t>
  </si>
  <si>
    <t>Đèn LED kệ siêu thị ORION H SHELF 780 RT (N17849)</t>
  </si>
  <si>
    <t>LED00074298</t>
  </si>
  <si>
    <t>Đèn LED kệ siêu thị ORION H SHELF 1176 5000K (N17749)</t>
  </si>
  <si>
    <t>LED00076859</t>
  </si>
  <si>
    <t>Bộ đèn LED chống bụi M08 600/10W.GOV.V2 6500K</t>
  </si>
  <si>
    <t>LED00078424</t>
  </si>
  <si>
    <t>Bộ Ray đèn tủ lạnh N47213-1998-12 (Nualight)</t>
  </si>
  <si>
    <t>LED00081523</t>
  </si>
  <si>
    <t>Bộ đèn LED Tube T5 LT 900/12.5W 3000K (Hera)</t>
  </si>
  <si>
    <t>LED00081698</t>
  </si>
  <si>
    <t>Bộ đèn LED CSLH.BLE 300x1200/40W 6500K</t>
  </si>
  <si>
    <t>LED00081759</t>
  </si>
  <si>
    <t>Bộ đèn LED Parking Light 1200/60W 6500K (XK-OSRAM)</t>
  </si>
  <si>
    <t>LED00083360</t>
  </si>
  <si>
    <t>Bộ đèn LED M26 1200/50W 3000K</t>
  </si>
  <si>
    <t>00000143</t>
  </si>
  <si>
    <t>Bộ cần treo 0,5m đèn CSLH 120/20W</t>
  </si>
  <si>
    <t>00000208</t>
  </si>
  <si>
    <t>Bộ công son CSBA 120/18W loại 0,8m</t>
  </si>
  <si>
    <t>00000540</t>
  </si>
  <si>
    <t>Bộ phụ kiện lắp đèn CSHĐ</t>
  </si>
  <si>
    <t>00000546</t>
  </si>
  <si>
    <t>Driver LED Panel 36W</t>
  </si>
  <si>
    <t>LED00005632</t>
  </si>
  <si>
    <t>Bộ cần treo đèn tròn dài 0,7m</t>
  </si>
  <si>
    <t>LED00005638</t>
  </si>
  <si>
    <t>Bộ công son</t>
  </si>
  <si>
    <t>LED00005641</t>
  </si>
  <si>
    <t>Bộ cần đèn n/xómRSL-05/50W/E40,dài 1m</t>
  </si>
  <si>
    <t>LED00046537</t>
  </si>
  <si>
    <t>Dây nối dài tấm Solar DN 3mx0.75 CP NLMT 50W</t>
  </si>
  <si>
    <t>LED00070531</t>
  </si>
  <si>
    <t>Hạt ổ cắm âm tường HOC05 2C/16A</t>
  </si>
  <si>
    <t>LED00073702</t>
  </si>
  <si>
    <t>Đèn LED tủ đông ION V FREEZER LO 1476 C 5600K (N14513)</t>
  </si>
  <si>
    <t>LED00073705</t>
  </si>
  <si>
    <t>Đèn LED tủ đông ION V FREEZER 750 C 5600K (N14501)</t>
  </si>
  <si>
    <t>LED00075764</t>
  </si>
  <si>
    <t>Đèn LED tủ đông ORION V CHILLER  876 4000K (N17720)</t>
  </si>
  <si>
    <t>LED00076068</t>
  </si>
  <si>
    <t>Bộ đèn LED M28.V2 1200/40W 5000K</t>
  </si>
  <si>
    <t>LED00076423</t>
  </si>
  <si>
    <t>Đèn LED tủ đông ORION V CHILLER  650 4000K (N17797)</t>
  </si>
  <si>
    <t>LED00076962</t>
  </si>
  <si>
    <t>Đèn LED tủ đông ION V CHILLER 1188 CFB 3500K (N11644)</t>
  </si>
  <si>
    <t>LED00078555</t>
  </si>
  <si>
    <t>Bộ đèn LED Base Light BL 1200/43W Fuji 230 5000K (XK)</t>
  </si>
  <si>
    <t>LED00078560</t>
  </si>
  <si>
    <t>Bộ đèn LED Base Light BL 1200/32.5W Fuji 150 5000K (XK)</t>
  </si>
  <si>
    <t>LED00079700</t>
  </si>
  <si>
    <t>Bộ đèn LED M36 600/25W 3000K</t>
  </si>
  <si>
    <t>LED00080954</t>
  </si>
  <si>
    <t>Đèn LED tủ đông ION H SHELF 1136 4000K (N14744)</t>
  </si>
  <si>
    <t>LED00081697</t>
  </si>
  <si>
    <t>Bộ đèn LED âm trần M20 1200/24W.GOV.V2</t>
  </si>
  <si>
    <t>LED00083047</t>
  </si>
  <si>
    <t>Đèn LED tủ đông ORION V CHILLER  876 3500K (N17116)</t>
  </si>
  <si>
    <t>LED00005631</t>
  </si>
  <si>
    <t>Bộ cần treo đèn tròn dài 0,6m</t>
  </si>
  <si>
    <t>LED00032944</t>
  </si>
  <si>
    <t>Bộ gá đèn đa năng</t>
  </si>
  <si>
    <t>LED00065231</t>
  </si>
  <si>
    <t>Mặt công tắc ổ cắm âm tường MOC02.CN 70x120 trùng tên</t>
  </si>
  <si>
    <t>LED00075925</t>
  </si>
  <si>
    <t>Bộ phụ kiện đèn HB05 (XK)</t>
  </si>
  <si>
    <t>LED00005610</t>
  </si>
  <si>
    <t>Chao đèn NN-KC-20/E27</t>
  </si>
  <si>
    <t>LED00038286</t>
  </si>
  <si>
    <t>Đèn bàn LED bảo vệ thị lực RD-RL-40 8W 4000K</t>
  </si>
  <si>
    <t>LED00038681</t>
  </si>
  <si>
    <t>Đèn bàn LED bảo vệ thị lực RD-RL-24.V2 5W 6500K</t>
  </si>
  <si>
    <t>00000171</t>
  </si>
  <si>
    <t>Bóng đèn CFL 4UT5 50W.S H8 E27 6500K</t>
  </si>
  <si>
    <t>00000349</t>
  </si>
  <si>
    <t>Đèn HQ Compact(CF-S)2U-11W-12V 6500K</t>
  </si>
  <si>
    <t>00000367</t>
  </si>
  <si>
    <t>Bóng đèn CFL HST4 30W.S H8 E27 6500K</t>
  </si>
  <si>
    <t>00000398</t>
  </si>
  <si>
    <t>Đèn HQ Compact CFL-HST4 30W E27 6500K</t>
  </si>
  <si>
    <t>00000514</t>
  </si>
  <si>
    <t>Đèn HQCompactCFH-XT2 3W E27 6500K</t>
  </si>
  <si>
    <t>00000526</t>
  </si>
  <si>
    <t>Bóng đèn CFL 4UT5 40W.S E27 6500K</t>
  </si>
  <si>
    <t>LED00056233</t>
  </si>
  <si>
    <t>Bộ đèn LED Tube T8 N02 M21.1/20Wx1 6500K-CT</t>
  </si>
  <si>
    <t>LED00057772</t>
  </si>
  <si>
    <t>Đèn LED Đánh cá DC06.V2 500W 4000K</t>
  </si>
  <si>
    <t>LED00060846</t>
  </si>
  <si>
    <t>Bộ đèn LED M18 1200/18W.GOV 6500K</t>
  </si>
  <si>
    <t>LED00061237</t>
  </si>
  <si>
    <t>Bộ chiếu sáng LED Base Light BL 1200/43W 5000K</t>
  </si>
  <si>
    <t>LED00061842</t>
  </si>
  <si>
    <t>Bộ đèn LED Parking Light 1200/40W 6500K (XK-LDV)</t>
  </si>
  <si>
    <t>LED00064865</t>
  </si>
  <si>
    <t>Đèn LED panel MQL 1064 2x4 3CCT (Yankon)</t>
  </si>
  <si>
    <t>LED00064866</t>
  </si>
  <si>
    <t>Đèn LED panel MQL 1064 2x2 3CCT (Yankon)</t>
  </si>
  <si>
    <t>LED00065466</t>
  </si>
  <si>
    <t>Đèn LED tủ đông ION H SHELF 1176 5000K (N14679)</t>
  </si>
  <si>
    <t>LED00066580</t>
  </si>
  <si>
    <t>Bộ đèn LED M66 1200/60W 3000K</t>
  </si>
  <si>
    <t>LED00068810</t>
  </si>
  <si>
    <t>Đèn LED tủ đông ORION V CHILLER  1176 5000K (N17726)</t>
  </si>
  <si>
    <t>LED00070985</t>
  </si>
  <si>
    <t>Đèn LED tủ đông ION H SHELF 276 3000K (N14899)</t>
  </si>
  <si>
    <t>LED00072451</t>
  </si>
  <si>
    <t>Đèn LED tủ đông ORION V CHILLER  1476 RT (N17795)</t>
  </si>
  <si>
    <t>LED00075653</t>
  </si>
  <si>
    <t>Bộ đèn LED CSBA 80x1200/28W 6500K (CRI90)</t>
  </si>
  <si>
    <t>LED00076961</t>
  </si>
  <si>
    <t>Đèn LED tủ đông ION V CHILLER 1188 CFB 3000K (N11641)</t>
  </si>
  <si>
    <t>LED00081525</t>
  </si>
  <si>
    <t>Bộ đèn LED Tube T5 LT 1440/21.5W 3000K (Hera)</t>
  </si>
  <si>
    <t>LED00084442</t>
  </si>
  <si>
    <t>Đèn LED tủ đông ION H SHELF 1476 5000K (N14683)</t>
  </si>
  <si>
    <t>LED00005634</t>
  </si>
  <si>
    <t>Bộ cần treo đèn tròn dài 0,9m</t>
  </si>
  <si>
    <t>LED00033332</t>
  </si>
  <si>
    <t>Bộ xoay góc đèn M36</t>
  </si>
  <si>
    <t>LED00042799</t>
  </si>
  <si>
    <t>Dây nối dài tấm Solar DN 2mx2.5 CP NLMT 70W/90W</t>
  </si>
  <si>
    <t>LED00042801</t>
  </si>
  <si>
    <t>Bộ cần đèn đường NLMT fi 190</t>
  </si>
  <si>
    <t>LED00044788</t>
  </si>
  <si>
    <t>Bộ nối chữ T ray tracklight RAY TRL01/NCT</t>
  </si>
  <si>
    <t>LED00046959</t>
  </si>
  <si>
    <t>Bộ ĐK đèn đường NLMT 80W.DA(SMR1012 SR-DH120)</t>
  </si>
  <si>
    <t>LED00048576</t>
  </si>
  <si>
    <t>Hộp phân phối HPP TH DMX.QT</t>
  </si>
  <si>
    <t>00000340</t>
  </si>
  <si>
    <t>Bóng 220V-40W E27 (IL A50 40W)</t>
  </si>
  <si>
    <t>00000382</t>
  </si>
  <si>
    <t>Đèn cao áp NATRI (HPS-ED 250W/220) E40</t>
  </si>
  <si>
    <t>LED00005530</t>
  </si>
  <si>
    <t>Đèn bàn LED bảo vệ thị lực RD-RL-16 5W 5000K SS</t>
  </si>
  <si>
    <t>LED00005532</t>
  </si>
  <si>
    <t>Đèn bàn LED bảo vệ thị lực RD-RL-19 5W 3000K SS</t>
  </si>
  <si>
    <t>00000168</t>
  </si>
  <si>
    <t>Đèn HQ Compact 1U-11W-2700oK(FSD-11-G23)</t>
  </si>
  <si>
    <t>00000314</t>
  </si>
  <si>
    <t>B/đèn CFL-HST5 85W 220V xoắn E27 6500K</t>
  </si>
  <si>
    <t>00000363</t>
  </si>
  <si>
    <t>Bóng đèn CFL-4UT5 40W H8 E27 2700K</t>
  </si>
  <si>
    <t>00000393</t>
  </si>
  <si>
    <t>Đèn HQ Compact T3-3U 15W Galaxy E6500K</t>
  </si>
  <si>
    <t>00000397</t>
  </si>
  <si>
    <t>Đèn CFL-S T3 14W Galaxy E27 6500K</t>
  </si>
  <si>
    <t>00000409</t>
  </si>
  <si>
    <t>Bóng đèn CFL 3UT4 25W IP65 NN1 E27</t>
  </si>
  <si>
    <t>00000451</t>
  </si>
  <si>
    <t>Đèn HQ Compact CFL-4UT5 50W E40 2700K</t>
  </si>
  <si>
    <t>00000455</t>
  </si>
  <si>
    <t>Đèn HQ Compact T3-3U 20W Galaxy B6500K</t>
  </si>
  <si>
    <t>00000511</t>
  </si>
  <si>
    <t>Bóng đèn CFL-4UT5 50W H8 E40 2700K</t>
  </si>
  <si>
    <t>00000312</t>
  </si>
  <si>
    <t>Đèn HQ Compact CFL-HST5 75W E27 6500K</t>
  </si>
  <si>
    <t>00000415</t>
  </si>
  <si>
    <t>Bóng đèn (FL T8-36W 875) NANO DELUXE</t>
  </si>
  <si>
    <t>LED00005680</t>
  </si>
  <si>
    <t>Balát điện tử (EBS.1-A20/18-FL)-220V</t>
  </si>
  <si>
    <t>LED00005695</t>
  </si>
  <si>
    <t>Bộ đèn HQ T8-36W(ĐĐT-36W/01)</t>
  </si>
  <si>
    <t>LED00005699</t>
  </si>
  <si>
    <t>Bộ đèn HQ T8-36Wx1 M9GD-balát đ/tử</t>
  </si>
  <si>
    <t>LED00005702</t>
  </si>
  <si>
    <t>Bộ đèn huỳnh quang(BD T8 M12 H22/36Wx1)</t>
  </si>
  <si>
    <t>LED00005707</t>
  </si>
  <si>
    <t>Đèn huỳnh quang chống ẩm D LN CA/2x36W</t>
  </si>
  <si>
    <t>LED00005668</t>
  </si>
  <si>
    <t>SOCKETLAMP AQR-P225AB.LED TL02.2 78/0,5W</t>
  </si>
  <si>
    <t>LED00005669</t>
  </si>
  <si>
    <t>SOCKET LAMP AQR-P275AB.LED TL 02.2 98/0,5W</t>
  </si>
  <si>
    <t>LED00005733</t>
  </si>
  <si>
    <t>Đèn LED Khẩn cấp KC01 2W trắng</t>
  </si>
  <si>
    <t>LED00042556</t>
  </si>
  <si>
    <t>Đèn LED Tracklight TRL05 20W 5000K (trắng)</t>
  </si>
  <si>
    <t>LED00054498</t>
  </si>
  <si>
    <t>SOCKET LAMP SR-95AR LED TL/0.6W (110V)</t>
  </si>
  <si>
    <t>LED00060219</t>
  </si>
  <si>
    <t>SOCKET LAMP SR-95AR LED TL02.3.16/0,5W 110V</t>
  </si>
  <si>
    <t>LED00074145</t>
  </si>
  <si>
    <t>Đèn LED Khẩn cấp KC06 10W trắng</t>
  </si>
  <si>
    <t>LED00072167</t>
  </si>
  <si>
    <t>Đèn LED tủ đông ION H CANOPY 425 4000K (N14943)</t>
  </si>
  <si>
    <t>LED00072183</t>
  </si>
  <si>
    <t>Đèn LED tủ đông ION H CANOPY HO 1476 3000K (N14735)</t>
  </si>
  <si>
    <t>LED00072194</t>
  </si>
  <si>
    <t>Đèn LED kệ siêu thị ORION H SHELF 1476 RT (N17820)</t>
  </si>
  <si>
    <t>LED00072929</t>
  </si>
  <si>
    <t>Đèn LED tủ đông ION V CHILLER 1176 C 4000K (N14602)</t>
  </si>
  <si>
    <t>LED00073260</t>
  </si>
  <si>
    <t>Đèn LED tủ đông ION H CANOPY HO 1176 4000K PW (N14704)</t>
  </si>
  <si>
    <t>LED00073262</t>
  </si>
  <si>
    <t>Đèn LED tủ đông ION V CHILLER 1476 C 4000K PW (N14672)</t>
  </si>
  <si>
    <t>LED00073280</t>
  </si>
  <si>
    <t>Đèn LED tủ đông ION V FREEZER 1476 C 4000K (N14532)</t>
  </si>
  <si>
    <t>LED00074994</t>
  </si>
  <si>
    <t>Bộ đèn LED CSLH.LS 300x1200/40W 5000K</t>
  </si>
  <si>
    <t>LED00075167</t>
  </si>
  <si>
    <t>Bộ đèn LED M56 600/20W 6500K-CT</t>
  </si>
  <si>
    <t>LED00075930</t>
  </si>
  <si>
    <t>Đèn LED tủ đông ION H CANOPY 1476 5000K (N14710)</t>
  </si>
  <si>
    <t>LED00076957</t>
  </si>
  <si>
    <t>Đèn LED tủ đông ION V CHILLER 1188 LFB 4000K (N11648)</t>
  </si>
  <si>
    <t>LED00077054</t>
  </si>
  <si>
    <t>Bộ đèn LED đổi màu M26 1200/50W</t>
  </si>
  <si>
    <t>LED00080958</t>
  </si>
  <si>
    <t>Đèn LED tủ đông ION H SHELF 750 3000K (N14892)</t>
  </si>
  <si>
    <t>LED00081212</t>
  </si>
  <si>
    <t>Đèn LED tủ đông ION V CHILLER RP 750 E 4000K PW (N14475)</t>
  </si>
  <si>
    <t>LED00042796</t>
  </si>
  <si>
    <t>Bộ Bracket tấm Solar NLMT đèn CP01.SL 90W (xoay)</t>
  </si>
  <si>
    <t>00000381</t>
  </si>
  <si>
    <t>Đèn METAL HALIDE(MH-T 250W/642) E40</t>
  </si>
  <si>
    <t>00000446</t>
  </si>
  <si>
    <t>Chao DN đôi 1,2m FS-40/36x2 CM1</t>
  </si>
  <si>
    <t>LED00080363</t>
  </si>
  <si>
    <t>Bộ chao kim cương đèn LED HB05 300/200W (XK)</t>
  </si>
  <si>
    <t>LED00005524</t>
  </si>
  <si>
    <t>Đèn bàn LED bảo vệ thị lực RD-RL-10E 5W 3000K</t>
  </si>
  <si>
    <t>LED00061665</t>
  </si>
  <si>
    <t>Đèn bàn LED MTSL1010 (YK)-CT</t>
  </si>
  <si>
    <t>00000165</t>
  </si>
  <si>
    <t>Đèn HQ Compact T3-3U 14W Galaxy E6500K</t>
  </si>
  <si>
    <t>00000215</t>
  </si>
  <si>
    <t>Bộ đèn ốp trần 28W (CL-03-28)</t>
  </si>
  <si>
    <t>00000501</t>
  </si>
  <si>
    <t>Bóng đèn Compact CFL-ST4 35W E27 6500K</t>
  </si>
  <si>
    <t>00000549</t>
  </si>
  <si>
    <t>Bóng đèn CFL 3UT4 20W IP65 E27 TL2</t>
  </si>
  <si>
    <t>00000142</t>
  </si>
  <si>
    <t>Bộ đèn HQ T8-18Wx1 M9GS-balát đ/tử</t>
  </si>
  <si>
    <t>LED00073008</t>
  </si>
  <si>
    <t>Bộ Ray đèn tủ lạnh N47213-1998G-12 (Nualight)</t>
  </si>
  <si>
    <t>LED00073259</t>
  </si>
  <si>
    <t>Đèn LED tủ đông ION H CANOPY HO 876 4000K PW (N14703)</t>
  </si>
  <si>
    <t>LED00073659</t>
  </si>
  <si>
    <t>Đèn LED MQL1060 2x4FT 45W ( YanKon-EM )</t>
  </si>
  <si>
    <t>LED00076846</t>
  </si>
  <si>
    <t>Bộ đèn LED Tube T8 CA01/20Wx1 4000K</t>
  </si>
  <si>
    <t>LED00077537</t>
  </si>
  <si>
    <t>Bộ đèn LED Tube T8 CSLH/20Wx1 6500K</t>
  </si>
  <si>
    <t>LED00077589</t>
  </si>
  <si>
    <t>Đèn LED panel MQL 1059 2x4 45W CCT (YK-NORA)</t>
  </si>
  <si>
    <t>LED00081208</t>
  </si>
  <si>
    <t>Đèn LED tủ đông ION V CHILLER 750 C 4000K PW (N14474)</t>
  </si>
  <si>
    <t>LED00083681</t>
  </si>
  <si>
    <t>Đèn LED tủ đông ION H CANOPY 876 RT (N14711)</t>
  </si>
  <si>
    <t>LED00084450</t>
  </si>
  <si>
    <t>Đèn LED tủ đông ION H SHELF 750 5000K (N14895)</t>
  </si>
  <si>
    <t>00000145</t>
  </si>
  <si>
    <t>Bộ cần treo 0,9m đèn CSLH 120/20W</t>
  </si>
  <si>
    <t>00000331</t>
  </si>
  <si>
    <t>LED00037496</t>
  </si>
  <si>
    <t>Giá treo đèn nổi trần M15 600x1200</t>
  </si>
  <si>
    <t>LED00040617</t>
  </si>
  <si>
    <t>Đui đèn chống thấm nước E27 IP65</t>
  </si>
  <si>
    <t>LED00042797</t>
  </si>
  <si>
    <t>Bộ Bracket tấm Solar NLMT đèn CP01.SL 70W (xoay)</t>
  </si>
  <si>
    <t>LED00042798</t>
  </si>
  <si>
    <t>Bộ Bracket tấm Solar NLMT đèn CP01.SL 70W-90W(cố định)</t>
  </si>
  <si>
    <t>LED00046958</t>
  </si>
  <si>
    <t>Tấm solar NLMT đèn đường 80W.DA(PV 1020x670-120W Mono)</t>
  </si>
  <si>
    <t>LED00049359</t>
  </si>
  <si>
    <t>Bộ gá cột đèn đường NLMT fi 190</t>
  </si>
  <si>
    <t>LED00052395</t>
  </si>
  <si>
    <t>Vòng dẫn dây P06 Mbar direct</t>
  </si>
  <si>
    <t>LED00073341</t>
  </si>
  <si>
    <t>Gá đèn led thanh Bigfish 840 - BG</t>
  </si>
  <si>
    <t>LED00077986</t>
  </si>
  <si>
    <t>Bộ cần đèn NLMT CSD05.SL.RF 400W/500W</t>
  </si>
  <si>
    <t>00000377</t>
  </si>
  <si>
    <t>Đèn METAL HALIDE(MH-TD 70W/742) R7s</t>
  </si>
  <si>
    <t>00000389</t>
  </si>
  <si>
    <t>Đèn Metal Halide ( MH-TD 150w/642 )  E27</t>
  </si>
  <si>
    <t>LED00005609</t>
  </si>
  <si>
    <t>Chao đèn NN-KC-50/E27</t>
  </si>
  <si>
    <t>LED00005711</t>
  </si>
  <si>
    <t>Chao đèn C.nghiệp C HID HB01 CK E40/250W</t>
  </si>
  <si>
    <t>LED00032809</t>
  </si>
  <si>
    <t>Chao trần đôi 0.6m sơn tĩnh điện</t>
  </si>
  <si>
    <t>LED00064406</t>
  </si>
  <si>
    <t>Chao đèn đánh cá DC08 500W</t>
  </si>
  <si>
    <t>00000316</t>
  </si>
  <si>
    <t>Đèn bàn bảo vệ thị lực RD-RL-17 á/s vàng</t>
  </si>
  <si>
    <t>LED00005528</t>
  </si>
  <si>
    <t>Đèn bàn LED bảo vệ thị lực RD-RL-15 5000K</t>
  </si>
  <si>
    <t>LED00017606</t>
  </si>
  <si>
    <t>Đèn bàn LED bảo vệ thị lực RD-RL-25 5W 6500K</t>
  </si>
  <si>
    <t>LED00017654</t>
  </si>
  <si>
    <t>Đèn bàn LED bảo vệ thị lực RD-RL-29 5W 6500K</t>
  </si>
  <si>
    <t>LED00061658</t>
  </si>
  <si>
    <t>Đèn bàn LED bảo vệ thị lực RD-RL-26 5W 3000K-CT</t>
  </si>
  <si>
    <t>00000369</t>
  </si>
  <si>
    <t>Bóng đèn CFL-5UT5 80W H8 E40 6500K</t>
  </si>
  <si>
    <t>00000450</t>
  </si>
  <si>
    <t>Đèn CFL-ST3 18W Galaxy B22 6500K</t>
  </si>
  <si>
    <t>00000461</t>
  </si>
  <si>
    <t>Đèn HQ Compact(CF-H)2U-9W E27 6500oK</t>
  </si>
  <si>
    <t>00000496</t>
  </si>
  <si>
    <t>Đèn CFL-S T3 11W Galaxy B22 6500K</t>
  </si>
  <si>
    <t>00000509</t>
  </si>
  <si>
    <t>Đèn HQ (CFL 3UT3DC) 15W-12V Galaxy 6500K</t>
  </si>
  <si>
    <t>00000214</t>
  </si>
  <si>
    <t>FL T10 40W 6500K - HIKARI</t>
  </si>
  <si>
    <t>00000273</t>
  </si>
  <si>
    <t>Bộ lưu điện đèn huỳnh quang 1x40/36W</t>
  </si>
  <si>
    <t>00000345</t>
  </si>
  <si>
    <t>Đèn huỳnh quang T8-36W-GREEN</t>
  </si>
  <si>
    <t>LED00005701</t>
  </si>
  <si>
    <t>Bộ đèn huỳnh quang(BD T8 M11 H22/36Wx1)</t>
  </si>
  <si>
    <t>LED00017643</t>
  </si>
  <si>
    <t>Đèn LED Tracklight TRL03 8W 3000K</t>
  </si>
  <si>
    <t>LED00033875</t>
  </si>
  <si>
    <t>Đèn LED Khẩn cấp KC02 10W.DA trắng</t>
  </si>
  <si>
    <t>LED00043068</t>
  </si>
  <si>
    <t>Đèn LED Tracklight TRL05 15W 4000K (đen)</t>
  </si>
  <si>
    <t>LED00052936</t>
  </si>
  <si>
    <t>Đèn LED Tracklight TRL05 10W 4000K (trắng)</t>
  </si>
  <si>
    <t>LED00064709</t>
  </si>
  <si>
    <t>Đèn LED Tracklight TRL05.DIM 15W 3000K (màu trắng)</t>
  </si>
  <si>
    <t>00000037</t>
  </si>
  <si>
    <t>Đèn LED Chiếu Boong CB02 50W 5000K</t>
  </si>
  <si>
    <t>00000077</t>
  </si>
  <si>
    <t>Đèn LED NCM02 1200/10W 3000K</t>
  </si>
  <si>
    <t>Đèn LED nông, ngư nghiệp</t>
  </si>
  <si>
    <t>00000497</t>
  </si>
  <si>
    <t>Đèn Led thả chìm TC01L/200W 4000K</t>
  </si>
  <si>
    <t>00000515</t>
  </si>
  <si>
    <t>Đèn LED Câu mực CM01 50W 3000K</t>
  </si>
  <si>
    <t>00000548</t>
  </si>
  <si>
    <t>Đèn LED chiếu boong CB01 50W 5000K</t>
  </si>
  <si>
    <t>00000105</t>
  </si>
  <si>
    <t>Bóng 220V-60W nấm A50</t>
  </si>
  <si>
    <t>00000380</t>
  </si>
  <si>
    <t>Đèn METAL HALIDE(MH-T150W/642) E27</t>
  </si>
  <si>
    <t>LED00005602</t>
  </si>
  <si>
    <t>Chao tường,đơn,1.2m sơn tĩnh điện</t>
  </si>
  <si>
    <t>LED00005615</t>
  </si>
  <si>
    <t>Chao đèn downlight C CFL AT03/100 CK</t>
  </si>
  <si>
    <t>LED00005616</t>
  </si>
  <si>
    <t>Chao đèn downlight C CFL AT05/125 CK</t>
  </si>
  <si>
    <t>LED00005619</t>
  </si>
  <si>
    <t>Bộ chao đèn n/xómRSL-05/50W/E40K/bóng</t>
  </si>
  <si>
    <t>LED00005713</t>
  </si>
  <si>
    <t>Chao đèn Công nghiệp C HID HB01 E40/250W</t>
  </si>
  <si>
    <t>00000315</t>
  </si>
  <si>
    <t>Đèn bàn bảo vệ thị lực RD-RL-10 2700K</t>
  </si>
  <si>
    <t>LED00005525</t>
  </si>
  <si>
    <t>Đèn bàn LED bảo vệ thị lực RD-RL-10E 5W 5000K</t>
  </si>
  <si>
    <t>LED00017609</t>
  </si>
  <si>
    <t>Đèn bàn LED bảo vệ thị lực RD-RL-26 5W 3000K</t>
  </si>
  <si>
    <t>LED00046389</t>
  </si>
  <si>
    <t>Đèn bàn LED bảo vệ thị lực RD-RL-25 5W 3000K-CT</t>
  </si>
  <si>
    <t>LED00081410</t>
  </si>
  <si>
    <t>Đèn bàn LED bảo vệ thị lực RD-RL-16 5W 3000K</t>
  </si>
  <si>
    <t>00000169</t>
  </si>
  <si>
    <t>Đèn HQ Compact 1U-11W-6500oK(FSD-11-G23)</t>
  </si>
  <si>
    <t>00000364</t>
  </si>
  <si>
    <t>Bóng đèn CFL HST5 50W H8 E27 6500K</t>
  </si>
  <si>
    <t>00000475</t>
  </si>
  <si>
    <t>Đèn CFL-ST3 18W Galaxy E27 6500K</t>
  </si>
  <si>
    <t>LED00005692</t>
  </si>
  <si>
    <t>Tụ bù 18 F/250V/50-60Hz/105oC</t>
  </si>
  <si>
    <t>LED00042554</t>
  </si>
  <si>
    <t>Đèn LED Tracklight TRL05 30W 5000K SS (Trùng tên)</t>
  </si>
  <si>
    <t>LED00065015</t>
  </si>
  <si>
    <t>Đèn LED Tracklight TRL05.DIM 15W 4000K (màu đen)</t>
  </si>
  <si>
    <t>00000070</t>
  </si>
  <si>
    <t>Đèn LED Chiếu mạn CM01 150W 6500K</t>
  </si>
  <si>
    <t>00000413</t>
  </si>
  <si>
    <t>Đèn LED Thả chìm TC01 600W Yellow</t>
  </si>
  <si>
    <t>LED00039708</t>
  </si>
  <si>
    <t>Đèn LED Đánh cá DC04 300W  4000K</t>
  </si>
  <si>
    <t>LED00040693</t>
  </si>
  <si>
    <t>Đèn LED Đánh cá DC05 400W  5000K</t>
  </si>
  <si>
    <t>LED00050506</t>
  </si>
  <si>
    <t>Đèn LED đánh cá DC05 500W 5000K (SPD lens 90 độ)</t>
  </si>
  <si>
    <t>LED00054168</t>
  </si>
  <si>
    <t>Đèn LED câu mực CM01 50W.V2 5000K</t>
  </si>
  <si>
    <t>LED00070795</t>
  </si>
  <si>
    <t>Đèn LED Đánh cá DC08 500W COB 4000K/U - Bolt(SPD Lens 90 độ)</t>
  </si>
  <si>
    <t>LED00027728</t>
  </si>
  <si>
    <t>Bóng đèn chuyên dụng LED.TL-T60 WRF/9W IP65</t>
  </si>
  <si>
    <t>LED00040385</t>
  </si>
  <si>
    <t>Đèn LED Đánh cá DC04 300W  5000K</t>
  </si>
  <si>
    <t>LED00044911</t>
  </si>
  <si>
    <t>Đèn LED chuyên dụng CT-T8 LT 1200/30W WBU (IP65)</t>
  </si>
  <si>
    <t>LED00047545</t>
  </si>
  <si>
    <t>Bóng đèn chuyên dụng LED.TL-T60 XW IP65</t>
  </si>
  <si>
    <t>LED00069078</t>
  </si>
  <si>
    <t>Đèn LED Đánh cá DC08 700W 3000K (SPD)</t>
  </si>
  <si>
    <t>LED00070948</t>
  </si>
  <si>
    <t>Đèn LED Đánh cá DC08 700W 5000K/U - Bolt (SPD)</t>
  </si>
  <si>
    <t>LED00081187</t>
  </si>
  <si>
    <t>Kệ trồng Rau 4 tầng KTR01 110W</t>
  </si>
  <si>
    <t>Đèn LED Pin</t>
  </si>
  <si>
    <t>LED00017874</t>
  </si>
  <si>
    <t>Đèn LED Pin đội đầu PDD01 1W vàng</t>
  </si>
  <si>
    <t>LED Bulb</t>
  </si>
  <si>
    <t>LED00005146</t>
  </si>
  <si>
    <t>Bóng đèn LED (LED A60N/7W)E27-á/s vàng</t>
  </si>
  <si>
    <t>LED00005163</t>
  </si>
  <si>
    <t>Bóng LED Bulb A80N1/12W E27 3000K</t>
  </si>
  <si>
    <t>LED00005195</t>
  </si>
  <si>
    <t>B/đèn LED trang trí(LED TT01/2,5W)B22-Đỏ</t>
  </si>
  <si>
    <t>LED00005197</t>
  </si>
  <si>
    <t>Bóng LED Bulb TR70N1/12W E27 3000K (12-24VDC) SS</t>
  </si>
  <si>
    <t>LED00005213</t>
  </si>
  <si>
    <t>Bóng LED Bulb A120N1/30W E27 6500K SS</t>
  </si>
  <si>
    <t>LED00005217</t>
  </si>
  <si>
    <t>Bóng LED Bulb A50N/1W E27 6500K</t>
  </si>
  <si>
    <t>LED00005221</t>
  </si>
  <si>
    <t>Bóng LED Bulb trang trí A45W/1W (White)</t>
  </si>
  <si>
    <t>LED00012518</t>
  </si>
  <si>
    <t>Bóng LED Bulb A45N1/2W E27 3000K</t>
  </si>
  <si>
    <t>LED00013253</t>
  </si>
  <si>
    <t>Bóng LED Bulb TR80N2/18W E27 3000K SS</t>
  </si>
  <si>
    <t>LED00018681</t>
  </si>
  <si>
    <t>Bóng LED Bulb A70N1/12W E27 3000K (CE) SS</t>
  </si>
  <si>
    <t>LED00021344</t>
  </si>
  <si>
    <t>Bóng LED dây tóc C35/2.5W E14 2700K</t>
  </si>
  <si>
    <t>LED00033810</t>
  </si>
  <si>
    <t>Bóng LED Bulb TR60N2/12W B22 12000K SS (XK)</t>
  </si>
  <si>
    <t>LED00036216</t>
  </si>
  <si>
    <t>LED Bulb(LED A60N1/9W)E27-á/s vàng Led SS-CTT</t>
  </si>
  <si>
    <t>LED00036224</t>
  </si>
  <si>
    <t>LED  BULB(LED TR80N1/20W) E27-6500K(SS)-CTT</t>
  </si>
  <si>
    <t>LED00037568</t>
  </si>
  <si>
    <t>Bóng LED Bulb Sunlike A60/8W E27 2700K(SSC)</t>
  </si>
  <si>
    <t>LED00040053</t>
  </si>
  <si>
    <t>Bóng LED Bulb TR70N2/14W E27 6500K SS</t>
  </si>
  <si>
    <t>LED00041292</t>
  </si>
  <si>
    <t>Bóng LED Bulb A70N1/12W.EV E27 6500K SS</t>
  </si>
  <si>
    <t>LED00017651</t>
  </si>
  <si>
    <t>Đèn LED Tracklight TRL03 14W 6500K</t>
  </si>
  <si>
    <t>LED00037574</t>
  </si>
  <si>
    <t>Đèn LED Khẩn cấp KC04 6W trắng-PCCC</t>
  </si>
  <si>
    <t>LED00040512</t>
  </si>
  <si>
    <t>Đèn LED Tracklight TRL05 15W 4000K (Xoay góc)</t>
  </si>
  <si>
    <t>LED00052938</t>
  </si>
  <si>
    <t>Đèn LED Tracklight TRL05 30W 4000K SS (trắng)</t>
  </si>
  <si>
    <t>LED00052939</t>
  </si>
  <si>
    <t>Đèn LED Tracklight TRL05 30W 5000K SS (trắng)</t>
  </si>
  <si>
    <t>LED00056212</t>
  </si>
  <si>
    <t>Đèn LED Khẩn cấp KC02 10W trắng-CT</t>
  </si>
  <si>
    <t>LED00065014</t>
  </si>
  <si>
    <t>Đèn LED Tracklight TRL05.DIM 15W 6500K (màu trắng)</t>
  </si>
  <si>
    <t>00000082</t>
  </si>
  <si>
    <t>Đèn LED NCM02 600/10W 3000K</t>
  </si>
  <si>
    <t>LED00040180</t>
  </si>
  <si>
    <t>Đèn LED Chiếu Boong CB02 50W 4000K</t>
  </si>
  <si>
    <t>LED00048448</t>
  </si>
  <si>
    <t>Đèn LED thanh long LED.TL-T60 R/5W (TN-4)</t>
  </si>
  <si>
    <t>LED00048936</t>
  </si>
  <si>
    <t>Đèn LED dược liệu LED DL-1200/25W WU</t>
  </si>
  <si>
    <t>LED00066916</t>
  </si>
  <si>
    <t>Đèn LED Đánh cá DC05 500W.V2 4000K (SPD)</t>
  </si>
  <si>
    <t>LED00067608</t>
  </si>
  <si>
    <t>LED GROW LIGHT RD-750W-HE (Gen3)</t>
  </si>
  <si>
    <t>LED00070951</t>
  </si>
  <si>
    <t>Đèn LED Đánh cá DC08 500W COB 4000K/U-Bolt (SPD Lens 90 độ)</t>
  </si>
  <si>
    <t>LED00075996</t>
  </si>
  <si>
    <t>Đèn LED Đánh cá DC08 500W.V2 3500K (SPD)</t>
  </si>
  <si>
    <t>LED00081366</t>
  </si>
  <si>
    <t>Đèn LED Đánh cá DC08 700W RED/U-Bolt (SPD)</t>
  </si>
  <si>
    <t>LED00082986</t>
  </si>
  <si>
    <t>Đèn LED Đánh cá DC08 700W GREEN/U-Bolt (SPD)</t>
  </si>
  <si>
    <t>LED00000757</t>
  </si>
  <si>
    <t>Bóng LED Bulb A45N1/3W E27 3000K</t>
  </si>
  <si>
    <t>LED00012018</t>
  </si>
  <si>
    <t>Bóng LED Bulb A45N1/3W E27 6500K</t>
  </si>
  <si>
    <t>LED00018704</t>
  </si>
  <si>
    <t>Bóng LED Bulb A60N1/9W B22 3000K (XK) SS</t>
  </si>
  <si>
    <t>LED00033840</t>
  </si>
  <si>
    <t>Bóng LED Bulb TR80N1/20W B22 3000K SS (XK)</t>
  </si>
  <si>
    <t>LED00037566</t>
  </si>
  <si>
    <t>Bóng LED Bulb Sunlike A60/8W E27 6500K(SSC)</t>
  </si>
  <si>
    <t>LED00039771</t>
  </si>
  <si>
    <t>Bóng LED Bulb Tàu cá TR100.TC/30W E27 6500K</t>
  </si>
  <si>
    <t>LED00047616</t>
  </si>
  <si>
    <t>Bóng LED Bulb A95N1/20W E27 6500K SS-CTT</t>
  </si>
  <si>
    <t>LED00036576</t>
  </si>
  <si>
    <t>Chao bộ đèn T8 M11 1200/18Wx2 (Ranlux)</t>
  </si>
  <si>
    <t>LED00077066</t>
  </si>
  <si>
    <t>Bộ chao thép đèn LED HB05 300/200W (XK)</t>
  </si>
  <si>
    <t>LED00018331</t>
  </si>
  <si>
    <t>Đèn bàn LED bảo vệ thị lực RD-RL-01 5W 3000K SS</t>
  </si>
  <si>
    <t>LED00025505</t>
  </si>
  <si>
    <t>Đèn bàn LED bảo vệ thị lực RD-RL-33 5W 6500K</t>
  </si>
  <si>
    <t>LED00032584</t>
  </si>
  <si>
    <t>Đèn bàn LED bảo vệ thị lực RD-RL-38 6W 6500K</t>
  </si>
  <si>
    <t>LED00055318</t>
  </si>
  <si>
    <t>Đèn bàn LED bảo vệ thị lực RD-RL-01.V2 5W 6500K-CT</t>
  </si>
  <si>
    <t>00000180</t>
  </si>
  <si>
    <t>Bóng đèn CFL HST5 50W.S H8 E27 6500K</t>
  </si>
  <si>
    <t>00000370</t>
  </si>
  <si>
    <t>Đèn bàn bảovệ thị lực RD-RL-03 6500K</t>
  </si>
  <si>
    <t>00000402</t>
  </si>
  <si>
    <t>Bóng đèn CFL-4UT5 40W H8 E27 6500K</t>
  </si>
  <si>
    <t>00000417</t>
  </si>
  <si>
    <t>Bóng đèn CFL 3UT4 20W IP65 NN1 E27</t>
  </si>
  <si>
    <t>00000438</t>
  </si>
  <si>
    <t>Đèn CFL-S T3 20W Galaxy E27 2700K</t>
  </si>
  <si>
    <t>00000550</t>
  </si>
  <si>
    <t>Bóng đèn CFL 3UT4 15W IP65 E27 TL2</t>
  </si>
  <si>
    <t>LED00005718</t>
  </si>
  <si>
    <t>Đèn Compact  gắn tường D GT02/14W</t>
  </si>
  <si>
    <t>00000325</t>
  </si>
  <si>
    <t>Đèn huỳnh quang T8-36W-BLUE</t>
  </si>
  <si>
    <t>00000346</t>
  </si>
  <si>
    <t>Đèn huỳnh quang T8-36W-YELLOW</t>
  </si>
  <si>
    <t>LED00017869</t>
  </si>
  <si>
    <t>Đèn LED Khẩn cấp KC05 3W trắng</t>
  </si>
  <si>
    <t>LED00023165</t>
  </si>
  <si>
    <t>Đèn LED Tracklight TRL04 12W 5000K SS</t>
  </si>
  <si>
    <t>LED00037570</t>
  </si>
  <si>
    <t>Đèn LED Khẩn cấp KC01 2W trắng-PCCC</t>
  </si>
  <si>
    <t>LED00037578</t>
  </si>
  <si>
    <t>Đèn LED Khẩn cấp KC02 10W trắng-PCCC</t>
  </si>
  <si>
    <t>LED00040516</t>
  </si>
  <si>
    <t>Đèn LED Tracklight TRL05 30W 4000K SS</t>
  </si>
  <si>
    <t>00000032</t>
  </si>
  <si>
    <t>Đèn LED trồng rau (LED TRR 25W RBW R660 HV)</t>
  </si>
  <si>
    <t>00000537</t>
  </si>
  <si>
    <t>Đèn LED chiếu boong CB01 20W 6500K</t>
  </si>
  <si>
    <t>00000538</t>
  </si>
  <si>
    <t>Đèn LED chiếu boong CB01 30W 6500K</t>
  </si>
  <si>
    <t>LED00037149</t>
  </si>
  <si>
    <t>Thiết bị bảo vệ đèn LED tàu cá SPD01 44x95/15kV</t>
  </si>
  <si>
    <t>LED00067611</t>
  </si>
  <si>
    <t>LED GROW LIGHT RD-780W-ST (Gen2)</t>
  </si>
  <si>
    <t>LED00077042</t>
  </si>
  <si>
    <t>Đèn LED Tracklight TRL08 20W 4000K (Đen)</t>
  </si>
  <si>
    <t>00000038</t>
  </si>
  <si>
    <t>Đèn LED Chiếu Boong CB02 50W Green</t>
  </si>
  <si>
    <t>00000048</t>
  </si>
  <si>
    <t>Đèn LED Đánh cá DC04 400W 3000K</t>
  </si>
  <si>
    <t>00000059</t>
  </si>
  <si>
    <t>Đèn LED Câu mực CM01 50W Green</t>
  </si>
  <si>
    <t>00000073</t>
  </si>
  <si>
    <t>Đèn LED NCM01 1400/16W 3000K</t>
  </si>
  <si>
    <t>00000204</t>
  </si>
  <si>
    <t>Đèn LED NCM 1200/25W WBU</t>
  </si>
  <si>
    <t>00000322</t>
  </si>
  <si>
    <t>Đèn LED đánh cá DC05 300W 4000K</t>
  </si>
  <si>
    <t>LED00041056</t>
  </si>
  <si>
    <t>Đèn LED Đánh cá DC04 400W  5000K</t>
  </si>
  <si>
    <t>LED00050508</t>
  </si>
  <si>
    <t>Đèn LED Đánh cá DC05 500W 3000K (SPD lens 35-90 độ)</t>
  </si>
  <si>
    <t>LED00050509</t>
  </si>
  <si>
    <t>Đèn LED Đánh cá DC05 500W 3000K (SPD lens 35 độ)</t>
  </si>
  <si>
    <t>LED00072137</t>
  </si>
  <si>
    <t>Đèn thu hút mực TC02 0.3W Blue</t>
  </si>
  <si>
    <t>LED00074393</t>
  </si>
  <si>
    <t>Đèn LED Đánh cá DC08 700W COB 4000K (SPD Lens 120 độ)</t>
  </si>
  <si>
    <t>LED00005199</t>
  </si>
  <si>
    <t>Bóng LED Bulb A60N1/7W E27 6500K</t>
  </si>
  <si>
    <t>LED00005236</t>
  </si>
  <si>
    <t>Bóng LED BULB A60N/5W Kẹp (12VDC) 6500K</t>
  </si>
  <si>
    <t>LED00011781</t>
  </si>
  <si>
    <t>Bóng LED Bulb A70N1/12W E27 3000K SS</t>
  </si>
  <si>
    <t>LED00011933</t>
  </si>
  <si>
    <t>Bóng LED Bulb A120/40W E27 6500K SS</t>
  </si>
  <si>
    <t>LED00012034</t>
  </si>
  <si>
    <t>Bóng LED Bulb A60N1/9W 6500K (12-24VDC kẹp) SS</t>
  </si>
  <si>
    <t>LED00016591</t>
  </si>
  <si>
    <t>Bóng LED Bulb TR120NĐ1/50W E27 6500K SS</t>
  </si>
  <si>
    <t>LED00021341</t>
  </si>
  <si>
    <t>Bóng LED Bulb trang trí A45G/1W (Green)</t>
  </si>
  <si>
    <t>LED00028336</t>
  </si>
  <si>
    <t>Bóng LED Bulb A60N1/9W E27 8000K (XK)</t>
  </si>
  <si>
    <t>LED00031903</t>
  </si>
  <si>
    <t>Bóng LED Bulb A45N1/3W.BT E27 5000K</t>
  </si>
  <si>
    <t>LED00036220</t>
  </si>
  <si>
    <t>LED BULB(LED TR60N2/12W) E27-6500K(SS)-CTT</t>
  </si>
  <si>
    <t>LED00037418</t>
  </si>
  <si>
    <t>LED  BULB(LED TR80N1/20W) E27-6500K(SS)-CT</t>
  </si>
  <si>
    <t>LED00037563</t>
  </si>
  <si>
    <t>Bóng LED Bulb Sunlike A60/6W E27 6500K(SSC)</t>
  </si>
  <si>
    <t>00000544</t>
  </si>
  <si>
    <t>Đèn CFL - ST3 20W Galaxy B22 6500K</t>
  </si>
  <si>
    <t>00000419</t>
  </si>
  <si>
    <t>Bóng đèn FL T8 18W H15 DELUXE E DL</t>
  </si>
  <si>
    <t>LED00005682</t>
  </si>
  <si>
    <t>Balát điện tử (EBS.2-A40/36-FL)-220V</t>
  </si>
  <si>
    <t>00000432</t>
  </si>
  <si>
    <t>ĐènLED TRACKLIGHT DTRL01L/12W EVànggc30o</t>
  </si>
  <si>
    <t>LED00005740</t>
  </si>
  <si>
    <t>Đèn LED khẩn cấp KC02 10W vàng</t>
  </si>
  <si>
    <t>LED00005992</t>
  </si>
  <si>
    <t>Đèn LED Tracklight TRL04 30W 5000K</t>
  </si>
  <si>
    <t>LED00017866</t>
  </si>
  <si>
    <t>Đèn LED Khẩn cấp KC04 6W vàng</t>
  </si>
  <si>
    <t>00000063</t>
  </si>
  <si>
    <t>Đèn LED Câu mực CM01 100W 4000K</t>
  </si>
  <si>
    <t>00000074</t>
  </si>
  <si>
    <t>Đèn LED NCM01 1200/16W 6500K</t>
  </si>
  <si>
    <t>LED00037851</t>
  </si>
  <si>
    <t>Bóng đèn chuyên dụng HC A60/6W-WR</t>
  </si>
  <si>
    <t>LED00045985</t>
  </si>
  <si>
    <t>Đèn LED Đánh cá DC04 300W  3000K (SPD)</t>
  </si>
  <si>
    <t>LED00061939</t>
  </si>
  <si>
    <t>Đèn LED chiếu pha DC04 200W  5000K</t>
  </si>
  <si>
    <t>LED00066118</t>
  </si>
  <si>
    <t>Đèn LED Đánh cá DC08 500W 6500K/U - Bolt ( SPD)</t>
  </si>
  <si>
    <t>LED00069079</t>
  </si>
  <si>
    <t>Đèn LED Đánh cá DC08 700W 5000K (SPD)</t>
  </si>
  <si>
    <t>LED00070947</t>
  </si>
  <si>
    <t>Đèn LED Đánh cá DC08 700W 4000K/U - Bolt (SPD)</t>
  </si>
  <si>
    <t>LED00074671</t>
  </si>
  <si>
    <t>Đèn LED câu mực CM01 50W.V2 3000K</t>
  </si>
  <si>
    <t>LED00081188</t>
  </si>
  <si>
    <t>Đèn LED Đánh cá DC08 700W GB (SPD)</t>
  </si>
  <si>
    <t>LED00082989</t>
  </si>
  <si>
    <t>Đèn LED Đánh cá DC08 700W GREEN (SPD)</t>
  </si>
  <si>
    <t>LED00005147</t>
  </si>
  <si>
    <t>Bóng đèn LED (LED A60N/7W)E27-á/s trắng</t>
  </si>
  <si>
    <t>LED00005193</t>
  </si>
  <si>
    <t>Bóng LED Bulb A70N1/12W E27 6500K SS</t>
  </si>
  <si>
    <t>LED00005233</t>
  </si>
  <si>
    <t>LED BULB (LED A60N 12VDC/3W)-Trắng S</t>
  </si>
  <si>
    <t>LED00012450</t>
  </si>
  <si>
    <t>Bóng LED Bulb A80N1/15W E27 3000K SS</t>
  </si>
  <si>
    <t>LED00012451</t>
  </si>
  <si>
    <t>Bóng LED Bulb A95N1/20W E27 3000K SS</t>
  </si>
  <si>
    <t>LED00018676</t>
  </si>
  <si>
    <t>Bóng LED Bulb A60N3/7W E27 6500K (CE) SS</t>
  </si>
  <si>
    <t>LED00045445</t>
  </si>
  <si>
    <t>Đèn bàn LED bảo vệ thị lực RD-RL-24.V2 5W 3000K-CT</t>
  </si>
  <si>
    <t>LED00046388</t>
  </si>
  <si>
    <t>Đèn bàn LED bảo vệ thị lực RD-RL-19 5W 6500K SS-CT</t>
  </si>
  <si>
    <t>LED00050851</t>
  </si>
  <si>
    <t>Đèn bàn LED bảo vệ thị lực RD-RL-16 5W 3000K SS-CT</t>
  </si>
  <si>
    <t>LED00050852</t>
  </si>
  <si>
    <t>Đèn bàn LED bảo vệ thị lực RD-RL-16 5W 6500K SS-CT</t>
  </si>
  <si>
    <t>LED00055319</t>
  </si>
  <si>
    <t>Đèn bàn LED bảo vệ thị lực RD-RL-32 5W 6500K-CT</t>
  </si>
  <si>
    <t>LED00081422</t>
  </si>
  <si>
    <t>Đèn bàn LED bảo vệ thị lực RD-RL-19 5W 6500K</t>
  </si>
  <si>
    <t>00000350</t>
  </si>
  <si>
    <t>Đèn  CFL 3U  T4 6000h-20W B2700K MN-VAC</t>
  </si>
  <si>
    <t>00000403</t>
  </si>
  <si>
    <t>Bóng đèn CFL 3U T4 20W H8 B22 6500K MN</t>
  </si>
  <si>
    <t>00000460</t>
  </si>
  <si>
    <t>Đèn HQ Compact(CF-S)2U-9W E27 2700oK</t>
  </si>
  <si>
    <t>00000483</t>
  </si>
  <si>
    <t>Bóng đèn CFL ST4 32W H8 E27 6500K</t>
  </si>
  <si>
    <t>00000495</t>
  </si>
  <si>
    <t>Đèn bàn bảo vệ thị lực RD-RL-01 6500K</t>
  </si>
  <si>
    <t>00000507</t>
  </si>
  <si>
    <t>Bóng đèn CFL HST5 40W H8 E27 6500K</t>
  </si>
  <si>
    <t>00000134</t>
  </si>
  <si>
    <t>Đèn huỳnh quang 40W</t>
  </si>
  <si>
    <t>LED00005689</t>
  </si>
  <si>
    <t>Balat điện từ 1 cấp công suất đèn HID 150W</t>
  </si>
  <si>
    <t>LED00012539</t>
  </si>
  <si>
    <t>Balat đ/tử hộp 6000h EBH-1x36/40FL-SM</t>
  </si>
  <si>
    <t>LED00017644</t>
  </si>
  <si>
    <t>Đèn LED Tracklight TRL03 8W 4000K</t>
  </si>
  <si>
    <t>LED00040513</t>
  </si>
  <si>
    <t>Đèn LED Tracklight TRL05 15W 5000K (xoay góc)</t>
  </si>
  <si>
    <t>LED00043069</t>
  </si>
  <si>
    <t>Đèn LED Tracklight TRL05 15W 5000K (đen)</t>
  </si>
  <si>
    <t>LED00053240</t>
  </si>
  <si>
    <t>Đèn LED Tracklight TRL05 30W 4000K (đen)</t>
  </si>
  <si>
    <t>LED00077045</t>
  </si>
  <si>
    <t>Đèn LED Tracklight TRL08 15W 4000K (Trắng)</t>
  </si>
  <si>
    <t>00000061</t>
  </si>
  <si>
    <t>Đèn LED Câu mực CM01 50W 4000K</t>
  </si>
  <si>
    <t>00000064</t>
  </si>
  <si>
    <t>Đèn LED Câu mực CM01 100W 5000K</t>
  </si>
  <si>
    <t>00000084</t>
  </si>
  <si>
    <t>Đèn LED NCM 16W 120/WR</t>
  </si>
  <si>
    <t>00000203</t>
  </si>
  <si>
    <t>Đèn LED NCM 1200/16W WBU</t>
  </si>
  <si>
    <t>LED00037896</t>
  </si>
  <si>
    <t>Bộ đèn LED ĐN 120/2x25W WBR 220V (SMART)</t>
  </si>
  <si>
    <t>LED00005681</t>
  </si>
  <si>
    <t>Balát điện tử (EBS.2-A20/18-FL)-220V</t>
  </si>
  <si>
    <t>LED00005705</t>
  </si>
  <si>
    <t>Đèn huỳnh quang chống ẩm D LN CA/2x18W</t>
  </si>
  <si>
    <t>LED00017864</t>
  </si>
  <si>
    <t>Đèn LED Khẩn cấp KC03 8W vàng</t>
  </si>
  <si>
    <t>LED00023168</t>
  </si>
  <si>
    <t>Đèn LED Tracklight TRL04 20W 5000K SS</t>
  </si>
  <si>
    <t>LED00023169</t>
  </si>
  <si>
    <t>Đèn LED Tracklight TRL04 25W 4000K SS</t>
  </si>
  <si>
    <t>LED00037573</t>
  </si>
  <si>
    <t>Đèn LED Khẩn cấp KC05 3W trắng-PCCC</t>
  </si>
  <si>
    <t>LED00037577</t>
  </si>
  <si>
    <t>Đèn LED Khẩn cấp KC03 8W vàng-PCCC</t>
  </si>
  <si>
    <t>LED00041969</t>
  </si>
  <si>
    <t>Đèn LED Tracklight TRL06 20W 4000K (Xoay góc) trắng</t>
  </si>
  <si>
    <t>LED00043070</t>
  </si>
  <si>
    <t>Đèn LED Tracklight TRL05 15W 4000K (trắng)</t>
  </si>
  <si>
    <t>LED00053243</t>
  </si>
  <si>
    <t>Đèn LED Tracklight TRL05 30W 5000K (trắng)</t>
  </si>
  <si>
    <t>LED00076117</t>
  </si>
  <si>
    <t>Đèn LED Tracklight TRL08 15W 6500K (Đen)</t>
  </si>
  <si>
    <t>00000042</t>
  </si>
  <si>
    <t>Đèn LED Đánh cá DC04 200W 3000K</t>
  </si>
  <si>
    <t>00000045</t>
  </si>
  <si>
    <t>Đèn LED Đánh cá DC04 300W 3000K</t>
  </si>
  <si>
    <t>00000323</t>
  </si>
  <si>
    <t>Đèn LED đánh cá DC05 400W 4000K</t>
  </si>
  <si>
    <t>LED00040192</t>
  </si>
  <si>
    <t>Đèn LED Đánh cá DC04 300W  3000K</t>
  </si>
  <si>
    <t>LED00041066</t>
  </si>
  <si>
    <t>Đèn LED Đánh cá DC05 500W 4000K</t>
  </si>
  <si>
    <t>LED00050785</t>
  </si>
  <si>
    <t>Đèn LED Chiếu Boong CB02 50W.V2 5000K</t>
  </si>
  <si>
    <t>LED00057396</t>
  </si>
  <si>
    <t>Bóng đèn chuyên dụng LED.TL-T60 WRF/9W IP65 (XL)</t>
  </si>
  <si>
    <t>LED00074084</t>
  </si>
  <si>
    <t>Đèn LED Đánh cá DC08 700W AC-IC 4000K</t>
  </si>
  <si>
    <t>LED00005223</t>
  </si>
  <si>
    <t>Bóng đèn LED (LED A50N/2W) E6500K/220V</t>
  </si>
  <si>
    <t>LED00012419</t>
  </si>
  <si>
    <t>Bóng LED Bulb TR60N2/10W E27 6500K SS</t>
  </si>
  <si>
    <t>LED00018677</t>
  </si>
  <si>
    <t>Bóng LED Bulb A60N3/7W E27 3000K (CE) SS</t>
  </si>
  <si>
    <t>LED00021343</t>
  </si>
  <si>
    <t>Bóng LED Bulb trang trí A45Y/1W (Yellow)</t>
  </si>
  <si>
    <t>LED00031904</t>
  </si>
  <si>
    <t>Bóng LED Bulb A60N1/8W.BT E27 5000K</t>
  </si>
  <si>
    <t>LED00016264</t>
  </si>
  <si>
    <t>Đèn bàn LED bảo vệ thị lực RD-RL-01 5W 6500K SS</t>
  </si>
  <si>
    <t>LED00030889</t>
  </si>
  <si>
    <t>Đèn bàn LED bảo vệ thị lực RD-RL-10E 5W 6500K</t>
  </si>
  <si>
    <t>LED00033515</t>
  </si>
  <si>
    <t>Đèn bàn LED bảo vệ thị lực RD-RL-38 6W 4000K</t>
  </si>
  <si>
    <t>LED00059995</t>
  </si>
  <si>
    <t>Đèn bàn LED bảo vệ thị lực RD-RL-01.QT 5W 3000K</t>
  </si>
  <si>
    <t>00000161</t>
  </si>
  <si>
    <t>Bóng đèn CFL 3U T4 15W H8 E27 6500K MN</t>
  </si>
  <si>
    <t>00000348</t>
  </si>
  <si>
    <t>Đèn Compact 2U-11W-6500K(FSM-11-GX 10q)</t>
  </si>
  <si>
    <t>00000351</t>
  </si>
  <si>
    <t>Đèn HQ Compact T3-3U 15W Galaxy B6500K</t>
  </si>
  <si>
    <t>00000352</t>
  </si>
  <si>
    <t>Đèn HQ Compact T3-2U  5W Galaxy B6500K</t>
  </si>
  <si>
    <t>00000353</t>
  </si>
  <si>
    <t>Đèn HQ Compact T3-3U 18W Galaxy E6500K</t>
  </si>
  <si>
    <t>00000358</t>
  </si>
  <si>
    <t>Bóng đèn CFL-4UT5 50W IP65 H8 E27 6500K</t>
  </si>
  <si>
    <t>00000430</t>
  </si>
  <si>
    <t>Bóng đèn CFL 3UT4 25W IP65 E27 2700K C.ẩm</t>
  </si>
  <si>
    <t>00000458</t>
  </si>
  <si>
    <t>Bóng đèn CFL-4UT5 50W H8 E27 2700K</t>
  </si>
  <si>
    <t>00000490</t>
  </si>
  <si>
    <t>B/đèn CFL-HST5 105W 220V xoắn E40 6500K</t>
  </si>
  <si>
    <t>00000502</t>
  </si>
  <si>
    <t>Đèn HQ Compact CFL-HST5 40W E27 6500K</t>
  </si>
  <si>
    <t>LED00005671</t>
  </si>
  <si>
    <t>Balat đ/tử hộp 6000h EBH-1x18/20FL-SM</t>
  </si>
  <si>
    <t>00000287</t>
  </si>
  <si>
    <t>ĐènLED TRACKLIGHT DTRL01L/8W EVànggc30o</t>
  </si>
  <si>
    <t>LED00017863</t>
  </si>
  <si>
    <t>Đèn LED Khẩn cấp KC02 10W trắng</t>
  </si>
  <si>
    <t>LED00023163</t>
  </si>
  <si>
    <t>Đèn LED Tracklight TRL04 12W 4000K SS</t>
  </si>
  <si>
    <t>LED00023167</t>
  </si>
  <si>
    <t>Đèn LED Tracklight TRL04 20W 4000K SS</t>
  </si>
  <si>
    <t>LED00054499</t>
  </si>
  <si>
    <t>SOCKET LAMP SR-95AR LED TL/0.6W (220V)</t>
  </si>
  <si>
    <t>LED00077004</t>
  </si>
  <si>
    <t>Đèn LED Tracklight TRL08 30W 3000K (Trắng)</t>
  </si>
  <si>
    <t>00000029</t>
  </si>
  <si>
    <t>Đèn LED trồng rau TRR01 1200/25W 40B/60R</t>
  </si>
  <si>
    <t>00000034</t>
  </si>
  <si>
    <t>Đèn LED TRR 120/25W-100% RED</t>
  </si>
  <si>
    <t>00000047</t>
  </si>
  <si>
    <t>Đèn LED Đánh cá DC04 300W 5000K</t>
  </si>
  <si>
    <t>00000051</t>
  </si>
  <si>
    <t>Đèn LED Đánh cá pha xúc DCPX04 300W 3000K</t>
  </si>
  <si>
    <t>LED00076116</t>
  </si>
  <si>
    <t>Đèn LED Tracklight TRL08 20W 6500K (Đen)</t>
  </si>
  <si>
    <t>00000056</t>
  </si>
  <si>
    <t>Đèn LED Thả chìm TC01 600W 4000K</t>
  </si>
  <si>
    <t>LED00042993</t>
  </si>
  <si>
    <t>Đèn LED GROW LIGHT DN-720W/277V</t>
  </si>
  <si>
    <t>LED00050212</t>
  </si>
  <si>
    <t>Đèn LED Chiếu Boong CB02 50W.V2 4000K</t>
  </si>
  <si>
    <t>LED00050503</t>
  </si>
  <si>
    <t>Đèn LED Đánh cá DC05 500W 4000K (SPD lens 120 độ)</t>
  </si>
  <si>
    <t>LED00050858</t>
  </si>
  <si>
    <t>Đèn LED Đánh cá DC04 300W 4000K-CT</t>
  </si>
  <si>
    <t>LED00076858</t>
  </si>
  <si>
    <t>Đèn LED Đánh cá DC08 500W COB Blue/U - Bolt(SPD Lens 90 độ)</t>
  </si>
  <si>
    <t>LED00080548</t>
  </si>
  <si>
    <t>Đèn LED Rong nho RN01.BR 220/150W</t>
  </si>
  <si>
    <t>LED00081365</t>
  </si>
  <si>
    <t>Đèn LED Đánh cá DC08 700W RED (SPD)</t>
  </si>
  <si>
    <t>LED00083399</t>
  </si>
  <si>
    <t>Đèn LED thả ngầm TC02 800W 4000K</t>
  </si>
  <si>
    <t>LED00050877</t>
  </si>
  <si>
    <t>Đèn LED Pin đội đầu PDD01 1W trắng-CT</t>
  </si>
  <si>
    <t>LED00005157</t>
  </si>
  <si>
    <t>Bóng LED Bub A68N1/9W E27 3000K SS</t>
  </si>
  <si>
    <t>LED00005230</t>
  </si>
  <si>
    <t>Bóng đèn (LED A60N/5W) E27-220V-Trắng</t>
  </si>
  <si>
    <t>LED00005676</t>
  </si>
  <si>
    <t>Bóng đèn chuyên dụng LED.TL-WFR/10W IP65</t>
  </si>
  <si>
    <t>LED00012517</t>
  </si>
  <si>
    <t>Bóng LED Bulb A45N1/2W E27 6500K</t>
  </si>
  <si>
    <t>LED00018545</t>
  </si>
  <si>
    <t>Bóng LED Bulb A60N1/7W E27 6500K (12-24VDC) SS</t>
  </si>
  <si>
    <t>LED00028914</t>
  </si>
  <si>
    <t>Bóng LED Bulb A60/9W E27 8000K (Havana)</t>
  </si>
  <si>
    <t>LED00036197</t>
  </si>
  <si>
    <t>LED BULB (LED A55N4/5W)E27-6500K S- CTT</t>
  </si>
  <si>
    <t>LED00036212</t>
  </si>
  <si>
    <t>LED BULB (LED A55N4/5W)E27-3000K S- CTT</t>
  </si>
  <si>
    <t>LED00036217</t>
  </si>
  <si>
    <t>LED Bulb(LED A60N1/9W)E27-á/s trắng Led SS-CTT</t>
  </si>
  <si>
    <t>LED00037403</t>
  </si>
  <si>
    <t>LED BULB (LED A55N4/5W)E27-3000K S- CT</t>
  </si>
  <si>
    <t>LED00037406</t>
  </si>
  <si>
    <t>LED Bulb(LED A60N1/9W)E27-á/s trắng Led SS-CT</t>
  </si>
  <si>
    <t>LED00037417</t>
  </si>
  <si>
    <t>LED BULB(LED A120N1/30W) E27 6500K S-CT</t>
  </si>
  <si>
    <t>LED00046323</t>
  </si>
  <si>
    <t>Bóng LED Bulb TR135NĐ/60W E27 6500K SS-CT</t>
  </si>
  <si>
    <t>LED00017605</t>
  </si>
  <si>
    <t>Đèn bàn LED bảo vệ thị lực RD-RL-24 5W 3000K</t>
  </si>
  <si>
    <t>LED00042018</t>
  </si>
  <si>
    <t>Đèn bàn LED bảo vệ thị lực RD-RL-01.V2 5W 6500K</t>
  </si>
  <si>
    <t>00000150</t>
  </si>
  <si>
    <t>Bóng đèn CFL 3UT4 20W IP65 E27 2700K C.ẩm</t>
  </si>
  <si>
    <t>00000354</t>
  </si>
  <si>
    <t>Đèn HQ Compact T3-3U 20W Galaxy E6500K</t>
  </si>
  <si>
    <t>00000357</t>
  </si>
  <si>
    <t>Đèn HQ Compact CFL-4UT5 50W E40 6500K</t>
  </si>
  <si>
    <t>00000359</t>
  </si>
  <si>
    <t>Bóng đèn CFL-ST3 7W E27 2700K</t>
  </si>
  <si>
    <t>00000362</t>
  </si>
  <si>
    <t>Đèn CFL-ST3 14W galaxy H8 E27 6500K</t>
  </si>
  <si>
    <t>00000365</t>
  </si>
  <si>
    <t>Bóng đèn CFL 2U T4 11W H8 B22 6500K MN</t>
  </si>
  <si>
    <t>00000418</t>
  </si>
  <si>
    <t>Bóng đèn CFL 3UT4 23W IP65 E27 2700K c/ẩm</t>
  </si>
  <si>
    <t>00000436</t>
  </si>
  <si>
    <t>B/đèn CFL-HST5 105W 220V xoắn E27 6500K</t>
  </si>
  <si>
    <t>00000477</t>
  </si>
  <si>
    <t>Đèn HQ Compact (CF-S)3U-13W E27 6500oK</t>
  </si>
  <si>
    <t>00000516</t>
  </si>
  <si>
    <t>Đèn HQCompact xoắnCFH-ST4 7W E6500K</t>
  </si>
  <si>
    <t>00000114</t>
  </si>
  <si>
    <t>Đèn huỳnh quang T8-18W-RED</t>
  </si>
  <si>
    <t>00000141</t>
  </si>
  <si>
    <t>Bộ đèn HQ T8-18W(ĐĐT-18W/01)SL</t>
  </si>
  <si>
    <t>00000213</t>
  </si>
  <si>
    <t>FL T8 36W 12000K - HIKARI</t>
  </si>
  <si>
    <t>00000344</t>
  </si>
  <si>
    <t>Đèn huỳnh quang T8-18W-YELLOW</t>
  </si>
  <si>
    <t>00000347</t>
  </si>
  <si>
    <t>Đèn huỳnh quang 40W SUPEDELUX-T10</t>
  </si>
  <si>
    <t>LED00005691</t>
  </si>
  <si>
    <t>Tụ bù 12 F/250V/50-60Hz/105oC</t>
  </si>
  <si>
    <t>LED00037579</t>
  </si>
  <si>
    <t>Đèn LED khẩn cấp KC02 10W vàng-PCCC</t>
  </si>
  <si>
    <t>LED00065013</t>
  </si>
  <si>
    <t>Đèn LED Tracklight TRL05.DIM 15W 4000K (màu trắng)</t>
  </si>
  <si>
    <t>LED00077008</t>
  </si>
  <si>
    <t>Đèn LED Tracklight TRL08 15W 3000K (Trắng)</t>
  </si>
  <si>
    <t>00000031</t>
  </si>
  <si>
    <t>Đèn LED trồng rau (LED TRR 25W 120/WR)</t>
  </si>
  <si>
    <t>00000035</t>
  </si>
  <si>
    <t>Đèn LED nuôi tảo (T25W 120/BR)</t>
  </si>
  <si>
    <t>00000040</t>
  </si>
  <si>
    <t>Đèn LED Chiếu Boong CB02 150W 5000K</t>
  </si>
  <si>
    <t>00000046</t>
  </si>
  <si>
    <t>Đèn LED Đánh cá DC04 300W 4000K</t>
  </si>
  <si>
    <t>LED00047619</t>
  </si>
  <si>
    <t>Bóng LED Bulb TR100N1/30W E27 6500K SS-CTT</t>
  </si>
  <si>
    <t>LED00048013</t>
  </si>
  <si>
    <t>Bóng LED Bulb A80N1/15W E27 6500K SS-TC</t>
  </si>
  <si>
    <t>LED00050843</t>
  </si>
  <si>
    <t>Bóng LED Bulb A60N3/7W E27 6500K SS-CT</t>
  </si>
  <si>
    <t>LED00061470</t>
  </si>
  <si>
    <t>Bóng LED Bulb TR120N1/45W E27 6500K (Lioa)</t>
  </si>
  <si>
    <t>LED00068490</t>
  </si>
  <si>
    <t>Bóng LED Bulb trang trí A45R/1W (Red)-CT</t>
  </si>
  <si>
    <t>LED00075174</t>
  </si>
  <si>
    <t>Bóng LED Bulb A60N3/7W.H E27 3000K-CT</t>
  </si>
  <si>
    <t>LED00075176</t>
  </si>
  <si>
    <t>Bóng LED Bulb A95N1/20W E27 3000K SS-CT</t>
  </si>
  <si>
    <t>LED công suất cao</t>
  </si>
  <si>
    <t>00000302</t>
  </si>
  <si>
    <t>Đèn LED chiếu sáng đường CSD01 35W</t>
  </si>
  <si>
    <t>LED00005369</t>
  </si>
  <si>
    <t>Đèn LED Chiếu pha CP03 100W 6500K SS</t>
  </si>
  <si>
    <t>LED00006445</t>
  </si>
  <si>
    <t>Đèn LED chiếu sáng đường CSD03 80W 5000K (HN)</t>
  </si>
  <si>
    <t>LED00019881</t>
  </si>
  <si>
    <t>Đèn LED Chiếu pha CP04 50W 6500K (XK) SS</t>
  </si>
  <si>
    <t>LED00024037</t>
  </si>
  <si>
    <t>Đèn LED Chiếu pha CP06 200W 3000K SS</t>
  </si>
  <si>
    <t>LED00025220</t>
  </si>
  <si>
    <t>Đèn LED Chiếu pha CP06 30W 6500K SS</t>
  </si>
  <si>
    <t>LED00025823</t>
  </si>
  <si>
    <t>Đèn LED chiếu sáng đường CSD02 150W.DA 5000K</t>
  </si>
  <si>
    <t>LED00036138</t>
  </si>
  <si>
    <t>Đèn LED chiếu sáng đường CSD06 150W 4000K (QB)</t>
  </si>
  <si>
    <t>LED00039373</t>
  </si>
  <si>
    <t>Đèn LED Chiếu pha CP06 100W 12000K</t>
  </si>
  <si>
    <t>LED00042236</t>
  </si>
  <si>
    <t>Đèn LED Chiếu pha CP07 30W RED.DA</t>
  </si>
  <si>
    <t>LED00043953</t>
  </si>
  <si>
    <t>Đèn LED chiếu sáng đường CSD08 160W 4000K</t>
  </si>
  <si>
    <t>LED00045326</t>
  </si>
  <si>
    <t>Đèn LED đánh cá DC05 500W 5000K</t>
  </si>
  <si>
    <t>LED00046116</t>
  </si>
  <si>
    <t>Đèn LED chiếu sáng đường CSD08 150W.NEMA 5000K</t>
  </si>
  <si>
    <t>LED00046392</t>
  </si>
  <si>
    <t>Đèn LED Chiếu pha CP06 100W 6500K SS-CT</t>
  </si>
  <si>
    <t>LED00048339</t>
  </si>
  <si>
    <t>Đèn LED âm nước AN03 54W.QT 10D 3000K (IP68)</t>
  </si>
  <si>
    <t>LED00050854</t>
  </si>
  <si>
    <t>Đèn LED Chiếu pha CP06 100W 3000K SS-CT</t>
  </si>
  <si>
    <t>LED00051478</t>
  </si>
  <si>
    <t>Đèn LED Highbay HBM02 100W.PLUS 6500K (60 độ)</t>
  </si>
  <si>
    <t>LED00057456</t>
  </si>
  <si>
    <t>Đèn LED High Bay HB03 330/150W AC 5700K</t>
  </si>
  <si>
    <t>00000422</t>
  </si>
  <si>
    <t>Đèn cao áp NATRI (HPS-T150W/220) E40</t>
  </si>
  <si>
    <t>LED00045448</t>
  </si>
  <si>
    <t>Đèn bàn LED bảo vệ thị lực RD-RL-27.V2 5W 6500K-CT</t>
  </si>
  <si>
    <t>00000313</t>
  </si>
  <si>
    <t>Bóng đèn CFL HST5 40W.S H8 E27 6500K</t>
  </si>
  <si>
    <t>00000356</t>
  </si>
  <si>
    <t>Bóng đèn CFL 4UT5 40W IP65 E27 6500K c/ẩm</t>
  </si>
  <si>
    <t>00000401</t>
  </si>
  <si>
    <t>Bóng đèn CFL HST4 25W H8 E27 6500K</t>
  </si>
  <si>
    <t>00000404</t>
  </si>
  <si>
    <t>Đèn HQ Compact T3-3U 11W Galaxy E2700K</t>
  </si>
  <si>
    <t>00000429</t>
  </si>
  <si>
    <t>Bóng đèn CFL 3UT4 20W IP65 E27 6500K C.ẩm</t>
  </si>
  <si>
    <t>00000435</t>
  </si>
  <si>
    <t>Đèn CFL-S T3 11W Galaxy E27 2700K</t>
  </si>
  <si>
    <t>00000463</t>
  </si>
  <si>
    <t>Đèn HQCompact xoắn6000h-45W E40 6500K</t>
  </si>
  <si>
    <t>00000391</t>
  </si>
  <si>
    <t>Đèn huỳnh quang 40W SL</t>
  </si>
  <si>
    <t>00000464</t>
  </si>
  <si>
    <t>Balat điện từ 20W</t>
  </si>
  <si>
    <t>00000487</t>
  </si>
  <si>
    <t>ĐènLED TRACKLIGHT DTRL01L/8W ETrắnggc30o</t>
  </si>
  <si>
    <t>LED00017646</t>
  </si>
  <si>
    <t>Đèn LED Tracklight TRL03 14W 3000K</t>
  </si>
  <si>
    <t>LED00017650</t>
  </si>
  <si>
    <t>Đèn LED Tracklight TRL03 14W 4000K</t>
  </si>
  <si>
    <t>LED00017865</t>
  </si>
  <si>
    <t>Đèn LED Khẩn cấp KC03 8W trắng</t>
  </si>
  <si>
    <t>LED00032963</t>
  </si>
  <si>
    <t>Đèn LED Khẩn cấp KC04 6W.DA trắng</t>
  </si>
  <si>
    <t>LED00040517</t>
  </si>
  <si>
    <t>Đèn LED Tracklight TRL05 30W 5000K SS</t>
  </si>
  <si>
    <t>LED00042555</t>
  </si>
  <si>
    <t>Đèn LED Tracklight TRL05 20W 4000K (trắng)</t>
  </si>
  <si>
    <t>LED00076115</t>
  </si>
  <si>
    <t>Đèn LED Tracklight TRL08 30W 6500K (Đen)</t>
  </si>
  <si>
    <t>LED00077001</t>
  </si>
  <si>
    <t>Đèn LED Tracklight TRL08 20W 6500K (Trắng)</t>
  </si>
  <si>
    <t>00000028</t>
  </si>
  <si>
    <t>Đèn LED trồng rau TRR01 1200/25W 30B/70R</t>
  </si>
  <si>
    <t>00000041</t>
  </si>
  <si>
    <t>Đèn LED Đánh cá DC03 150W 5000K</t>
  </si>
  <si>
    <t>00000079</t>
  </si>
  <si>
    <t>Đèn LED NCM02.DIM 1200/16W 6500K</t>
  </si>
  <si>
    <t>00000375</t>
  </si>
  <si>
    <t>Đèn LED Câu mực CM01 30W 4000K</t>
  </si>
  <si>
    <t>LED00040193</t>
  </si>
  <si>
    <t>Đèn LED Đánh cá DC04 400W  4000K</t>
  </si>
  <si>
    <t>00000333</t>
  </si>
  <si>
    <t>Bóng 220V-25W MN</t>
  </si>
  <si>
    <t>00000335</t>
  </si>
  <si>
    <t>Bóng 220V-40W MN</t>
  </si>
  <si>
    <t>00000386</t>
  </si>
  <si>
    <t>Đèn Metal Halide (MH-ED 400w/642) E40</t>
  </si>
  <si>
    <t>00000388</t>
  </si>
  <si>
    <t>Đèn Metal Halide ( MH-TS 150w/642 )  E27</t>
  </si>
  <si>
    <t>LED00005597</t>
  </si>
  <si>
    <t>Chao (choá) Inox 1,2m đơn,trần</t>
  </si>
  <si>
    <t>LED00005604</t>
  </si>
  <si>
    <t>Chao trần,đôi,1.2m sơn tĩnh điện</t>
  </si>
  <si>
    <t>LED00005534</t>
  </si>
  <si>
    <t>Đèn bàn LED cảm ứng RD-RL-18.LED E</t>
  </si>
  <si>
    <t>LED00025507</t>
  </si>
  <si>
    <t>Đèn bàn LED bảo vệ thị lực RD-RL-32 5W 6500K</t>
  </si>
  <si>
    <t>LED00068487</t>
  </si>
  <si>
    <t>Đèn bàn LED bảo vệ thị lực RD-RL-38 6W 4000K-CT</t>
  </si>
  <si>
    <t>00000411</t>
  </si>
  <si>
    <t>Đèn bàn bảo vệ thị lực RD-RL-17 á/s trắng</t>
  </si>
  <si>
    <t>00000543</t>
  </si>
  <si>
    <t>Đèn HQ Compact T3-3U 14W Galaxy E2700K</t>
  </si>
  <si>
    <t>00000343</t>
  </si>
  <si>
    <t>Đèn huỳnh quang T8-18W-GREEN</t>
  </si>
  <si>
    <t>00000547</t>
  </si>
  <si>
    <t>Bộ đèn CSLH FS40/36x2 CM1*EH</t>
  </si>
  <si>
    <t>LED00005678</t>
  </si>
  <si>
    <t>Balát điện tử đèn bàn 2 chế độ (RL-07)</t>
  </si>
  <si>
    <t>LED00005730</t>
  </si>
  <si>
    <t>Đèn LED Tracklight TRL04 30W 2200K</t>
  </si>
  <si>
    <t>LED00037576</t>
  </si>
  <si>
    <t>Đèn LED Khẩn cấp KC03 8W trắng-PCCC</t>
  </si>
  <si>
    <t>LED00077040</t>
  </si>
  <si>
    <t>Đèn LED Tracklight TRL08 30W 4000K (Đen)</t>
  </si>
  <si>
    <t>00000050</t>
  </si>
  <si>
    <t>Đèn LED Đánh cá DC04 400W 5000K</t>
  </si>
  <si>
    <t>LED00044910</t>
  </si>
  <si>
    <t>Đèn LED chuyên dụng CT-T8 LT 1200/30W B/R (IP65)</t>
  </si>
  <si>
    <t>LED00052679</t>
  </si>
  <si>
    <t>Bóng đèn LED Bulb Hoa Cúc A60.HC/YW IP65</t>
  </si>
  <si>
    <t>LED00054167</t>
  </si>
  <si>
    <t>Đèn LED câu mực CM01 50W.V2 4000K</t>
  </si>
  <si>
    <t>LED00072138</t>
  </si>
  <si>
    <t>Đèn thu hút mực TC02 0.3W RGB</t>
  </si>
  <si>
    <t>LED00075998</t>
  </si>
  <si>
    <t>Đèn LED Đánh cá DC08 500W.V2 3000K/U - Bolt ( SPD)</t>
  </si>
  <si>
    <t>LED00080545</t>
  </si>
  <si>
    <t>Đèn LED nuôi tôm NT01.G 220/150W</t>
  </si>
  <si>
    <t>LED00012951</t>
  </si>
  <si>
    <t>Bóng LED Bulb TR100N1/30W E27 3000K SS</t>
  </si>
  <si>
    <t>LED00017607</t>
  </si>
  <si>
    <t>Đèn bàn LED bảo vệ thị lực RD-RL-25 5W 3000K</t>
  </si>
  <si>
    <t>LED00046391</t>
  </si>
  <si>
    <t>Đèn bàn LED bảo vệ thị lực RD-RL-26 5W 6500K-CT</t>
  </si>
  <si>
    <t>00000159</t>
  </si>
  <si>
    <t>Bóng đèn CFL 3U T4 20W H8 E27 6500K</t>
  </si>
  <si>
    <t>00000355</t>
  </si>
  <si>
    <t>Đèn HQ Compact CFL 4UT5-36W E27 6500K</t>
  </si>
  <si>
    <t>00000372</t>
  </si>
  <si>
    <t>Đèn bàn bảo vệ thị lực RD-RL-10 6500K</t>
  </si>
  <si>
    <t>00000459</t>
  </si>
  <si>
    <t>Bóng đèn CFL ST4 30W H8 E27 6500K</t>
  </si>
  <si>
    <t>00000498</t>
  </si>
  <si>
    <t>Đèn HQCompact xoắnCFH-YT4 15W E6500K</t>
  </si>
  <si>
    <t>00000513</t>
  </si>
  <si>
    <t>Bóng đèn CFL 2U T4 11W H8 E27 2700K MN</t>
  </si>
  <si>
    <t>00000119</t>
  </si>
  <si>
    <t>Đèn huỳnh quangT8-36W GALAXY(S)SL</t>
  </si>
  <si>
    <t>LED00005704</t>
  </si>
  <si>
    <t>Bộ đèn HQ (BD T8 NANO M11/36Wx1)-875</t>
  </si>
  <si>
    <t>LED00013077</t>
  </si>
  <si>
    <t>Đèn huỳnh quang chống ẩm D LN CA/1x36W</t>
  </si>
  <si>
    <t>LED00005664</t>
  </si>
  <si>
    <t>SOCKET LAMP SR-95AR LED TL 02.3.16/0,5W</t>
  </si>
  <si>
    <t>LED00005994</t>
  </si>
  <si>
    <t>Đèn LED Tracklight TRL04 30W 3000K</t>
  </si>
  <si>
    <t>LED00040515</t>
  </si>
  <si>
    <t>Đèn LED Tracklight TRL05 20W 5000K (đen)</t>
  </si>
  <si>
    <t>LED00041970</t>
  </si>
  <si>
    <t>Đèn LED Tracklight TRL06 20W 5000K (Xoay góc) trắng</t>
  </si>
  <si>
    <t>LED00043071</t>
  </si>
  <si>
    <t>Đèn LED Tracklight TRL05 15W 5000K (trắng)</t>
  </si>
  <si>
    <t>LED00049424</t>
  </si>
  <si>
    <t>Đèn LED Tracklight TRL05 10W 4000K</t>
  </si>
  <si>
    <t>LED00077044</t>
  </si>
  <si>
    <t>Đèn LED Tracklight TRL08 15W 4000K (Đen)</t>
  </si>
  <si>
    <t>LED00043061</t>
  </si>
  <si>
    <t>Đèn LED GROW LIGHT DN-720W/480V</t>
  </si>
  <si>
    <t>LED00050502</t>
  </si>
  <si>
    <t>Đèn LED Đánh cá DC05 500W 4000K (SPD lens 90 độ)</t>
  </si>
  <si>
    <t>LED00050504</t>
  </si>
  <si>
    <t>Đèn LED đánh cá DC05 500W 5000K (SPD lens 35-90 độ)</t>
  </si>
  <si>
    <t>LED00053885</t>
  </si>
  <si>
    <t>Đèn LED Chiếu Boong CB02 50W.V2 6500K</t>
  </si>
  <si>
    <t>LED00070568</t>
  </si>
  <si>
    <t>Đèn LED Đánh cá DC08 500W AC-IC 4000K/U - Bolt</t>
  </si>
  <si>
    <t>LED00082856</t>
  </si>
  <si>
    <t>Đèn LED Đánh cá DC08 500W 3500K (SPD)</t>
  </si>
  <si>
    <t>LED00044909</t>
  </si>
  <si>
    <t>Đèn LED chuyên dụng NCM T5 LT 1200/16W 6500K (IP65)</t>
  </si>
  <si>
    <t>LED00047682</t>
  </si>
  <si>
    <t>Đèn LED Đánh cá DC06 800W</t>
  </si>
  <si>
    <t>LED00066119</t>
  </si>
  <si>
    <t>Đèn LED Đánh cá DC08 500W 3000K/U - Bolt ( SPD)</t>
  </si>
  <si>
    <t>LED00072816</t>
  </si>
  <si>
    <t>Đèn thu hút mực TC02 0.3W</t>
  </si>
  <si>
    <t>LED00075080</t>
  </si>
  <si>
    <t>Đèn LED Chiếu pha 500W CP05 500W 5000K</t>
  </si>
  <si>
    <t>LED00075667</t>
  </si>
  <si>
    <t>Đèn LED Đánh cá DC08 700W 3500K (SPD)</t>
  </si>
  <si>
    <t>LED00017870</t>
  </si>
  <si>
    <t>Đèn LED Pin đội đầu PDD03 5W vàng</t>
  </si>
  <si>
    <t>LED00017875</t>
  </si>
  <si>
    <t>Đèn LED Pin đội đầu PDD01 1W trắng</t>
  </si>
  <si>
    <t>LED00005169</t>
  </si>
  <si>
    <t>Bóng LED Bulb A60N3/7W E27 3000K SS</t>
  </si>
  <si>
    <t>LED00005216</t>
  </si>
  <si>
    <t>Bóng LED Bulb A50N/1W E27 3000K</t>
  </si>
  <si>
    <t>LED00016901</t>
  </si>
  <si>
    <t>Bóng LED Bulb TR140NĐ/60W E27 6500K SS</t>
  </si>
  <si>
    <t>LED00018678</t>
  </si>
  <si>
    <t>Bóng LED Bulb A60N1/9W E27 3000K (CE) SS</t>
  </si>
  <si>
    <t>LED00030318</t>
  </si>
  <si>
    <t>Bóng LED Bulb YGA03B12 8.5W-850-2(16 pack)</t>
  </si>
  <si>
    <t>LED00033846</t>
  </si>
  <si>
    <t>Bóng LED Bulb TR100N1/30W E27 12000K SS (XK)</t>
  </si>
  <si>
    <t>LED00037567</t>
  </si>
  <si>
    <t>Bóng LED Bulb Sunlike A60/8W E26 2700K(SSC)</t>
  </si>
  <si>
    <t>LED00046062</t>
  </si>
  <si>
    <t>Bóng LED Bulb TR135NĐ1/80W E27 3000K SS</t>
  </si>
  <si>
    <t>LED00046317</t>
  </si>
  <si>
    <t>Bóng LED Bulb A60N3/7W E27 3000K SS-CT</t>
  </si>
  <si>
    <t>LED00050850</t>
  </si>
  <si>
    <t>Bóng LED Bulb trang trí A45B/1W (Blue)-CT</t>
  </si>
  <si>
    <t>LED00055928</t>
  </si>
  <si>
    <t>Bóng LED Bulb TR135NĐ1/60W E27 3000K SS</t>
  </si>
  <si>
    <t>LED00060671</t>
  </si>
  <si>
    <t>Bóng LED Bulb TR50N1/5W B22 12000K (12VDC)</t>
  </si>
  <si>
    <t>LED00072463</t>
  </si>
  <si>
    <t>Bóng LED Bulb TR120N1/40W E27 6500K</t>
  </si>
  <si>
    <t>LED00022082</t>
  </si>
  <si>
    <t>Đèn LED chiếu sáng đường CSD02 200W 4000K</t>
  </si>
  <si>
    <t>LED00023147</t>
  </si>
  <si>
    <t>Đèn LED Chiếu pha CP06 70W 6500K SS</t>
  </si>
  <si>
    <t>LED00023161</t>
  </si>
  <si>
    <t>Đèn LED Chiếu pha CP06 100W 3000K SS</t>
  </si>
  <si>
    <t>LED00023321</t>
  </si>
  <si>
    <t>Đèn LED Chiếu pha CP06 50W 6500K SS</t>
  </si>
  <si>
    <t>LED00070952</t>
  </si>
  <si>
    <t>Đèn LED Đánh cá DC08 500W COB 4000K/U-Bolt (SPD Lens 120 độ)</t>
  </si>
  <si>
    <t>LED00076000</t>
  </si>
  <si>
    <t>Đèn LED Đánh cá DC08 500W.V2 4000K/U - Bolt ( SPD)</t>
  </si>
  <si>
    <t>LED00081827</t>
  </si>
  <si>
    <t>Đèn LED Đánh cá DC05 500W.V3 4000K (SPD Lens 90 độ)</t>
  </si>
  <si>
    <t>LED00005168</t>
  </si>
  <si>
    <t>Bóng LED Bulb A55N4/5W E27 6500K</t>
  </si>
  <si>
    <t>LED00005175</t>
  </si>
  <si>
    <t>Bóng LED BULB A55N4/3W E27 3000K</t>
  </si>
  <si>
    <t>LED00005204</t>
  </si>
  <si>
    <t>Bóng LED Bulb A120/30W E27 6500K</t>
  </si>
  <si>
    <t>LED00011858</t>
  </si>
  <si>
    <t>Bóng LED Bulb A95N1/20W E27 6500K SS</t>
  </si>
  <si>
    <t>LED00016212</t>
  </si>
  <si>
    <t>Bóng LED Bulb TR140NĐ/60W E27 3000K SS</t>
  </si>
  <si>
    <t>LED00018679</t>
  </si>
  <si>
    <t>Bóng LED Bulb A60N1/9W E27 6500K (CE) SS</t>
  </si>
  <si>
    <t>LED00018703</t>
  </si>
  <si>
    <t>Bóng LED Bulb A60N1/9W B22 5000K (XK) SS</t>
  </si>
  <si>
    <t>LED00033812</t>
  </si>
  <si>
    <t>Bóng LED Bulb TR60N2/12W E27 3000K SS (XK)</t>
  </si>
  <si>
    <t>LED00036199</t>
  </si>
  <si>
    <t>LED BULB(LED A120N1/30W) E27 6500K S-CTT</t>
  </si>
  <si>
    <t>LED00037412</t>
  </si>
  <si>
    <t>LED BULB(LED TR60N2/12W) E27-6500K(SS)-CT</t>
  </si>
  <si>
    <t>LED00040370</t>
  </si>
  <si>
    <t>Bóng LED Bulb lưu điện A80.KC/9W E27 6500K</t>
  </si>
  <si>
    <t>LED00040477</t>
  </si>
  <si>
    <t>Bóng LED Bulb TR60N1/7W E27 12000K (12VDC)</t>
  </si>
  <si>
    <t>LED00045234</t>
  </si>
  <si>
    <t>Bóng LED Bulb A60N1/9W.DCV2 6500K (12VDC E27)</t>
  </si>
  <si>
    <t>LED00047618</t>
  </si>
  <si>
    <t>Bóng LED Bulb A120N1/30W E27 6500K SS-CTT</t>
  </si>
  <si>
    <t>LED00047625</t>
  </si>
  <si>
    <t>Bóng LED Bulb A55N4/5W E27 6500K-CTT</t>
  </si>
  <si>
    <t>LED00047995</t>
  </si>
  <si>
    <t>Bóng LED Bulb A60N1/9W E27 6500K SS-TC</t>
  </si>
  <si>
    <t>LED00048053</t>
  </si>
  <si>
    <t>Bóng LED Bulb TR135/60W E27 6500K SS</t>
  </si>
  <si>
    <t>LED00050849</t>
  </si>
  <si>
    <t>Bóng LED Bulb TR80N1/20W E27 6500K SS-CT</t>
  </si>
  <si>
    <t>LED00054226</t>
  </si>
  <si>
    <t>Bóng LED Bulb A60N1/9W.H E27 3000K</t>
  </si>
  <si>
    <t>LED00057783</t>
  </si>
  <si>
    <t>Bóng LED Bulb A60N3/7W.H E27 6500K-CTT</t>
  </si>
  <si>
    <t>LED00057784</t>
  </si>
  <si>
    <t>Bóng LED Bulb A60N3/7W.H E27 3000K-CTT</t>
  </si>
  <si>
    <t>LED00058252</t>
  </si>
  <si>
    <t>Bóng LED bulb TR80N1/20W.DC 6500K (12-24VDC E27)</t>
  </si>
  <si>
    <t>LED00070953</t>
  </si>
  <si>
    <t>Đèn LED Đánh cá DC08 500W COB 4000K/U-Bolt (SPD Lens 35 độ)</t>
  </si>
  <si>
    <t>LED00074083</t>
  </si>
  <si>
    <t>Đèn LED Đánh cá DC08 700W AC-IC 4000K/U - Bolt</t>
  </si>
  <si>
    <t>LED00075994</t>
  </si>
  <si>
    <t>Đèn LED Đánh cá DC08 500W.V2 4000K (SPD)</t>
  </si>
  <si>
    <t>LED00075997</t>
  </si>
  <si>
    <t>Đèn LED Đánh cá DC08 500W.V2 5000K (SPD)</t>
  </si>
  <si>
    <t>LED00005164</t>
  </si>
  <si>
    <t>Bóng LED Bulb A80N1/12W E27 6500K</t>
  </si>
  <si>
    <t>LED00005215</t>
  </si>
  <si>
    <t>Bóng LED Bulb TR80N1/18W E27 6500K SS</t>
  </si>
  <si>
    <t>LED00005220</t>
  </si>
  <si>
    <t>B/đèn LED trang trí(LED TT02/1W)E27-X/lam</t>
  </si>
  <si>
    <t>LED00005222</t>
  </si>
  <si>
    <t>Bóng đèn LED (LED A50N/2W) E2700K/220V</t>
  </si>
  <si>
    <t>LED00005231</t>
  </si>
  <si>
    <t>LED BULB (LED A60N 12VDC/3W)kẹp-Trắng S</t>
  </si>
  <si>
    <t>LED00005232</t>
  </si>
  <si>
    <t>LED BULB (LED A60N 12VDC/3W)E27.Trắng S</t>
  </si>
  <si>
    <t>LED00005237</t>
  </si>
  <si>
    <t>Bóng LED Bulb A60N1/7W E27 6500K(12-24VDC) SS</t>
  </si>
  <si>
    <t>LED00012091</t>
  </si>
  <si>
    <t>Bóng LED Bulb A60N2/9W E27 6500K</t>
  </si>
  <si>
    <t>LED00012519</t>
  </si>
  <si>
    <t>Bóng LED Bulb TR60N2/12W E27 6500K SS</t>
  </si>
  <si>
    <t>LED00012949</t>
  </si>
  <si>
    <t>Bóng LED Bulb TR80N1/20W E27 6500K SS</t>
  </si>
  <si>
    <t>LED00018680</t>
  </si>
  <si>
    <t>Bóng LED Bulb A70N1/12W E27 6500K (CE) SS</t>
  </si>
  <si>
    <t>LED00031905</t>
  </si>
  <si>
    <t>Bóng LED Bulb A70N1/10W.BT E27 5000K</t>
  </si>
  <si>
    <t>LED00033807</t>
  </si>
  <si>
    <t>Bóng LED Bulb TR60N2/10W E27 12000K SS (XK)</t>
  </si>
  <si>
    <t>LED00033843</t>
  </si>
  <si>
    <t>Bóng LED Bulb TR140N1/50W E27 3000K SS (XK)</t>
  </si>
  <si>
    <t>LED00036198</t>
  </si>
  <si>
    <t>LED BULB(LED TR120N1/40W) E27-6500K SS-CTT</t>
  </si>
  <si>
    <t>LED00037410</t>
  </si>
  <si>
    <t>LED Bulb(LED A60N1/9W)E27-á/s vàng Led SS-CT</t>
  </si>
  <si>
    <t>LED00037413</t>
  </si>
  <si>
    <t>LED BULB(LEDA70N1/12W)E27-á/strắng LED SS-CT</t>
  </si>
  <si>
    <t>LED00040560</t>
  </si>
  <si>
    <t>LED Bulb A120N1/30W E27 4000K SS</t>
  </si>
  <si>
    <t>LED00045235</t>
  </si>
  <si>
    <t>Bóng LED Bulb TR70N1/12W.DCV2 6500K (12VDC E27)</t>
  </si>
  <si>
    <t>LED00046319</t>
  </si>
  <si>
    <t>Bóng LED Bulb A80N1/15W E27 6500K SS-CT</t>
  </si>
  <si>
    <t>LED00046322</t>
  </si>
  <si>
    <t>Bóng LED Bulb TR60N2/10W E27 6500K SS-CT</t>
  </si>
  <si>
    <t>LED00039266</t>
  </si>
  <si>
    <t>Bộ đèn LED ĐN 120/2x25W B/R 220V (SMART)</t>
  </si>
  <si>
    <t>LED00040684</t>
  </si>
  <si>
    <t>Đèn LED Đánh cá DC05 400W  4000K</t>
  </si>
  <si>
    <t>LED00050500</t>
  </si>
  <si>
    <t>Đèn LED Đánh cá DC05 500W 4000K (SPD lens 35-90 độ)</t>
  </si>
  <si>
    <t>LED00050505</t>
  </si>
  <si>
    <t>Đèn LED đánh cá DC05 500W 5000K (SPD lens 35 độ)</t>
  </si>
  <si>
    <t>LED00051139</t>
  </si>
  <si>
    <t>Đèn LED Đánh cá DC04 300W 5000K (SPD)</t>
  </si>
  <si>
    <t>LED00072140</t>
  </si>
  <si>
    <t>Đèn thu hút mực TC02 0.3W Green 1000m</t>
  </si>
  <si>
    <t>LED00001416</t>
  </si>
  <si>
    <t>Bóng LED Bulb TR80N1/20W B22 6500K SS (XK)</t>
  </si>
  <si>
    <t>LED00020143</t>
  </si>
  <si>
    <t>Bóng LED Bulb TR70N1/12W E27 6500K (12-24VDC) SS</t>
  </si>
  <si>
    <t>LED00021340</t>
  </si>
  <si>
    <t>Bóng LED Bulb trang trí A45R/1W (Red)</t>
  </si>
  <si>
    <t>LED00038874</t>
  </si>
  <si>
    <t>Bóng LED Bulb TR70N2/12W E27 6500K SS</t>
  </si>
  <si>
    <t>LED00040564</t>
  </si>
  <si>
    <t>LED Bulb A80N1/15W E27 4000K SS</t>
  </si>
  <si>
    <t>LED00045148</t>
  </si>
  <si>
    <t>Bóng LED Bulb A60N3/7W.H E27 6500K</t>
  </si>
  <si>
    <t>LED00046961</t>
  </si>
  <si>
    <t>Bóng LED Bulb A60N/7W B22 12000K (XK)</t>
  </si>
  <si>
    <t>LED00047630</t>
  </si>
  <si>
    <t>Bóng LED Bulb A60N3/7W E27 3000K SS-CTT</t>
  </si>
  <si>
    <t>LED00051889</t>
  </si>
  <si>
    <t>Bóng LED Bulb TR70N2/12W E27 6500K SS-CTT</t>
  </si>
  <si>
    <t>LED00077130</t>
  </si>
  <si>
    <t>Bóng LED Bulb TR140N1/50W B22 12000K (XK)</t>
  </si>
  <si>
    <t>LED00081223</t>
  </si>
  <si>
    <t>Bóng LED Bulb A80N1/15W E27 6500K-CT</t>
  </si>
  <si>
    <t>LED00005372</t>
  </si>
  <si>
    <t>Đèn LED Chiếu pha CP03 70W 6500K SS</t>
  </si>
  <si>
    <t>LED00005377</t>
  </si>
  <si>
    <t>Đèn LED Chiếu pha CP03 100W 3000K SS</t>
  </si>
  <si>
    <t>LED00005383</t>
  </si>
  <si>
    <t>Đèn LED Highbay HB01 410/50W 6500K</t>
  </si>
  <si>
    <t>LED00005388</t>
  </si>
  <si>
    <t>Đèn LED Highbay HB01 500/120W 5000K</t>
  </si>
  <si>
    <t>LED00005392</t>
  </si>
  <si>
    <t>Đèn LED Highbay HB01 500/150W 6500K</t>
  </si>
  <si>
    <t>LED00005402</t>
  </si>
  <si>
    <t>Đèn LED chiếu sáng đường CSD04 150W 5000K (HN)</t>
  </si>
  <si>
    <t>LED00005993</t>
  </si>
  <si>
    <t>Đèn LED chiếu pha CP05/20W 3000K LED SS</t>
  </si>
  <si>
    <t>LED00037565</t>
  </si>
  <si>
    <t>Bóng LED Bulb Sunlike A60/8W E26 6500K(SSC)</t>
  </si>
  <si>
    <t>LED00046398</t>
  </si>
  <si>
    <t>Bóng LED Bulb TR135NĐ1/60W E27 6500K SS</t>
  </si>
  <si>
    <t>LED00047633</t>
  </si>
  <si>
    <t>Bóng LED BULB A60N1/9W E27 3000K SS-CTT</t>
  </si>
  <si>
    <t>LED00047998</t>
  </si>
  <si>
    <t>Bóng LED Bulb TR60N2/12W E27 6500K SS-TC</t>
  </si>
  <si>
    <t>LED00048012</t>
  </si>
  <si>
    <t>Bóng LED Bulb A80N1/15W E27 3000K SS-TC</t>
  </si>
  <si>
    <t>LED00072356</t>
  </si>
  <si>
    <t>Bóng LED Bulb TR100N1/30W E27 6500K</t>
  </si>
  <si>
    <t>LED00073620</t>
  </si>
  <si>
    <t>Bóng LED Bulb A70N1/12W E27 6500K</t>
  </si>
  <si>
    <t>LED00079936</t>
  </si>
  <si>
    <t>Bóng LED Bulb TR100NĐ2/30W E27 6500K</t>
  </si>
  <si>
    <t>LED00015130</t>
  </si>
  <si>
    <t>Đèn LED chiếu pha CP05 10W 3000K SS</t>
  </si>
  <si>
    <t>LED00017895</t>
  </si>
  <si>
    <t>Đèn LED chiếu sáng đường CSD02 150W.DA 4000K</t>
  </si>
  <si>
    <t>LED00021437</t>
  </si>
  <si>
    <t>Đèn LED chiếu sáng đường CSD02 80W 4000K (HQ)</t>
  </si>
  <si>
    <t>LED00025155</t>
  </si>
  <si>
    <t>Đèn LED chiếu sáng đường CSD05 120W 5000K (QB)</t>
  </si>
  <si>
    <t>LED00025821</t>
  </si>
  <si>
    <t>Đèn LED chiếu sáng đường CSD02 120W.DA 5000K</t>
  </si>
  <si>
    <t>LED00026716</t>
  </si>
  <si>
    <t>Đèn LED chiếu sáng đường CSD03 70W 5000K</t>
  </si>
  <si>
    <t>LED00027875</t>
  </si>
  <si>
    <t>Đèn LED High Bay HB03 290/100W 6500K SS</t>
  </si>
  <si>
    <t>LED00027876</t>
  </si>
  <si>
    <t>Đèn LED High Bay HB03 390/200W 6500K SS</t>
  </si>
  <si>
    <t>LED00030347</t>
  </si>
  <si>
    <t>Đèn LED chiếu sáng đường CSD02 125W 4000K (ĐB)</t>
  </si>
  <si>
    <t>LED00032151</t>
  </si>
  <si>
    <t>Đèn LED 75W-C</t>
  </si>
  <si>
    <t>LED00033836</t>
  </si>
  <si>
    <t>Đèn LED Chiếu pha NLMT CP01SL 10W</t>
  </si>
  <si>
    <t>LED00039219</t>
  </si>
  <si>
    <t>Đèn LED Worklight MPL 1029 92W 4000K (Yankon)</t>
  </si>
  <si>
    <t>LED00039800</t>
  </si>
  <si>
    <t>Đèn LED chiếu sáng đường CSD03 100W.DA 5000K</t>
  </si>
  <si>
    <t>LED00041423</t>
  </si>
  <si>
    <t>Đèn LED Chiếu pha CP09 350W 5000K SS</t>
  </si>
  <si>
    <t>LED00043660</t>
  </si>
  <si>
    <t>Đèn LED chiếu sáng đường CSD08 80W 4000K</t>
  </si>
  <si>
    <t>LED00045472</t>
  </si>
  <si>
    <t>Đèn LED Chiếu pha CP06 30W 6500K SS-CT</t>
  </si>
  <si>
    <t>00000529</t>
  </si>
  <si>
    <t>Đèn HQ Compact CFH-H 5U-100W E27 6500K</t>
  </si>
  <si>
    <t>00000147</t>
  </si>
  <si>
    <t>Đèn HQ chống ẩm T8 H22 D LN CA/36Wx1</t>
  </si>
  <si>
    <t>LED00005685</t>
  </si>
  <si>
    <t>Balat điện từ 40W</t>
  </si>
  <si>
    <t>LED00005696</t>
  </si>
  <si>
    <t>Bộ đèn HQ T8-36W(ĐĐT-36W/01)SL</t>
  </si>
  <si>
    <t>LED00005703</t>
  </si>
  <si>
    <t>Bộ đèn HQ (BD T8 NANO M11/36Wx1)-865</t>
  </si>
  <si>
    <t>LED00005665</t>
  </si>
  <si>
    <t>SOCKET LAMP SR-125RN LED TL02.218/0,5W</t>
  </si>
  <si>
    <t>LED00023170</t>
  </si>
  <si>
    <t>Đèn LED Tracklight TRL04 25W 5000K SS</t>
  </si>
  <si>
    <t>LED00037571</t>
  </si>
  <si>
    <t>Đèn LED Khẩn cấp KC01 2W vàng-PCCC</t>
  </si>
  <si>
    <t>LED00037572</t>
  </si>
  <si>
    <t>Đèn LED Khẩn cấp KC05 3W vàng-PCCC</t>
  </si>
  <si>
    <t>LED00055734</t>
  </si>
  <si>
    <t>Đèn LED Tracklight TRL05 20W 3000K (trắng)</t>
  </si>
  <si>
    <t>LED00077043</t>
  </si>
  <si>
    <t>Đèn LED Tracklight TRL08 20W 4000K (Trắng)</t>
  </si>
  <si>
    <t>LED00081364</t>
  </si>
  <si>
    <t>Đèn LED Khẩn cấp KC06 10W trắng-PCCC</t>
  </si>
  <si>
    <t>LED00081370</t>
  </si>
  <si>
    <t>Đèn LED Khẩn cấp KC06 10W trắng-PCCC-CT</t>
  </si>
  <si>
    <t>00000058</t>
  </si>
  <si>
    <t>Đèn LED Câu mực CM01 50W 5000K</t>
  </si>
  <si>
    <t>00000069</t>
  </si>
  <si>
    <t>Đèn LED Chiếu mạn CM01 100W 6500K</t>
  </si>
  <si>
    <t>00000324</t>
  </si>
  <si>
    <t>Đèn LED NCM02 1200/10W 6500K</t>
  </si>
  <si>
    <t>00000412</t>
  </si>
  <si>
    <t>Đèn LED Thả chìm TC01 600W Green</t>
  </si>
  <si>
    <t>LED00042543</t>
  </si>
  <si>
    <t>Đèn LED Chiếu Boong CB02 50W 6500K</t>
  </si>
  <si>
    <t>LED00046024</t>
  </si>
  <si>
    <t>Đèn LED Đánh cá DC05 500W 4000K (SPD)</t>
  </si>
  <si>
    <t>LED00072139</t>
  </si>
  <si>
    <t>Đèn thu hút mực TC02 0.3W Green 500m</t>
  </si>
  <si>
    <t>LED00076857</t>
  </si>
  <si>
    <t>Đèn LED Đánh cá DC08 500W COB Blue (SPD Lens 90 độ)</t>
  </si>
  <si>
    <t>LED00081189</t>
  </si>
  <si>
    <t>Đèn LED Đánh cá DC08 700W GB/U-Bolt (SPD)</t>
  </si>
  <si>
    <t>LED00082855</t>
  </si>
  <si>
    <t>Đèn LED Đánh cá DC08 500W 3500K/U - Bolt (SPD)</t>
  </si>
  <si>
    <t>LED00017871</t>
  </si>
  <si>
    <t>Đèn LED Pin đội đầu PDD03 5W trắng</t>
  </si>
  <si>
    <t>LED00005629</t>
  </si>
  <si>
    <t>Bộ cần treo đèn tròn dài 0,4m</t>
  </si>
  <si>
    <t>LED00005636</t>
  </si>
  <si>
    <t>Bộ cần treo đèn vuông dài 0,7m</t>
  </si>
  <si>
    <t>LED00044786</t>
  </si>
  <si>
    <t>Bộ nối chữ thập ray tracklight RAY TRL01/NC+</t>
  </si>
  <si>
    <t>LED00050832</t>
  </si>
  <si>
    <t>Bộ công son-CT</t>
  </si>
  <si>
    <t>LED00065232</t>
  </si>
  <si>
    <t>Mặt công tắc ổ cắm âm tường MOC02.CN trùng tên</t>
  </si>
  <si>
    <t>00000283</t>
  </si>
  <si>
    <t>Bóng đèn LED MR16/5W E27 g.c 30o-Vàng E</t>
  </si>
  <si>
    <t>00000384</t>
  </si>
  <si>
    <t>Đèn cao áp NATRI (HPS-T250W/220) E40</t>
  </si>
  <si>
    <t>LED00038285</t>
  </si>
  <si>
    <t>Đèn bàn LED bảo vệ thị lực RD-RL-40 8W 6500K</t>
  </si>
  <si>
    <t>LED00045446</t>
  </si>
  <si>
    <t>Đèn bàn LED bảo vệ thị lực RD-RL-24.V2 5W 6500K-CT</t>
  </si>
  <si>
    <t>00000185</t>
  </si>
  <si>
    <t>Bộ đèn ốp trần 15W (CL 04 15 3U T3)</t>
  </si>
  <si>
    <t>00000310</t>
  </si>
  <si>
    <t>Bóng đèn CFL-4UT5 50W H8 E27 6500K</t>
  </si>
  <si>
    <t>00000373</t>
  </si>
  <si>
    <t>Đèn bàn bảo vệ thị lực RD-RL-12/11W 6500K</t>
  </si>
  <si>
    <t>00000454</t>
  </si>
  <si>
    <t>Đèn HQ Compact T3-3U 20W Galaxy E2700K</t>
  </si>
  <si>
    <t>00000456</t>
  </si>
  <si>
    <t>Bóng đèn CFL 3U T4 20W H8 E27 2700K MN</t>
  </si>
  <si>
    <t>00000527</t>
  </si>
  <si>
    <t>Bóng đèn CFL 4UT5 50W.S E40 6500K</t>
  </si>
  <si>
    <t>LED00005717</t>
  </si>
  <si>
    <t>Đèn Compact gắn tường D GT01/14W-vàng</t>
  </si>
  <si>
    <t>00000140</t>
  </si>
  <si>
    <t>Bộ đèn HQ T8-18W(ĐĐT-18W/01)</t>
  </si>
  <si>
    <t>00000341</t>
  </si>
  <si>
    <t>Đèn huỳnh quang 20W SL</t>
  </si>
  <si>
    <t>LED00017867</t>
  </si>
  <si>
    <t>Đèn LED Khẩn cấp KC04 6W trắng</t>
  </si>
  <si>
    <t>LED00036254</t>
  </si>
  <si>
    <t>Đèn LED Khẩn cấp KC01 2W.DA trắng</t>
  </si>
  <si>
    <t>00000072</t>
  </si>
  <si>
    <t>Đèn LED Đánh cá DC04 400W NA 4000K</t>
  </si>
  <si>
    <t>00000075</t>
  </si>
  <si>
    <t>Đèn LED NCM01 1200/18W 3000K</t>
  </si>
  <si>
    <t>LED00046324</t>
  </si>
  <si>
    <t>Bóng đèn chuyên dụng LED.TL-T60 WRF/9W IP65-CT</t>
  </si>
  <si>
    <t>LED00050859</t>
  </si>
  <si>
    <t>Đèn LED Đánh cá DC04 300W 5000K-CT</t>
  </si>
  <si>
    <t>LED00066116</t>
  </si>
  <si>
    <t>Đèn LED Đánh cá DC08 500W 4000K/U - Bolt ( SPD)</t>
  </si>
  <si>
    <t>LED00036196</t>
  </si>
  <si>
    <t>LED BULB(LEDA70N1/12W)E27-á/strắng LED SS-CTT</t>
  </si>
  <si>
    <t>LED00037407</t>
  </si>
  <si>
    <t>Bóng đèn(LEDA60N3/7W)E27-á/s vàng(LED SS)-CT</t>
  </si>
  <si>
    <t>LED00041291</t>
  </si>
  <si>
    <t>Bóng LED Bulb TR100/20W.EV E27 6500K SS</t>
  </si>
  <si>
    <t>LED00046964</t>
  </si>
  <si>
    <t>Bóng LED Bulb A65N/9W B22 12000K (XK)</t>
  </si>
  <si>
    <t>LED00047607</t>
  </si>
  <si>
    <t>Bóng LED Bulb A120N1/30W E27 3000K SS-CTT</t>
  </si>
  <si>
    <t>LED00047992</t>
  </si>
  <si>
    <t>Bóng LED Bulb A55N4/5W E27 6500K-TC</t>
  </si>
  <si>
    <t>LED00047993</t>
  </si>
  <si>
    <t>Bóng LED Bulb A60N3/7W E27 6500K SS-TC</t>
  </si>
  <si>
    <t>LED00048004</t>
  </si>
  <si>
    <t>Bóng LED Bulb TR100N1/30W E27 6500K SS-TC</t>
  </si>
  <si>
    <t>LED00049344</t>
  </si>
  <si>
    <t>Bóng LED Bulb A65N1/12W E26 6500K (XK-SSC)</t>
  </si>
  <si>
    <t>LED00056214</t>
  </si>
  <si>
    <t>Bóng LED Bulb A80N1/15W E27 3000K SS-CT</t>
  </si>
  <si>
    <t>LED00062039</t>
  </si>
  <si>
    <t>Đèn LED trồng cây TR140N1/50W WR</t>
  </si>
  <si>
    <t>LED00070137</t>
  </si>
  <si>
    <t>Bóng LED Bulb TR70N2/12W B22 12000K SS (XK)</t>
  </si>
  <si>
    <t>LED00070138</t>
  </si>
  <si>
    <t>Bóng LED Bulb TR70N2/12W E27 12000K SS (XK)</t>
  </si>
  <si>
    <t>LED00005399</t>
  </si>
  <si>
    <t>Đèn LED chiếu sáng đường CSD02 70W 5000K</t>
  </si>
  <si>
    <t>LED00011751</t>
  </si>
  <si>
    <t>Đèn LED chiếu sáng đường CSD02 30W 5000K</t>
  </si>
  <si>
    <t>LED00014319</t>
  </si>
  <si>
    <t>Đèn LED Highbay HB02 430/120W 3000K SS</t>
  </si>
  <si>
    <t>LED00014351</t>
  </si>
  <si>
    <t>Đèn LED chiếu pha CP02 20W 3000K</t>
  </si>
  <si>
    <t>LED00014352</t>
  </si>
  <si>
    <t>Đèn LED chiếu pha CP02 20W 6500K</t>
  </si>
  <si>
    <t>LED00021435</t>
  </si>
  <si>
    <t>Đèn LED chiếu sáng đường CSD02 70W 4000K</t>
  </si>
  <si>
    <t>LED00023934</t>
  </si>
  <si>
    <t>Đèn LED chiếu sáng đường CSD06 100W 4000K</t>
  </si>
  <si>
    <t>LED00024361</t>
  </si>
  <si>
    <t>Đèn LED chiếu pha CP04 100W 5000K SS</t>
  </si>
  <si>
    <t>LED00025157</t>
  </si>
  <si>
    <t>Đèn LED chiếu sáng đường CSD04 150W 4000K</t>
  </si>
  <si>
    <t>LED00025812</t>
  </si>
  <si>
    <t>Đèn LED chiếu sáng đường CSD02 40W 5000K</t>
  </si>
  <si>
    <t>LED00035840</t>
  </si>
  <si>
    <t>Đèn LED chiếu sáng đường CSD04 110W 5000K</t>
  </si>
  <si>
    <t>LED00036128</t>
  </si>
  <si>
    <t>Đèn LED chiếu sáng đường NLMT CSD01SL 70W</t>
  </si>
  <si>
    <t>LED00081383</t>
  </si>
  <si>
    <t>Đèn bàn LED bảo vệ thị lực RD-RL-01.V2 6W 6500K</t>
  </si>
  <si>
    <t>00000366</t>
  </si>
  <si>
    <t>Bóng đèn CFL 3UT4 15W IP65 NN1 E27</t>
  </si>
  <si>
    <t>00000392</t>
  </si>
  <si>
    <t>Bóng đèn CFL 3UT4 20W IP65 E27 TL1</t>
  </si>
  <si>
    <t>00000408</t>
  </si>
  <si>
    <t>Bóng đèn CFL 3UT4 23W IP65 NN1 E27</t>
  </si>
  <si>
    <t>00000433</t>
  </si>
  <si>
    <t>Đèn CFL-S T3 20W Galaxy E27 6500K</t>
  </si>
  <si>
    <t>00000437</t>
  </si>
  <si>
    <t>Bóng đèn CFL ST4 26W H8 E27 6500K</t>
  </si>
  <si>
    <t>00000452</t>
  </si>
  <si>
    <t>Đèn HQ Compact CFL-HST5 50W E40 6500K</t>
  </si>
  <si>
    <t>00000453</t>
  </si>
  <si>
    <t>Đèn HQ Compact CFH-H 4U-65W E27 6500K</t>
  </si>
  <si>
    <t>00000476</t>
  </si>
  <si>
    <t>Đèn bàn bảo vệ thị lực RD-RL 04 6500K</t>
  </si>
  <si>
    <t>00000491</t>
  </si>
  <si>
    <t>Đèn CFL-ST3 14W galaxy H8 B22 6500K</t>
  </si>
  <si>
    <t>00000109</t>
  </si>
  <si>
    <t>Đèn huỳnh quangT8-18W GALAXY(S)DL</t>
  </si>
  <si>
    <t>00000124</t>
  </si>
  <si>
    <t>Đèn huỳnh quang T8-36W-RED</t>
  </si>
  <si>
    <t>00000212</t>
  </si>
  <si>
    <t>Đèn huỳnh quang FL T8-36W NN-30</t>
  </si>
  <si>
    <t>LED00050829</t>
  </si>
  <si>
    <t>Balát điện tử (EBS.1-A40/36-FL)-220V-CT</t>
  </si>
  <si>
    <t>LED00049425</t>
  </si>
  <si>
    <t>Đèn LED Tracklight TRL05 10W 5000K</t>
  </si>
  <si>
    <t>LED00052937</t>
  </si>
  <si>
    <t>Đèn LED Tracklight TRL05 10W 5000K (trắng)</t>
  </si>
  <si>
    <t>LED00067266</t>
  </si>
  <si>
    <t>Đèn LED Khẩn cấp KC04 6W trắng-CT</t>
  </si>
  <si>
    <t>LED00068488</t>
  </si>
  <si>
    <t>Đèn LED Tracklight TRL05 20W 3000K (trắng)-CT</t>
  </si>
  <si>
    <t>LED00077000</t>
  </si>
  <si>
    <t>Đèn LED Tracklight TRL08 30W 6500K (Trắng)</t>
  </si>
  <si>
    <t>LED00077006</t>
  </si>
  <si>
    <t>Đèn LED Tracklight TRL08 20W 3000K (Trắng)</t>
  </si>
  <si>
    <t>LED00077007</t>
  </si>
  <si>
    <t>Đèn LED Tracklight TRL08 15W 3000K (Đen)</t>
  </si>
  <si>
    <t>00000044</t>
  </si>
  <si>
    <t>Đèn LED Đánh cá DC04 200W 5000K</t>
  </si>
  <si>
    <t>00000060</t>
  </si>
  <si>
    <t>Đèn LED Câu mực CM01 50W 6500K</t>
  </si>
  <si>
    <t>00000062</t>
  </si>
  <si>
    <t>Đèn LED Bè B04 150W 5000K</t>
  </si>
  <si>
    <t>00000078</t>
  </si>
  <si>
    <t>Đèn LED NCM02 1200/16W 6500K</t>
  </si>
  <si>
    <t>00000080</t>
  </si>
  <si>
    <t>Đèn LED NCM02 1200/16W 3000K</t>
  </si>
  <si>
    <t>LED00039845</t>
  </si>
  <si>
    <t>Đèn LED Đánh cá DC04 200W  4000K</t>
  </si>
  <si>
    <t>LED00048937</t>
  </si>
  <si>
    <t>Đèn LED Bio LED BO 1200/25W BU</t>
  </si>
  <si>
    <t>LED00064428</t>
  </si>
  <si>
    <t>Đèn LED Đánh cá DC08 500W 6500K (SPD)</t>
  </si>
  <si>
    <t>LED00069080</t>
  </si>
  <si>
    <t>Đèn LED Đánh cá DC08 700W 6500K (SPD)</t>
  </si>
  <si>
    <t>LED00070949</t>
  </si>
  <si>
    <t>Đèn LED Đánh cá DC08 700W 6500K/U - Bolt (SPD)</t>
  </si>
  <si>
    <t>LED00082694</t>
  </si>
  <si>
    <t>Đèn LED Đánh cá DC09 700W 4000K/U - Bolt (SPD)</t>
  </si>
  <si>
    <t>LED00084132</t>
  </si>
  <si>
    <t>Đèn LED Đánh cá DC08 700W Cyan/U-Bolt (SPD)</t>
  </si>
  <si>
    <t>LED00001559</t>
  </si>
  <si>
    <t>Bóng LED Bulb TR100N1/30W E27-6500K (Hayne) SS</t>
  </si>
  <si>
    <t>LED00005137</t>
  </si>
  <si>
    <t>Bóng LED Bulb A55N3/5W E27 3000K</t>
  </si>
  <si>
    <t>LED00005148</t>
  </si>
  <si>
    <t>Bóng đèn LED (LED A60 7W)E27-á/s vàng</t>
  </si>
  <si>
    <t>LED00005154</t>
  </si>
  <si>
    <t>Bóng LED Bulb A65N2/9W E27 3000K SS</t>
  </si>
  <si>
    <t>LED00005208</t>
  </si>
  <si>
    <t>Bóng LED Bulb A60N3/7W E27 6500K SS</t>
  </si>
  <si>
    <t>LED00012320</t>
  </si>
  <si>
    <t>Bóng LED Bulb TR50N1/8W E27 6500K SS</t>
  </si>
  <si>
    <t>LED00012950</t>
  </si>
  <si>
    <t>Bóng LED Bulb TR80N1/20W E27 3000K SS</t>
  </si>
  <si>
    <t>LED00036209</t>
  </si>
  <si>
    <t>LED BULB (LED A45N1/3W)E27-6500K S-CTT</t>
  </si>
  <si>
    <t>LED00038115</t>
  </si>
  <si>
    <t>Bóng LED Bulb TR80N1/20W E27 6500K SS (XK)</t>
  </si>
  <si>
    <t>LED00038875</t>
  </si>
  <si>
    <t>Bóng LED Bulb TR70N2/12W E27 3000K SS</t>
  </si>
  <si>
    <t>LED00039086</t>
  </si>
  <si>
    <t>Đèn LED trồng cây LED TC-T135/50W WBU-220V</t>
  </si>
  <si>
    <t>LED00040474</t>
  </si>
  <si>
    <t>Bóng LED Bulb A45N1/3W E27 12000K (12VDC)</t>
  </si>
  <si>
    <t>LED00046931</t>
  </si>
  <si>
    <t>Bóng LED Bulb A60N1/9W.H E27 4000K</t>
  </si>
  <si>
    <t>LED00047996</t>
  </si>
  <si>
    <t>Bóng LED BULB A60N1/9W E27 3000K SS-TC</t>
  </si>
  <si>
    <t>LED00048015</t>
  </si>
  <si>
    <t>Bóng LED Bulb A120N1/30W E27 6500K SS-TC</t>
  </si>
  <si>
    <t>LED00062040</t>
  </si>
  <si>
    <t>Đèn LED trồng cây TR140N1/50W WBU</t>
  </si>
  <si>
    <t>LED00005357</t>
  </si>
  <si>
    <t>Đèn LED chiếu pha CP02 30W 6500K</t>
  </si>
  <si>
    <t>LED00046321</t>
  </si>
  <si>
    <t>Bóng LED Bulb TR100N1/30W E27 6500K SS-CT</t>
  </si>
  <si>
    <t>LED00047620</t>
  </si>
  <si>
    <t>Bóng LED Bulb TR120N1/40W E27 6500K SS-CTT</t>
  </si>
  <si>
    <t>LED00047632</t>
  </si>
  <si>
    <t>Bóng LED Bulb A60N1/9W E27 6500K SS-CTT</t>
  </si>
  <si>
    <t>LED00047634</t>
  </si>
  <si>
    <t>Bóng LED Bulb TR60N2/10W E27 6500K SS-CTT</t>
  </si>
  <si>
    <t>LED00047991</t>
  </si>
  <si>
    <t>Bóng LED Bulb A45N1/3W E27 3000K-TC</t>
  </si>
  <si>
    <t>LED00047994</t>
  </si>
  <si>
    <t>Bóng LED Bulb A60N3/7W E27 3000K SS-TC</t>
  </si>
  <si>
    <t>LED00051238</t>
  </si>
  <si>
    <t>Bóng LED Bulb A60N3/6W E27 6500K</t>
  </si>
  <si>
    <t>LED00054471</t>
  </si>
  <si>
    <t>Bóng LED Bulb A60N3/7W.H E27 3000K</t>
  </si>
  <si>
    <t>LED00005381</t>
  </si>
  <si>
    <t>Đèn LED Highbay HB01 410/50W 5000K</t>
  </si>
  <si>
    <t>LED00005398</t>
  </si>
  <si>
    <t>Đèn LED Highbay HB02 430/100W 6500K SS</t>
  </si>
  <si>
    <t>LED00005404</t>
  </si>
  <si>
    <t>Đèn LED chiếu sáng đường CSD04 30W 6500K (12VDC)</t>
  </si>
  <si>
    <t>LED00005720</t>
  </si>
  <si>
    <t>Đèn LED Lowbay LB01 10W 6500K SS</t>
  </si>
  <si>
    <t>LED00005728</t>
  </si>
  <si>
    <t>Đèn LED chiếu sáng đường  CSD02 90W 5000K</t>
  </si>
  <si>
    <t>LED00011729</t>
  </si>
  <si>
    <t>Đèn LED Highbay HB02 430/150W 3000K SS</t>
  </si>
  <si>
    <t>LED00016911</t>
  </si>
  <si>
    <t>Đèn LED Chiếu pha CP03 200W 6500K SS</t>
  </si>
  <si>
    <t>LED00023890</t>
  </si>
  <si>
    <t>Đèn LED Chiếu pha CP06 150W 5000K SS</t>
  </si>
  <si>
    <t>LED00024353</t>
  </si>
  <si>
    <t>Đèn LED Highbay HB02 350/70W 3000K SS</t>
  </si>
  <si>
    <t>LED00025154</t>
  </si>
  <si>
    <t>Đèn LED chiếu sáng đường CSD05 75W 5000K</t>
  </si>
  <si>
    <t>LED00025824</t>
  </si>
  <si>
    <t>Đèn LED chiếu sáng đường CSD02 200W 5000K (HY)</t>
  </si>
  <si>
    <t>LED00029758</t>
  </si>
  <si>
    <t>Đèn LED chiếu sáng đường CSD06 120W 5000K</t>
  </si>
  <si>
    <t>LED00033837</t>
  </si>
  <si>
    <t>Đèn LED Chiếu pha NLMT CP01SL 40W</t>
  </si>
  <si>
    <t>LED00033862</t>
  </si>
  <si>
    <t>Đèn LED Chiếu pha CP06 30W 8000K SS</t>
  </si>
  <si>
    <t>LED00034020</t>
  </si>
  <si>
    <t>Đèn LED High bay HB04 330/150W NN</t>
  </si>
  <si>
    <t>LED00035028</t>
  </si>
  <si>
    <t>Đèn LED Chiếu pha CP04 200W 4000K (BT)</t>
  </si>
  <si>
    <t>LED00038738</t>
  </si>
  <si>
    <t>Đèn LED chiếu pha CP04 315W 5000K SS</t>
  </si>
  <si>
    <t>LED00016211</t>
  </si>
  <si>
    <t>Bóng LED Bulb TR80NĐ1/30W E27 6500K SS</t>
  </si>
  <si>
    <t>LED00016592</t>
  </si>
  <si>
    <t>Bóng LED Bulb TR100NĐ1/40W E27 6500K SS</t>
  </si>
  <si>
    <t>LED00020144</t>
  </si>
  <si>
    <t>Bóng LED Bulb TR80NĐ2/20W E27 6500K SS</t>
  </si>
  <si>
    <t>LED00036215</t>
  </si>
  <si>
    <t>Bóng đèn(LEDA60N3/7W)E27-á/s trắng(LED SS)-CTT</t>
  </si>
  <si>
    <t>LED00037415</t>
  </si>
  <si>
    <t>Led Bulb(LED A80N1/15W)E27 6500K(LED SS)-CT</t>
  </si>
  <si>
    <t>LED00037420</t>
  </si>
  <si>
    <t>LED BULB(LED TR120N1/40W) E27-6500K SS-CT</t>
  </si>
  <si>
    <t>LED00037561</t>
  </si>
  <si>
    <t>Bóng LED Bulb Sunlike A60/6W E26 2700K(SSC)</t>
  </si>
  <si>
    <t>LED00045468</t>
  </si>
  <si>
    <t>Bóng LED Bulb TR100NĐ2/30W E27 6500K SS-CT</t>
  </si>
  <si>
    <t>LED00046304</t>
  </si>
  <si>
    <t>Bóng LED Bulb A55N4/5W E27 3000K-CT</t>
  </si>
  <si>
    <t>LED00047613</t>
  </si>
  <si>
    <t>Bóng LED Bulb A80N1/15W E27 6500K SS-CTT</t>
  </si>
  <si>
    <t>LED00050845</t>
  </si>
  <si>
    <t>Bóng LED Bulb TR70N2/12W E27 6500K SS-CT</t>
  </si>
  <si>
    <t>LED00050848</t>
  </si>
  <si>
    <t>Bóng LED Bulb TR135NĐ1/60W E27 6500K SS-CT</t>
  </si>
  <si>
    <t>LED00058249</t>
  </si>
  <si>
    <t>Bóng LED bulb TR100N1/30W.DC 6500K (12-24VDC E27)</t>
  </si>
  <si>
    <t>LED00058788</t>
  </si>
  <si>
    <t>Bóng LED Bulb A60N1/9W.H E27 6500K-TC</t>
  </si>
  <si>
    <t>LED00061471</t>
  </si>
  <si>
    <t>Bóng LED Bulb TR120N1/45W E27 3000K (Lioa)</t>
  </si>
  <si>
    <t>LED00061657</t>
  </si>
  <si>
    <t>Bóng LED Bulb TR120N1/40W E27 3000K SS-CT</t>
  </si>
  <si>
    <t>LED00067249</t>
  </si>
  <si>
    <t>Bóng LED Bulb TR100N1/30W E27 3000K SS-CT</t>
  </si>
  <si>
    <t>LED00077118</t>
  </si>
  <si>
    <t>Bóng LED Bulb TR100N1/30W B22 12000K (XK)</t>
  </si>
  <si>
    <t>LED00005373</t>
  </si>
  <si>
    <t>Outdoor Led GL 100W- 6500K</t>
  </si>
  <si>
    <t>LED00005405</t>
  </si>
  <si>
    <t>Đèn LED chiếu sáng đường CSD04 200W 5000K (HN)</t>
  </si>
  <si>
    <t>LED00006444</t>
  </si>
  <si>
    <t>Đèn LED chiếu sáng đường CSD02 70W 5000K (24VDC)</t>
  </si>
  <si>
    <t>LED00012842</t>
  </si>
  <si>
    <t>Đèn LED Highbay HB02 350/70W 6500K SS</t>
  </si>
  <si>
    <t>LED00023148</t>
  </si>
  <si>
    <t>Đèn LED Chiếu pha CP06 70W 5000K SS</t>
  </si>
  <si>
    <t>LED00026598</t>
  </si>
  <si>
    <t>Đèn LED chiếu sáng đường CSD03 90W 5000K</t>
  </si>
  <si>
    <t>LED00031170</t>
  </si>
  <si>
    <t>Đèn LED chiếu sáng đường CSD04 180W 4000K</t>
  </si>
  <si>
    <t>LED00062725</t>
  </si>
  <si>
    <t>Bóng LED Bulb A60/7W DIM.G E27 6500K</t>
  </si>
  <si>
    <t>LED00067250</t>
  </si>
  <si>
    <t>Bóng LED Bulb TR160N1/60W E27 6500K-CT</t>
  </si>
  <si>
    <t>LED00067251</t>
  </si>
  <si>
    <t>Bóng LED Bulb TR60N2/12W E27 6500K SS-CT</t>
  </si>
  <si>
    <t>LED00068491</t>
  </si>
  <si>
    <t>Bóng LED Bulb trang trí A45Y/1W (Yellow)-CT</t>
  </si>
  <si>
    <t>LED00072353</t>
  </si>
  <si>
    <t>Bóng LED Bulb TR80N1/20W E27 6500K</t>
  </si>
  <si>
    <t>LED00073660</t>
  </si>
  <si>
    <t>Bóng LED Bulb A120N1/30W E27 6500K</t>
  </si>
  <si>
    <t>LED00081143</t>
  </si>
  <si>
    <t>Bóng LED Bulb trang trí A45Y/1W (Red)</t>
  </si>
  <si>
    <t>00000303</t>
  </si>
  <si>
    <t>Outdoor LED RD 50w - 5000K</t>
  </si>
  <si>
    <t>LED00005396</t>
  </si>
  <si>
    <t>Đèn LED Highbay HB02 430/120W 6500K SS</t>
  </si>
  <si>
    <t>LED00005403</t>
  </si>
  <si>
    <t>Đèn LED chiếu sáng đường CSD02 150W 5000K</t>
  </si>
  <si>
    <t>LED00005722</t>
  </si>
  <si>
    <t>Đèn LED Lowbay LB01 30W 6500K SS</t>
  </si>
  <si>
    <t>LED00033399</t>
  </si>
  <si>
    <t>Đèn led pha 400W</t>
  </si>
  <si>
    <t>LED00033860</t>
  </si>
  <si>
    <t>Đèn LED Chiếu pha CP06 50W 8000K SS</t>
  </si>
  <si>
    <t>LED00036130</t>
  </si>
  <si>
    <t>Đèn LED Chiếu pha NLMT CP01SL 90W</t>
  </si>
  <si>
    <t>LED00036327</t>
  </si>
  <si>
    <t>Đèn LED chiếu sáng đường NLMT CSD01SL 30W KPK</t>
  </si>
  <si>
    <t>LED00036793</t>
  </si>
  <si>
    <t>Đèn LED chiếu sáng đường CSD06 60W 4000K</t>
  </si>
  <si>
    <t>LED00039372</t>
  </si>
  <si>
    <t>Đèn LED Chiếu pha CP06 70W 12000K</t>
  </si>
  <si>
    <t>LED00041563</t>
  </si>
  <si>
    <t>Đèn LED Highbay HB03 290/100W.DA 6500K SS</t>
  </si>
  <si>
    <t>LED00042233</t>
  </si>
  <si>
    <t>Đèn LED Chiếu pha CP07 10W 3000K.DA (góc 3 độ)</t>
  </si>
  <si>
    <t>LED00042926</t>
  </si>
  <si>
    <t>Đèn LED chiếu pha CP07 150W 5000K (60 độ)</t>
  </si>
  <si>
    <t>LED00042951</t>
  </si>
  <si>
    <t>Đèn LED chiếu pha CP07 150W 4000K (90 độ)</t>
  </si>
  <si>
    <t>LED00043952</t>
  </si>
  <si>
    <t>Đèn LED chiếu sáng đường CSD08 160W 5000K</t>
  </si>
  <si>
    <t>LED00044689</t>
  </si>
  <si>
    <t>Đèn LED chiếu sáng đường CSD05 100W 5000K (2M)</t>
  </si>
  <si>
    <t>LED00048338</t>
  </si>
  <si>
    <t>Đèn LED âm nước AN02 24W.QT 10D 3000K (IP68)</t>
  </si>
  <si>
    <t>LED00048342</t>
  </si>
  <si>
    <t>Đèn LED chiếu pha CPT01 9W.QT 10D 3000K (IP65)</t>
  </si>
  <si>
    <t>LED00025810</t>
  </si>
  <si>
    <t>Đèn LED chiếu sáng đường CSD04 120W 4000K</t>
  </si>
  <si>
    <t>LED00025820</t>
  </si>
  <si>
    <t>Đèn LED chiếu sáng đường CSD02 120W.DA 4000K</t>
  </si>
  <si>
    <t>LED00030578</t>
  </si>
  <si>
    <t>Đèn LED chiếu sáng đường CSD02 125W 4000K (NL)</t>
  </si>
  <si>
    <t>LED00032150</t>
  </si>
  <si>
    <t>Đèn LED 150W-I</t>
  </si>
  <si>
    <t>LED00035325</t>
  </si>
  <si>
    <t>Đèn LED Chiếu sáng đường CSD02 40W 5000K (VỎ 70W)</t>
  </si>
  <si>
    <t>LED00037305</t>
  </si>
  <si>
    <t>Đèn LED chiếu pha CP04 300W 5000K SS</t>
  </si>
  <si>
    <t>LED00037824</t>
  </si>
  <si>
    <t>Đèn LED chiếu sáng đường CSD06 120W 5300K</t>
  </si>
  <si>
    <t>LED00038677</t>
  </si>
  <si>
    <t>Đèn LED chiếu sáng đường CSD05 150W 3000K</t>
  </si>
  <si>
    <t>LED00038823</t>
  </si>
  <si>
    <t>Đèn LED chiếu sáng đường NLMT CSD02.SL 70W</t>
  </si>
  <si>
    <t>LED00039370</t>
  </si>
  <si>
    <t>Đèn LED Chiếu pha CP06 30W 12000K</t>
  </si>
  <si>
    <t>LED00040559</t>
  </si>
  <si>
    <t>Đèn LED UFO330 150W - WB</t>
  </si>
  <si>
    <t>LED00041284</t>
  </si>
  <si>
    <t>Đèn LED chiếu sáng đường NLMT CSD01.SL 30W.EV</t>
  </si>
  <si>
    <t>LED00042039</t>
  </si>
  <si>
    <t>Đèn LED Highbay HB02 350/70W.DA 6500K SS</t>
  </si>
  <si>
    <t>LED00042252</t>
  </si>
  <si>
    <t>Đèn LED High Bay HB03 390/250W 6500K</t>
  </si>
  <si>
    <t>LED00044164</t>
  </si>
  <si>
    <t>Đèn LED chiếu sáng đường CSD03 40W 5000K</t>
  </si>
  <si>
    <t>LED00044680</t>
  </si>
  <si>
    <t>Đèn LED Linear Highbay GDXL1034 2FT/130W 5000K</t>
  </si>
  <si>
    <t>LED00044681</t>
  </si>
  <si>
    <t>Đèn LED Linear Highbay GDXL1034 2FT/180W 5000K</t>
  </si>
  <si>
    <t>LED00045248</t>
  </si>
  <si>
    <t>Đèn LED Worklight MPL 1060 12W 5000K (Yankon)</t>
  </si>
  <si>
    <t>LED00045752</t>
  </si>
  <si>
    <t>Đèn LED chiếu sáng đường NLMT CSD01.SL.RF 25W</t>
  </si>
  <si>
    <t>LED00047598</t>
  </si>
  <si>
    <t>Đèn LED chiếu pha CP07 400W 5000K (90 độ)</t>
  </si>
  <si>
    <t>LED00047631</t>
  </si>
  <si>
    <t>Đèn LED chiếu pha CP09 50W.QT 90D RED (IP66)</t>
  </si>
  <si>
    <t>LED00047636</t>
  </si>
  <si>
    <t>Đèn LED chiếu pha CP09 70W.QT 90D 4000K (IP66)</t>
  </si>
  <si>
    <t>LED00048167</t>
  </si>
  <si>
    <t>Đèn LED Highbay HBM02 100W.PLUS 5000K (60 độ)</t>
  </si>
  <si>
    <t>LED00048193</t>
  </si>
  <si>
    <t>Đèn LED Highbay HB03 390/200W.PLUS 6500K SS</t>
  </si>
  <si>
    <t>LED00077069</t>
  </si>
  <si>
    <t>Bộ phụ kiện đèn LED HB05 (XK)</t>
  </si>
  <si>
    <t>00000260</t>
  </si>
  <si>
    <t>Chao PQ đ.compact âmtrần CFC190</t>
  </si>
  <si>
    <t>00000519</t>
  </si>
  <si>
    <t>Chao trần,đôi,0.6m sơn tĩnh điện</t>
  </si>
  <si>
    <t>LED00005598</t>
  </si>
  <si>
    <t>Chao (choá) Inox 1,2m đôi,trần</t>
  </si>
  <si>
    <t>LED00005600</t>
  </si>
  <si>
    <t>Chao (choá) Inox 0.6m đơn,tường</t>
  </si>
  <si>
    <t>LED00005614</t>
  </si>
  <si>
    <t>Chao đèn Downlight âm trần CFC 120M</t>
  </si>
  <si>
    <t>LED00056234</t>
  </si>
  <si>
    <t>Chao (choá) Inox 1,2m đôi,trần-CT</t>
  </si>
  <si>
    <t>LED00017652</t>
  </si>
  <si>
    <t>Đèn bàn LED bảo vệ thị lực RD-RL-28 5W 6500K</t>
  </si>
  <si>
    <t>LED00038679</t>
  </si>
  <si>
    <t>Đèn bàn LED bảo vệ thị lực RD-RL-27.V2 5W 6500K</t>
  </si>
  <si>
    <t>LED00059300</t>
  </si>
  <si>
    <t>Đèn bàn LED MTSL1010 (YK)</t>
  </si>
  <si>
    <t>00000184</t>
  </si>
  <si>
    <t>Đèn bàn bảo vệ thị lực RD-RL-01 2700K</t>
  </si>
  <si>
    <t>00000427</t>
  </si>
  <si>
    <t>Đèn bàn bảo vệ thị lực RD-RL-05 6500K</t>
  </si>
  <si>
    <t>00000431</t>
  </si>
  <si>
    <t>Bóng đèn CFL 2U T4 11W H8 E27 6500K MN</t>
  </si>
  <si>
    <t>00000470</t>
  </si>
  <si>
    <t>Đèn bàn bảo vệ thị lực RD-RL 02 6500K</t>
  </si>
  <si>
    <t>00000493</t>
  </si>
  <si>
    <t>Đèn CFL-S T3 11W Galaxy E27 6500K</t>
  </si>
  <si>
    <t>LED00040514</t>
  </si>
  <si>
    <t>Đèn LED Tracklight TRL05 20W 4000K (đen)</t>
  </si>
  <si>
    <t>LED00077041</t>
  </si>
  <si>
    <t>Đèn LED Tracklight TRL08 30W 4000K (Trắng)</t>
  </si>
  <si>
    <t>00000039</t>
  </si>
  <si>
    <t>Đèn LED Chiếu Boong CB02 100W 5000K</t>
  </si>
  <si>
    <t>00000328</t>
  </si>
  <si>
    <t>Đèn LED Đánh cá DC04 200W 4000K</t>
  </si>
  <si>
    <t>LED00054169</t>
  </si>
  <si>
    <t>Đèn LED câu mực CM01 50W.V2 6500K</t>
  </si>
  <si>
    <t>LED00061149</t>
  </si>
  <si>
    <t>Đèn LED Đánh cá DC08 500W 5000K (SPD)</t>
  </si>
  <si>
    <t>LED00064670</t>
  </si>
  <si>
    <t>Đèn LED Đánh cá DC08 500W 3000K (SPD)</t>
  </si>
  <si>
    <t>LED00066117</t>
  </si>
  <si>
    <t>Đèn LED Đánh cá DC08 500W 5000K/U - Bolt ( SPD)</t>
  </si>
  <si>
    <t>LED00070178</t>
  </si>
  <si>
    <t>Đèn LED Đánh cá DC08 500W COB 4000K (SPD Lens 35 độ)</t>
  </si>
  <si>
    <t>LED00074439</t>
  </si>
  <si>
    <t>Đèn LED Đánh cá DC08 700W COB 4000K/U-Bolt(SPD Lens 90 độ)</t>
  </si>
  <si>
    <t>LED00046930</t>
  </si>
  <si>
    <t>Bóng LED Bulb A60N3/7W.H E27 4000K</t>
  </si>
  <si>
    <t>LED00046963</t>
  </si>
  <si>
    <t>Bóng LED Bulb A65N/9W E27 12000K (XK)</t>
  </si>
  <si>
    <t>LED00047602</t>
  </si>
  <si>
    <t>Bóng LED Bulb A70N1/12W E27 6500K SS-CTT</t>
  </si>
  <si>
    <t>LED00047622</t>
  </si>
  <si>
    <t>Bóng LED Bulb A45N1/3W E27 6500K-CTT</t>
  </si>
  <si>
    <t>LED00047629</t>
  </si>
  <si>
    <t>Bóng LED Bulb A60N3/7W E27 6500K SS-CTT</t>
  </si>
  <si>
    <t>LED00047999</t>
  </si>
  <si>
    <t>Bóng LED Bulb A70N1/12W E27 6500K SS-TC</t>
  </si>
  <si>
    <t>LED00048005</t>
  </si>
  <si>
    <t>Bóng LED Bulb TR100N1/30W E27 3000K SS-TC</t>
  </si>
  <si>
    <t>LED00050846</t>
  </si>
  <si>
    <t>Bóng LED Bulb A95N1/20W E27 6500K SS-CT</t>
  </si>
  <si>
    <t>LED00055384</t>
  </si>
  <si>
    <t>Bóng LED Bulb TR160N1/60W E27 6500K</t>
  </si>
  <si>
    <t>LED00057766</t>
  </si>
  <si>
    <t>Bóng LED Bulb TR100N1/30W B22 3000K SS (XK)</t>
  </si>
  <si>
    <t>LED00058251</t>
  </si>
  <si>
    <t>Bóng LED bulb TR80N1/20W.DC 6500K (12-24VDC Kẹp)</t>
  </si>
  <si>
    <t>LED00075178</t>
  </si>
  <si>
    <t>Bóng LED Bulb TR100N1/30W E27 6500K-CT</t>
  </si>
  <si>
    <t>LED00081144</t>
  </si>
  <si>
    <t>Bóng LED Bulb trang trí A45Y/1W (White)</t>
  </si>
  <si>
    <t>LED00081145</t>
  </si>
  <si>
    <t>Bóng LED Bulb trang trí A45Y/1W (Green)</t>
  </si>
  <si>
    <t>LED00005364</t>
  </si>
  <si>
    <t>Đèn LED chiếu pha CP02 150W 5000K</t>
  </si>
  <si>
    <t>LED00005378</t>
  </si>
  <si>
    <t>Đèn LED Chiếu pha CP03 50W 6500K SS</t>
  </si>
  <si>
    <t>LED00011867</t>
  </si>
  <si>
    <t>Đèn LED Chiếu pha CP03 150W 3000K SS</t>
  </si>
  <si>
    <t>LED00014318</t>
  </si>
  <si>
    <t>Đèn LED Highbay HB02 430/100W 3000K SS</t>
  </si>
  <si>
    <t>LED00014391</t>
  </si>
  <si>
    <t>Đèn LED Highbay HB02 500/200W 6500K SS</t>
  </si>
  <si>
    <t>LED00016217</t>
  </si>
  <si>
    <t>Đèn LED chiếu pha CP05 30W 3000K SS</t>
  </si>
  <si>
    <t>LED00017657</t>
  </si>
  <si>
    <t>Đèn LED Highbay HB03 230/100W.DA 6500K SS</t>
  </si>
  <si>
    <t>LED00017659</t>
  </si>
  <si>
    <t>Đèn LED Highbay HB03 310/150W.DA 6500K SS</t>
  </si>
  <si>
    <t>LED00021436</t>
  </si>
  <si>
    <t>Đèn LED chiếu sáng đường CSD02 100W.DA 4000K</t>
  </si>
  <si>
    <t>LED00023454</t>
  </si>
  <si>
    <t>Đèn LED Chiếu pha CP06 20W 3000K SS</t>
  </si>
  <si>
    <t>LED00025149</t>
  </si>
  <si>
    <t>Đèn LED chiếu sáng đường CSD05 120W 5000K</t>
  </si>
  <si>
    <t>LED00047605</t>
  </si>
  <si>
    <t>Bóng LED Bulb A95N1/20W E27 3000K SS-CTT</t>
  </si>
  <si>
    <t>LED00047617</t>
  </si>
  <si>
    <t>Bóng LED Bulb TR80N1/20W E27 6500K SS-CTT</t>
  </si>
  <si>
    <t>LED00047624</t>
  </si>
  <si>
    <t>Bóng LED Bulb A45N1/3W E27 3000K-CTT</t>
  </si>
  <si>
    <t>LED00048001</t>
  </si>
  <si>
    <t>Bóng LED Bulb TR70N1/14W E27 6500K SS-TC</t>
  </si>
  <si>
    <t>LED00048016</t>
  </si>
  <si>
    <t>Bóng LED Bulb A120N1/30W E27 3000K SS-TC</t>
  </si>
  <si>
    <t>LED00052564</t>
  </si>
  <si>
    <t>Bóng LED Bulb A80N/15W B22 12000K (12VDC)</t>
  </si>
  <si>
    <t>LED00055320</t>
  </si>
  <si>
    <t>Bóng LED Bulb TR70N1/14W E27 6500K SS-CT</t>
  </si>
  <si>
    <t>LED00068489</t>
  </si>
  <si>
    <t>Bóng LED Bulb TR70N1/12W E27 6500K (12-24VDC) SS-CT</t>
  </si>
  <si>
    <t>LED00075173</t>
  </si>
  <si>
    <t>Bóng LED Bulb A60N1/9W.H E27 3000K-CT</t>
  </si>
  <si>
    <t>LED00077072</t>
  </si>
  <si>
    <t>Bóng LED Bulb TR100N1/30W E27 12000K  (XK)</t>
  </si>
  <si>
    <t>LED00077128</t>
  </si>
  <si>
    <t>Bóng LED Bulb TR140N1/50W E27 12000K (XK)</t>
  </si>
  <si>
    <t>LED00081198</t>
  </si>
  <si>
    <t>Bóng LED Bulb TR80N1/20W E27 3000K</t>
  </si>
  <si>
    <t>00000272</t>
  </si>
  <si>
    <t>Đèn cao áp chiếu pha D 02 E40/150W</t>
  </si>
  <si>
    <t>LED00005365</t>
  </si>
  <si>
    <t>Đèn LED chiếu pha CP02 150W 6500K</t>
  </si>
  <si>
    <t>LED00005376</t>
  </si>
  <si>
    <t>Đèn LED Chiếu pha CP03 150W 6500K SS</t>
  </si>
  <si>
    <t>LED00005857</t>
  </si>
  <si>
    <t>Đèn LED Chiếu pha CP03 10W 3000K SS</t>
  </si>
  <si>
    <t>LED00011641</t>
  </si>
  <si>
    <t>Đèn LED chiếu sáng đường CSD02 100W.DA 5000K (DIM)</t>
  </si>
  <si>
    <t>LED00015133</t>
  </si>
  <si>
    <t>Đèn LED chiếu pha CP05 20W 6500K SS</t>
  </si>
  <si>
    <t>LED00023453</t>
  </si>
  <si>
    <t>Đèn LED Chiếu pha CP06 20W 6500K SS</t>
  </si>
  <si>
    <t>LED00025152</t>
  </si>
  <si>
    <t>Đèn LED chiếu sáng đường CSD05 120W 4000K</t>
  </si>
  <si>
    <t>LED00025806</t>
  </si>
  <si>
    <t>Đèn LED Highbay HB02 430/100W.DA 6500K SS</t>
  </si>
  <si>
    <t>LED00026719</t>
  </si>
  <si>
    <t>Đèn LED chiếu sáng đường CSD03 100W 5000K</t>
  </si>
  <si>
    <t>LED00026727</t>
  </si>
  <si>
    <t>Đèn LED Worklight MPL 1027 33W 4000K (Yankon)</t>
  </si>
  <si>
    <t>LED00031594</t>
  </si>
  <si>
    <t>Đèn LED Highbay HB02 430/150W 5000K SS</t>
  </si>
  <si>
    <t>LED00033406</t>
  </si>
  <si>
    <t>Đèn LED UFO330 150W - WBU</t>
  </si>
  <si>
    <t>LED00018683</t>
  </si>
  <si>
    <t>Bóng LED Bulb A80N1/15W E27 6500K (CE) SS</t>
  </si>
  <si>
    <t>LED00033813</t>
  </si>
  <si>
    <t>Bóng LED Bulb TR60N2/12W B22 3000K SS (XK)</t>
  </si>
  <si>
    <t>LED00037411</t>
  </si>
  <si>
    <t>LED BULB(LED TR60N2/10W) E27-6500K(SS)-CT</t>
  </si>
  <si>
    <t>LED00038178</t>
  </si>
  <si>
    <t>Bóng LED Bulb A60N1/8W E27 4000K Ra 97</t>
  </si>
  <si>
    <t>LED00041096</t>
  </si>
  <si>
    <t>Bóng LED Bulb A60N1/9W.DCV2 6500K (12VDC kẹp)</t>
  </si>
  <si>
    <t>LED00046053</t>
  </si>
  <si>
    <t>Bóng LED Bulb A55N/5W E27 12000K (XK)</t>
  </si>
  <si>
    <t>LED00046316</t>
  </si>
  <si>
    <t>Bóng LED Bulb A55N4/5W E27 6500K-CT</t>
  </si>
  <si>
    <t>LED00047606</t>
  </si>
  <si>
    <t>Bóng LED Bulb TR80N1/20W E27 3000K SS-CTT</t>
  </si>
  <si>
    <t>LED00050841</t>
  </si>
  <si>
    <t>Bóng LED Bulb A120N1/30W E27 6500K SS-CT</t>
  </si>
  <si>
    <t>LED00073630</t>
  </si>
  <si>
    <t>Bóng LED Bulb A80N1/15W E27 6500K</t>
  </si>
  <si>
    <t>LED00078518</t>
  </si>
  <si>
    <t>Bóng LED Bulb TR120N1/40W E27 3000K</t>
  </si>
  <si>
    <t>LED00079940</t>
  </si>
  <si>
    <t>Bóng LED Bulb A95N1/20W E27 3000K</t>
  </si>
  <si>
    <t>LED00005359</t>
  </si>
  <si>
    <t>Đèn LED chiếu pha CP02 50W 5000K</t>
  </si>
  <si>
    <t>LED00005384</t>
  </si>
  <si>
    <t>Đèn LED Highbay HB01 410/70W 5000K</t>
  </si>
  <si>
    <t>LED00005385</t>
  </si>
  <si>
    <t>Đèn LED Highbay HB01 500/100W 5000K</t>
  </si>
  <si>
    <t>LED00005391</t>
  </si>
  <si>
    <t>Đèn LED Highbay HB01 500/150W 5000K</t>
  </si>
  <si>
    <t>LED00005400</t>
  </si>
  <si>
    <t>Đèn LED chiếu sáng đường CSD02.DIM 70W 6500K</t>
  </si>
  <si>
    <t>LED00005721</t>
  </si>
  <si>
    <t>Đèn LED Lowbay LB01 20W 6500K SS</t>
  </si>
  <si>
    <t>LED00005723</t>
  </si>
  <si>
    <t>Đèn LED Lowbay LB01 50W 6500K SS</t>
  </si>
  <si>
    <t>LED00005833</t>
  </si>
  <si>
    <t>Đèn LED chiếu sáng đường CSD02 60W 5000K</t>
  </si>
  <si>
    <t>LED00011930</t>
  </si>
  <si>
    <t>Đèn LED chiếu sáng đường CSD02 100W 5000K</t>
  </si>
  <si>
    <t>LED00021438</t>
  </si>
  <si>
    <t>Đèn LED chiếu sáng đường CSD02 200W.DA 5000K</t>
  </si>
  <si>
    <t>LED00023010</t>
  </si>
  <si>
    <t>Đèn LED chiếu sáng đường CSD04 80W 4000K</t>
  </si>
  <si>
    <t>LED00023889</t>
  </si>
  <si>
    <t>Đèn LED Chiếu pha CP06 150W 6500K SS</t>
  </si>
  <si>
    <t>LED00025146</t>
  </si>
  <si>
    <t>Đèn LED chiếu sáng đường CSD05 100W 5000K</t>
  </si>
  <si>
    <t>LED00016218</t>
  </si>
  <si>
    <t>Đèn LED chiếu pha CP05 30W 6500K SS</t>
  </si>
  <si>
    <t>LED00020808</t>
  </si>
  <si>
    <t>Đèn LED chiếu sáng đường CSD02 200W 5000K</t>
  </si>
  <si>
    <t>LED00023160</t>
  </si>
  <si>
    <t>Đèn LED chiếu pha CP06 100W 5000K SS</t>
  </si>
  <si>
    <t>LED00023359</t>
  </si>
  <si>
    <t>Đèn LED Chiếu pha CP06 50W 3000K SS</t>
  </si>
  <si>
    <t>LED00023450</t>
  </si>
  <si>
    <t>Đèn LED Chiếu pha CP06 10W 3000K SS</t>
  </si>
  <si>
    <t>LED00025219</t>
  </si>
  <si>
    <t>Đèn LED chiếu sáng đường CSD05 30W 5000K SS</t>
  </si>
  <si>
    <t>LED00025227</t>
  </si>
  <si>
    <t>Đèn LED Chiếu pha CP06 30W 3000K SS</t>
  </si>
  <si>
    <t>LED00025816</t>
  </si>
  <si>
    <t>Đèn LED chiếu sáng đường CSD02 70W.DA 5000K</t>
  </si>
  <si>
    <t>LED00026594</t>
  </si>
  <si>
    <t>Đèn LED chiếu sáng đường CSD03 30W 5000K</t>
  </si>
  <si>
    <t>LED00032020</t>
  </si>
  <si>
    <t>Đèn LED High bay HB04 330/150W 5700K (TOP E) SS</t>
  </si>
  <si>
    <t>LED00033624</t>
  </si>
  <si>
    <t>Đèn LED chiếu sáng đường CSD03 100W 4000K</t>
  </si>
  <si>
    <t>LED00036137</t>
  </si>
  <si>
    <t>Đèn LED chiếu sáng đường CSD06 150W 5000K (QB)</t>
  </si>
  <si>
    <t>LED00038672</t>
  </si>
  <si>
    <t>Đèn LED chiếu sáng đường CSD06 150W 3000K</t>
  </si>
  <si>
    <t>LED00038824</t>
  </si>
  <si>
    <t>Đèn LED chiếu sáng đường NLMT CSD02.SL 100W</t>
  </si>
  <si>
    <t>LED00039288</t>
  </si>
  <si>
    <t>Đèn LED Chiếu pha NLMT CP01SL 70W</t>
  </si>
  <si>
    <t>LED00042966</t>
  </si>
  <si>
    <t>Đèn LED chiếu sáng đường CSD04 180W 5000K</t>
  </si>
  <si>
    <t>LED00044686</t>
  </si>
  <si>
    <t>Đèn LED Linear Highbay GDXL1034 3FT/270W 4000K</t>
  </si>
  <si>
    <t>LED00044950</t>
  </si>
  <si>
    <t>Đèn LED chiếu pha CP07 100W 5000K (60 độ)</t>
  </si>
  <si>
    <t>LED00045249</t>
  </si>
  <si>
    <t>Đèn LED Worklight MPL 1061 26W 5000K (Yankon)</t>
  </si>
  <si>
    <t>LED00046423</t>
  </si>
  <si>
    <t>Đèn LED chiếu sáng đường NLMT CSD01.SL 30W.HG</t>
  </si>
  <si>
    <t>LED00047639</t>
  </si>
  <si>
    <t>Đèn LED chiếu pha CP07 300W 4000K (60 độ)</t>
  </si>
  <si>
    <t>LED00048344</t>
  </si>
  <si>
    <t>Đèn LED chiếu pha CPT02 24W.QT 10D 3000K (IP65)</t>
  </si>
  <si>
    <t>LED00048788</t>
  </si>
  <si>
    <t>Bộ gá đèn pha CP01 300W.QT 4000K</t>
  </si>
  <si>
    <t>LED00049028</t>
  </si>
  <si>
    <t>Đèn LED chiếu sáng đường CSD09 50W.PLUS 5000K</t>
  </si>
  <si>
    <t>LED00057552</t>
  </si>
  <si>
    <t>Đèn LED chiếu pha CP07 500W 4000K (60 độ)</t>
  </si>
  <si>
    <t>LED00058285</t>
  </si>
  <si>
    <t>Đèn LED chiếu sáng đường CSD09 50W.PLUS 4000K</t>
  </si>
  <si>
    <t>LED00058388</t>
  </si>
  <si>
    <t>Đèn LED Highbay HB03 350/120W.PLUS 6500K SS</t>
  </si>
  <si>
    <t>LED00059078</t>
  </si>
  <si>
    <t>Đèn LED Chiếu pha NLMT CP03.SL.RAD 200W.V2 6500K</t>
  </si>
  <si>
    <t>LED00059079</t>
  </si>
  <si>
    <t>Đèn LED Chiếu pha NLMT CP03.SL.RAD 300W.V2 6500K</t>
  </si>
  <si>
    <t>LED00067160</t>
  </si>
  <si>
    <t>Đèn LED Highbay HB02 500/200W 6500K</t>
  </si>
  <si>
    <t>LED00070473</t>
  </si>
  <si>
    <t>Đèn LED Chiếu sáng đường CSD02 100W.PLUS 5000K</t>
  </si>
  <si>
    <t>LED00071364</t>
  </si>
  <si>
    <t>Đèn LED High Bay HB05 300/150W DC 5700K - BLE</t>
  </si>
  <si>
    <t>LED00071396</t>
  </si>
  <si>
    <t>Đèn LED chiếu sáng đường CSD10 100W 4000K</t>
  </si>
  <si>
    <t>LED00071398</t>
  </si>
  <si>
    <t>Đèn LED chiếu sáng đường CSD10 200W 4000K</t>
  </si>
  <si>
    <t>LED00071717</t>
  </si>
  <si>
    <t>Đèn LED chiếu pha CPT03 16W 4000K</t>
  </si>
  <si>
    <t>LED00072246</t>
  </si>
  <si>
    <t>Đèn LED chiếu sáng đường NLMT CSD05.SL.RF 300W.V2 6500K</t>
  </si>
  <si>
    <t>LED00072906</t>
  </si>
  <si>
    <t>Đèn LED chiếu sáng đường CSD08 165W 4000K</t>
  </si>
  <si>
    <t>LED00074326</t>
  </si>
  <si>
    <t>Đèn LED Chiếu pha NLMT CP03.SL.RAD 500W.V2 6500K (KSL)</t>
  </si>
  <si>
    <t>LED00074329</t>
  </si>
  <si>
    <t>Tấm Solar Poly crystalline CP03.SL.RAD 300W.V2 (TP)</t>
  </si>
  <si>
    <t>LED00075183</t>
  </si>
  <si>
    <t>Tấm Solar Poly crystalline CP03.SL.RAD 200W.V2 (TP)-CT</t>
  </si>
  <si>
    <t>LED00075255</t>
  </si>
  <si>
    <t>Tấm Solar Poly crystalline NX.SL.RAD 200W (TP)</t>
  </si>
  <si>
    <t>LED00075793</t>
  </si>
  <si>
    <t>Đèn LED UFO GDXL1065 White finish 150W 480V CCT (YK)</t>
  </si>
  <si>
    <t>LED00079005</t>
  </si>
  <si>
    <t>Đèn LED chiếu sáng đường CSD10 80W.NEMA.PLUS 5000K</t>
  </si>
  <si>
    <t>LED00079685</t>
  </si>
  <si>
    <t>Đèn LED High Bay HB03 330/150W AC KH 5700K</t>
  </si>
  <si>
    <t>LED00079792</t>
  </si>
  <si>
    <t>Đèn LED Chiếu pha CP10 200W 3000K</t>
  </si>
  <si>
    <t>LED00079892</t>
  </si>
  <si>
    <t>Đèn LED UFO GDXL1065 Energetic Brand 240W CCT (YK)</t>
  </si>
  <si>
    <t>LED00080083</t>
  </si>
  <si>
    <t>Đèn LED âm đất tròn chỉ hướng ADT.CH.01 3W.APG (60D) 3000K</t>
  </si>
  <si>
    <t>LED00050501</t>
  </si>
  <si>
    <t>Đèn LED Đánh cá DC05 500W 4000K (SPD lens 35 độ)</t>
  </si>
  <si>
    <t>LED00050511</t>
  </si>
  <si>
    <t>Đèn LED Đánh cá DC05 500W 3000K (SPD lens 120 độ)</t>
  </si>
  <si>
    <t>LED00058896</t>
  </si>
  <si>
    <t>Đèn LED Chiếu Boong CB06 50W 6500K</t>
  </si>
  <si>
    <t>LED00063901</t>
  </si>
  <si>
    <t>Bóng đèn chuyên dụng LED.TL-T60 XW IP65 ( Phổ mới)</t>
  </si>
  <si>
    <t>LED00069287</t>
  </si>
  <si>
    <t>Đèn LED Đánh cá DC08 500W AC-IC 4000K</t>
  </si>
  <si>
    <t>LED00070946</t>
  </si>
  <si>
    <t>Đèn LED Đánh cá DC08 700W 3000K/U - Bolt (SPD)</t>
  </si>
  <si>
    <t>LED00075666</t>
  </si>
  <si>
    <t>Đèn LED Đánh cá DC08 700W 3500K/U - Bolt (SPD)</t>
  </si>
  <si>
    <t>LED00081186</t>
  </si>
  <si>
    <t>Kệ trồng Rau 3 tầng  KTR01 90W</t>
  </si>
  <si>
    <t>LED00084131</t>
  </si>
  <si>
    <t>Đèn LED Đánh cá DC08 700W Cyan (SPD)</t>
  </si>
  <si>
    <t>Hệ thống, giải pháp</t>
  </si>
  <si>
    <t>LED00077382</t>
  </si>
  <si>
    <t>Gói Chiếu sáng đường phố Huyện Cô Tô Quảng Ninh</t>
  </si>
  <si>
    <t>LED00005156</t>
  </si>
  <si>
    <t>Bóng LED Bulb A65N2/9W E27 6500K (XK)</t>
  </si>
  <si>
    <t>LED00005181</t>
  </si>
  <si>
    <t>Bóng LED Bulb A120N1/30W E27 3000K SS</t>
  </si>
  <si>
    <t>LED00005218</t>
  </si>
  <si>
    <t>B/đèn LED trang trí(LED TT02/1W)E27-Đỏ</t>
  </si>
  <si>
    <t>LED00005219</t>
  </si>
  <si>
    <t>B/đèn LED trang trí(LED TT02/1W)E27-X/lục</t>
  </si>
  <si>
    <t>LED00005227</t>
  </si>
  <si>
    <t>Bóng LED Bulb A60N1/5W E27 3000K</t>
  </si>
  <si>
    <t>LED00012421</t>
  </si>
  <si>
    <t>Bóng LED Bulb TR80N2/18W E27 6500K SS</t>
  </si>
  <si>
    <t>LED00012452</t>
  </si>
  <si>
    <t>Bóng LED Bulb TR70N1/14W E27 3000K SS</t>
  </si>
  <si>
    <t>LED00012955</t>
  </si>
  <si>
    <t>Bóng LED Bulb TR140N1/50W E27 3000K SS</t>
  </si>
  <si>
    <t>LED00018682</t>
  </si>
  <si>
    <t>Bóng LED Bulb A80N1/15W E27 3000K (CE) SS</t>
  </si>
  <si>
    <t>LED00034063</t>
  </si>
  <si>
    <t>Bóng LED Bulb TR135/80W E27 6500K SS</t>
  </si>
  <si>
    <t>LED00036043</t>
  </si>
  <si>
    <t>Đèn led Bulb 10W</t>
  </si>
  <si>
    <t>LED00036208</t>
  </si>
  <si>
    <t>LED BULB (LED A45N1/3W)E27-3000K S-CTT</t>
  </si>
  <si>
    <t>LED00036223</t>
  </si>
  <si>
    <t>Led Bulb(LED A95N1/20W)E27 6500K(LED SS)-CTT</t>
  </si>
  <si>
    <t>LED00036225</t>
  </si>
  <si>
    <t>LED  BULB(LED TR100N1/30W) E27-6500K(SS)-CTT</t>
  </si>
  <si>
    <t>LED00036398</t>
  </si>
  <si>
    <t>Đèn LED chiếu sáng đường CSD06 120W 4000K</t>
  </si>
  <si>
    <t>LED00037304</t>
  </si>
  <si>
    <t>Đèn LED Chiếu pha CP08 50W 6500K SS</t>
  </si>
  <si>
    <t>LED00039082</t>
  </si>
  <si>
    <t>Đèn LED trồng cây trong nhà CX50W WR-220V</t>
  </si>
  <si>
    <t>LED00041323</t>
  </si>
  <si>
    <t>Đèn LED chiếu sáng đường CSD05 100W 5000K (QB)</t>
  </si>
  <si>
    <t>LED00042922</t>
  </si>
  <si>
    <t>Đèn LED chiếu pha CP07 200W 5000K (90 độ)</t>
  </si>
  <si>
    <t>LED00042975</t>
  </si>
  <si>
    <t>Đèn LED chiếu sáng đường CSD04 200W 5000K</t>
  </si>
  <si>
    <t>LED00044449</t>
  </si>
  <si>
    <t>Đèn LED chiếu sáng đường NLMT CSD01.SL.RF 30W V2</t>
  </si>
  <si>
    <t>LED00044952</t>
  </si>
  <si>
    <t>Đèn LED chiếu pha CP07 100W 4000K (60 độ)</t>
  </si>
  <si>
    <t>LED00045250</t>
  </si>
  <si>
    <t>Đèn LED Worklight MPL 1062 50W 5000K (Yankon)</t>
  </si>
  <si>
    <t>LED00046580</t>
  </si>
  <si>
    <t>Đèn LED chiếu sáng đường CSD02 50W 5000K</t>
  </si>
  <si>
    <t>LED00048346</t>
  </si>
  <si>
    <t>Đèn LED chiếu pha CPT04 150W.QT 10D 3000K (IP65)</t>
  </si>
  <si>
    <t>LED00050128</t>
  </si>
  <si>
    <t>Đèn LED chiếu sáng đường CSD08 120W 5000K (QB)</t>
  </si>
  <si>
    <t>LED00050553</t>
  </si>
  <si>
    <t>Đèn LED HighBay HB03 350/150W.PLUS 6500K SS</t>
  </si>
  <si>
    <t>LED00054528</t>
  </si>
  <si>
    <t>Đèn LED chiếu sáng đường CSD08 60W.NEMA 5000K</t>
  </si>
  <si>
    <t>LED00058238</t>
  </si>
  <si>
    <t>Đèn LED High Bay HB03R 400/200W AC 5700K</t>
  </si>
  <si>
    <t>LED00059906</t>
  </si>
  <si>
    <t>Đèn LED Chiếu pha CP10 100W 6500K SS</t>
  </si>
  <si>
    <t>LED00066340</t>
  </si>
  <si>
    <t>Đèn LED Chiếu pha CP06 20W.GOV.V4 6500K SS</t>
  </si>
  <si>
    <t>LED00067363</t>
  </si>
  <si>
    <t>Đèn LED thanh T03.DMX.RGBW 1000/36W 45D (W4000K)</t>
  </si>
  <si>
    <t>LED00070038</t>
  </si>
  <si>
    <t>Đèn LED Highbay HB02 500/200W 3000K</t>
  </si>
  <si>
    <t>LED00072174</t>
  </si>
  <si>
    <t>Đèn LED Highbay HB03 290/80W.PLUS 6500K</t>
  </si>
  <si>
    <t>LED00072435</t>
  </si>
  <si>
    <t>Module LED đèn đường ML-CSD4S3P.RT05 15W 5000K (XK)</t>
  </si>
  <si>
    <t>LED00073349</t>
  </si>
  <si>
    <t>Đèn LED chiếu sáng đường CSD12 80W 5000K</t>
  </si>
  <si>
    <t>LED00074323</t>
  </si>
  <si>
    <t>Đèn LED Chiếu pha NLMT CP03.SL.RAD 200W.V2 6500K (KSL)</t>
  </si>
  <si>
    <t>LED00074639</t>
  </si>
  <si>
    <t>Bộ điều khiển LED Growlight RD-GR01</t>
  </si>
  <si>
    <t>LED00075995</t>
  </si>
  <si>
    <t>Đèn LED Đánh cá DC08 500W.V2 3000K (SPD)</t>
  </si>
  <si>
    <t>LED00075999</t>
  </si>
  <si>
    <t>Đèn LED Đánh cá DC08 500W.V2 3500K/U - Bolt ( SPD)</t>
  </si>
  <si>
    <t>LED00076854</t>
  </si>
  <si>
    <t>Đèn LED Đánh cá DC08 500W COB Green (SPD Lens 90 độ)</t>
  </si>
  <si>
    <t>LED00005186</t>
  </si>
  <si>
    <t>Bóng LED Bulb A55N4/5W E27 6500K (XK)</t>
  </si>
  <si>
    <t>LED00005203</t>
  </si>
  <si>
    <t>Bóng LED Bulb A120N1/30W E27 3000K</t>
  </si>
  <si>
    <t>LED00012070</t>
  </si>
  <si>
    <t>Bóng LED dây tóc A60.01/4W E27 2700K</t>
  </si>
  <si>
    <t>LED00012953</t>
  </si>
  <si>
    <t>Bóng LED Bulb TR120N1/40W E27 3000K SS</t>
  </si>
  <si>
    <t>LED00016214</t>
  </si>
  <si>
    <t>Bóng LED Bulb TR140NĐ/80W E27 6500K SS</t>
  </si>
  <si>
    <t>LED00033809</t>
  </si>
  <si>
    <t>Bóng LED Bulb TR60N2/10W B22 12000K SS (XK)</t>
  </si>
  <si>
    <t>LED00033842</t>
  </si>
  <si>
    <t>Bóng LED Bulb TR120N1/40W B22 3000K SS (XK)</t>
  </si>
  <si>
    <t>LED00037404</t>
  </si>
  <si>
    <t>LED BULB (LED A55N4/5W)E27-6500K S- CT</t>
  </si>
  <si>
    <t>LED00041097</t>
  </si>
  <si>
    <t>Bóng LED Bulb TR70N1/12W.DCV2 6500K (12VDC kẹp)</t>
  </si>
  <si>
    <t>LED00048003</t>
  </si>
  <si>
    <t>Bóng LED Bulb TR80N1/20W E27 3000K SS-TC</t>
  </si>
  <si>
    <t>LED00053007</t>
  </si>
  <si>
    <t>Bóng LED Bulb TR60N1/5W B22 12000K (12VDC)</t>
  </si>
  <si>
    <t>LED00056213</t>
  </si>
  <si>
    <t>Bóng LED Bulb A70N1/12W E27 3000K SS-CT</t>
  </si>
  <si>
    <t>LED00058253</t>
  </si>
  <si>
    <t>Bóng LED bulb TR70N1/12W.DC 6500K (12-24VDC E27)</t>
  </si>
  <si>
    <t>LED00066016</t>
  </si>
  <si>
    <t>Bóng LED Bulb TR120N1/30W.GOV V4 6500K</t>
  </si>
  <si>
    <t>LED00075182</t>
  </si>
  <si>
    <t>Bóng LED Bulb TR80N1/20W E27 6500K-CT</t>
  </si>
  <si>
    <t>LED00005361</t>
  </si>
  <si>
    <t>Đèn LED chiếu pha CP02 70W 3000K</t>
  </si>
  <si>
    <t>LED00005382</t>
  </si>
  <si>
    <t>Đèn LED Highbay HB01 410/30W 6500K</t>
  </si>
  <si>
    <t>LED00005390</t>
  </si>
  <si>
    <t>Đèn LED Highbay HB01 500/150W 3000K</t>
  </si>
  <si>
    <t>LED00005401</t>
  </si>
  <si>
    <t>Đèn LED chiếu sáng đường CSD02 120W 5000K</t>
  </si>
  <si>
    <t>LED00017894</t>
  </si>
  <si>
    <t>Đèn LED Chiếu pha CP03 200W 3000K SS</t>
  </si>
  <si>
    <t>LED00048911</t>
  </si>
  <si>
    <t>Đèn LED đánh cá DC06 800W 3000K (SPD)</t>
  </si>
  <si>
    <t>LED00052352</t>
  </si>
  <si>
    <t>Đèn LED chiếu sáng đường CSD03 70W.PLUS 4000K</t>
  </si>
  <si>
    <t>LED00058156</t>
  </si>
  <si>
    <t>Module LED đèn đường ML-CSD5S2P.RL16 25W 5000K (XK)</t>
  </si>
  <si>
    <t>LED00058923</t>
  </si>
  <si>
    <t>Đèn LED Chiếu pha CSD05 1000W 4000K</t>
  </si>
  <si>
    <t>LED00058942</t>
  </si>
  <si>
    <t>Đèn LED chiếu pha CPT05.DMX.RGBW 80W</t>
  </si>
  <si>
    <t>LED00065447</t>
  </si>
  <si>
    <t>Đèn LED chiếu pha Floody ECO CP11 50W 3000K (XK)</t>
  </si>
  <si>
    <t>LED00067055</t>
  </si>
  <si>
    <t>Đèn LED Chiếu pha CP10 200W 6500K</t>
  </si>
  <si>
    <t>LED00069047</t>
  </si>
  <si>
    <t>Đèn LED High Bay HB03 280/100W DC 5700K-KN</t>
  </si>
  <si>
    <t>LED00072141</t>
  </si>
  <si>
    <t>Đèn LED chiếu sáng đường NLMT CSD01.SL.RF 50W.QN</t>
  </si>
  <si>
    <t>LED00072884</t>
  </si>
  <si>
    <t>Đèn LED chiếu sáng đường CSD08 80W.VN 4000K</t>
  </si>
  <si>
    <t>LED00073305</t>
  </si>
  <si>
    <t>Đèn LED Highbay GDXL1074 3FT 380W 5000K (Yankon)</t>
  </si>
  <si>
    <t>LED00073408</t>
  </si>
  <si>
    <t>Đèn LED chiếu sáng đường CSD08 130W 3000K</t>
  </si>
  <si>
    <t>LED00073634</t>
  </si>
  <si>
    <t>Đèn LED chiếu sáng đường CSD10 77W.NEMA 4000K</t>
  </si>
  <si>
    <t>LED00074996</t>
  </si>
  <si>
    <t>Đèn LED chiếu sáng đường CSD02 150W-I.NEMA 4000K</t>
  </si>
  <si>
    <t>LED00078563</t>
  </si>
  <si>
    <t>Đèn LED Highbay HB03 280/101W AC 5700K</t>
  </si>
  <si>
    <t>LED00079692</t>
  </si>
  <si>
    <t>Đèn chiếu sáng đường NLMT CSD08.SL 80W 5000K</t>
  </si>
  <si>
    <t>LED00080422</t>
  </si>
  <si>
    <t>Đèn LED chiếu sáng đường NLMT CSD01.SL.RF 30W.EV 6500K</t>
  </si>
  <si>
    <t>LED00081661</t>
  </si>
  <si>
    <t>Đèn LED chiếu pha CP07 640W NEMA 4000K (90 độ)</t>
  </si>
  <si>
    <t>LED00083146</t>
  </si>
  <si>
    <t>Đèn LED âm đất tròn ADT01 6W.APG 3000K (IP67, 24V)</t>
  </si>
  <si>
    <t>LED00083891</t>
  </si>
  <si>
    <t>Đèn LED NLMT CD08.SL.IoT 120W.NEMA 5000K</t>
  </si>
  <si>
    <t>LED00084700</t>
  </si>
  <si>
    <t>Đèn LED HighBay HB05 300/200W AC 5700K-OSRAM</t>
  </si>
  <si>
    <t>LED Downlight + Panel tròn</t>
  </si>
  <si>
    <t>LED00005269</t>
  </si>
  <si>
    <t>Đèn LED Downlight AT16 110/9W.DA 4000K SS</t>
  </si>
  <si>
    <t>LED00005275</t>
  </si>
  <si>
    <t>Đèn LED Downlight AT04 160/16W 6500K</t>
  </si>
  <si>
    <t>00000081</t>
  </si>
  <si>
    <t>Đèn LED NCM02 600/10W 6500K</t>
  </si>
  <si>
    <t>00000434</t>
  </si>
  <si>
    <t>Đèn LED đánh cá DC05 400W 5000K</t>
  </si>
  <si>
    <t>LED00050507</t>
  </si>
  <si>
    <t>Đèn LED Đánh cá DC05 500W 5000K (SPD lens 120 độ)</t>
  </si>
  <si>
    <t>LED00057981</t>
  </si>
  <si>
    <t>Đèn LED Đánh cá DC05 400W 4000K (SPD)</t>
  </si>
  <si>
    <t>LED00066565</t>
  </si>
  <si>
    <t>Đèn LED Đánh cá DC08 500W COB 4000K (SPD Lens 120 độ)</t>
  </si>
  <si>
    <t>LED00074438</t>
  </si>
  <si>
    <t>Đèn LED Đánh cá DC08 700W COB 4000K (SPD Lens 35 độ)</t>
  </si>
  <si>
    <t>LED00076855</t>
  </si>
  <si>
    <t>Đèn LED Đánh cá DC08 500W COB Green/U-Bolt (SPD Lens 90 độ)</t>
  </si>
  <si>
    <t>00000426</t>
  </si>
  <si>
    <t>Đèn sạc điện LED (RDDS LED 032)-Trắng</t>
  </si>
  <si>
    <t>LED00005727</t>
  </si>
  <si>
    <t>Đèn LED Pin 036DC/2.5W 3D 6500K (KP)</t>
  </si>
  <si>
    <t>LED00005176</t>
  </si>
  <si>
    <t>Bóng LED Bulb A55N4/3W E27 6500K</t>
  </si>
  <si>
    <t>LED00005177</t>
  </si>
  <si>
    <t>Bóng LED Bulb A55N4/5W E27 3000K</t>
  </si>
  <si>
    <t>LED00005209</t>
  </si>
  <si>
    <t>Bóng LED Bulb A65N2/9W E27 6500K SS</t>
  </si>
  <si>
    <t>LED00005229</t>
  </si>
  <si>
    <t>Bóng đèn (LED A60N/5W) E27-220V-Vàng</t>
  </si>
  <si>
    <t>LED00012551</t>
  </si>
  <si>
    <t>Bóng LED Bulb A45N1/1W E27 6500K</t>
  </si>
  <si>
    <t>LED00016771</t>
  </si>
  <si>
    <t>Bóng LED Bulb TR80NĐ1/20W E27 6500K SS</t>
  </si>
  <si>
    <t>LED00033037</t>
  </si>
  <si>
    <t>Bóng LED Bulb TR100/20W.EV E27 5000K SS</t>
  </si>
  <si>
    <t>LED00033811</t>
  </si>
  <si>
    <t>Bóng LED Bulb TR60N2/12W E27 12000K SS (XK)</t>
  </si>
  <si>
    <t>LED00033830</t>
  </si>
  <si>
    <t>Bóng LED Bulb TR80N1/20W E27 12000K SS (XK)</t>
  </si>
  <si>
    <t>LED00033831</t>
  </si>
  <si>
    <t>Bóng LED Bulb TR80N1/20W B22 12000K SS (XK)</t>
  </si>
  <si>
    <t>LED00033839</t>
  </si>
  <si>
    <t>Bóng LED Bulb TR80N1/20W E27 3000K SS (XK)</t>
  </si>
  <si>
    <t>LED00033847</t>
  </si>
  <si>
    <t>Bóng LED Bulb TR100N1/30W B22 12000K SS (XK)</t>
  </si>
  <si>
    <t>LED00037401</t>
  </si>
  <si>
    <t>LED BULB (LED A45N1/3W)E27-3000K S-CT</t>
  </si>
  <si>
    <t>LED00037414</t>
  </si>
  <si>
    <t>LED BULB(LED TR70N1/14W) E27-6500K(SS)-CT</t>
  </si>
  <si>
    <t>LED00040475</t>
  </si>
  <si>
    <t>Bóng LED Bulb TR60N1/5W E27 12000K (12VDC)</t>
  </si>
  <si>
    <t>LED00046407</t>
  </si>
  <si>
    <t>Đèn LED chiếu sáng đường CSD02 150W 5000K (HY)</t>
  </si>
  <si>
    <t>LED00047623</t>
  </si>
  <si>
    <t>Đèn LED chiếu pha CP09 30W.QT 90D 3000K (IP66)</t>
  </si>
  <si>
    <t>LED00047641</t>
  </si>
  <si>
    <t>Đèn LED chiếu pha CP07 400W 4000K (60 độ)</t>
  </si>
  <si>
    <t>LED00048323</t>
  </si>
  <si>
    <t>Đèn LED sân vườn NLMT DSV01.SL 3W.QT 3000K (IP65)</t>
  </si>
  <si>
    <t>LED00051480</t>
  </si>
  <si>
    <t>Đèn LED Highbay HBM02 200W.PLUS 6500K (90 độ)</t>
  </si>
  <si>
    <t>LED00054719</t>
  </si>
  <si>
    <t>Đèn LED Chiếu pha CP06 10W 6500K</t>
  </si>
  <si>
    <t>LED00060665</t>
  </si>
  <si>
    <t>Đèn LED Highbay HB03 290/100W.PLUS 6500K</t>
  </si>
  <si>
    <t>LED00061107</t>
  </si>
  <si>
    <t>Đèn LED chiếu sáng cảnh quan DCQ01 60W 6500K</t>
  </si>
  <si>
    <t>LED00062914</t>
  </si>
  <si>
    <t>Đèn LED Highbay HB03 290/60W.PLUS IP68 6500K</t>
  </si>
  <si>
    <t>LED00064516</t>
  </si>
  <si>
    <t>Module LED đèn đường ML-CSD5S2P.RL16 25W 3000K (XK)</t>
  </si>
  <si>
    <t>LED00069565</t>
  </si>
  <si>
    <t>Đèn LED Highbay HB06 255/100W.PLUS 6500K</t>
  </si>
  <si>
    <t>LED00071360</t>
  </si>
  <si>
    <t>Đèn LED High Bay HB05 300/120W DC 5700K - Không cách ly</t>
  </si>
  <si>
    <t>LED00072172</t>
  </si>
  <si>
    <t>Đèn LED Highbay HB03 290/50W.PLUS 6500K</t>
  </si>
  <si>
    <t>LED00074407</t>
  </si>
  <si>
    <t>Đèn LED Highbay GDXL1074 1FT 155W 4000K (Yankon)</t>
  </si>
  <si>
    <t>LED00077383</t>
  </si>
  <si>
    <t>Đèn LED Highbay module HBM03 200W 5000K</t>
  </si>
  <si>
    <t>LED00077960</t>
  </si>
  <si>
    <t>Đèn LED chiếu sáng đường NLMT CSD08.SL 100W 6000K</t>
  </si>
  <si>
    <t>LED00078767</t>
  </si>
  <si>
    <t>Đèn LED chiếu sáng đường CSD12 80W 4000K</t>
  </si>
  <si>
    <t>LED00079004</t>
  </si>
  <si>
    <t>Đèn LED chiếu sáng đường CSD10 60W.NEMA.PLUS 5000K</t>
  </si>
  <si>
    <t>LED00079010</t>
  </si>
  <si>
    <t>Đèn LED chiếu sáng đường CSD10 250W.NEMA.PLUS 5000K</t>
  </si>
  <si>
    <t>LED00079220</t>
  </si>
  <si>
    <t>Đèn LED chiếu sáng đường CSD12 100W.NEMA 5000K</t>
  </si>
  <si>
    <t>LED00079676</t>
  </si>
  <si>
    <t>Đèn LED Floodlight LE978LED 150W 4000K (XK)</t>
  </si>
  <si>
    <t>LED00081781</t>
  </si>
  <si>
    <t>Đèn LED âm đất tròn ADT01 25W.APG (12D) 3000K</t>
  </si>
  <si>
    <t>LED00082853</t>
  </si>
  <si>
    <t>Đèn LED Chiếu pha CP12 50W 3000K</t>
  </si>
  <si>
    <t>LED00035771</t>
  </si>
  <si>
    <t>Đèn LED chiếu sáng đường  CSD02 90W.DA 5000K</t>
  </si>
  <si>
    <t>LED00036399</t>
  </si>
  <si>
    <t>Đèn LED chiếu sáng đường CSD06 150W 4000K</t>
  </si>
  <si>
    <t>LED00037099</t>
  </si>
  <si>
    <t>Đèn LED Chiếu pha CP06 70W 6500K (100V-Nhật) SS</t>
  </si>
  <si>
    <t>LED00043555</t>
  </si>
  <si>
    <t>Đèn LED chiếu sáng đường CSD08 80W 5000K</t>
  </si>
  <si>
    <t>LED00043556</t>
  </si>
  <si>
    <t>Đèn LED chiếu sáng đường CSD08 100W 5000K</t>
  </si>
  <si>
    <t>LED00043711</t>
  </si>
  <si>
    <t>Đèn LED High Bay HB03 350/150W.DA 6500K SS</t>
  </si>
  <si>
    <t>LED00043951</t>
  </si>
  <si>
    <t>Đèn LED chiếu sáng đường CSD04 240W 4000K</t>
  </si>
  <si>
    <t>LED00044687</t>
  </si>
  <si>
    <t>Đèn LED Linear Highbay GDXL1034 3FT/300W 4000K</t>
  </si>
  <si>
    <t>LED00045471</t>
  </si>
  <si>
    <t>Đèn LED Chiếu pha CP06 20W 6500K SS-CT</t>
  </si>
  <si>
    <t>LED00046473</t>
  </si>
  <si>
    <t>Đèn LED chiếu sáng đường CSD06 85W 4000K</t>
  </si>
  <si>
    <t>LED00049009</t>
  </si>
  <si>
    <t>Đèn LED chiếu pha CPT01 9W.QT 45D 3000K (IP65)</t>
  </si>
  <si>
    <t>LED00049858</t>
  </si>
  <si>
    <t>Đèn LED chiếu sáng đường CSD08 90W 4000K</t>
  </si>
  <si>
    <t>LED00051663</t>
  </si>
  <si>
    <t>Đèn LED chiếu sáng đường NLMT CSD02.SL.RF 50W</t>
  </si>
  <si>
    <t>LED00063057</t>
  </si>
  <si>
    <t>Tấm Solar Poly crystalline CP03.SL.RAD 500W.V2</t>
  </si>
  <si>
    <t>LED00063128</t>
  </si>
  <si>
    <t>Đèn LED chiếu sáng đường CSD08 140W 4000K</t>
  </si>
  <si>
    <t>LED00068310</t>
  </si>
  <si>
    <t>Đèn LED Chiếu pha NLMT CP03.SL.RAD 100W.V2 6500K</t>
  </si>
  <si>
    <t>LED00068498</t>
  </si>
  <si>
    <t>Đèn LED chiếu pha Floody ECO CP11 50W 4000K (XK)-CT</t>
  </si>
  <si>
    <t>LED00071986</t>
  </si>
  <si>
    <t>Đèn LED chiếu sáng đường CSD08 120W 4000K (QB)</t>
  </si>
  <si>
    <t>LED00072422</t>
  </si>
  <si>
    <t>Đèn LED chiếu sáng đường CSD10 100W.BH 4000K</t>
  </si>
  <si>
    <t>LED00072423</t>
  </si>
  <si>
    <t>Đèn LED chiếu sáng đường CSD10 150W.BH 4000K</t>
  </si>
  <si>
    <t>LED00073302</t>
  </si>
  <si>
    <t>Đèn LED Highbay GDXL1074 1FT 155W 5000K (Yankon)</t>
  </si>
  <si>
    <t>LED00073407</t>
  </si>
  <si>
    <t>Đèn LED chiếu sáng đường CSD08 80W 3000K</t>
  </si>
  <si>
    <t>LED00074846</t>
  </si>
  <si>
    <t>Đèn LED chiếu sáng đường NLMT CSD05.SL.RF 400W.V2 6500K</t>
  </si>
  <si>
    <t>LED00005235</t>
  </si>
  <si>
    <t>Bóng đèn LED A60N 12VDC/3W E27 6500K</t>
  </si>
  <si>
    <t>LED00005759</t>
  </si>
  <si>
    <t>Đèn LED nấm RDLM 0,5W E27 6500K</t>
  </si>
  <si>
    <t>LED00012318</t>
  </si>
  <si>
    <t>Bóng LED BULB A60N1/9W E27 3000K SS</t>
  </si>
  <si>
    <t>LED00012319</t>
  </si>
  <si>
    <t>Bóng LED Bulb A60N1/9W E27 6500K SS</t>
  </si>
  <si>
    <t>LED00012922</t>
  </si>
  <si>
    <t>Bóng LED Bulb TR50N1/8W E27 3000K SS</t>
  </si>
  <si>
    <t>LED00012952</t>
  </si>
  <si>
    <t>Bóng LED Bulb TR100N1/30W E27 6500K SS</t>
  </si>
  <si>
    <t>LED00014892</t>
  </si>
  <si>
    <t>Bóng LED dây tóc A60/7W.DIM E27 2700K</t>
  </si>
  <si>
    <t>LED00019005</t>
  </si>
  <si>
    <t>Bóng LED Bulb A60N1/7W 6500K (12-24VDC kẹp) SS</t>
  </si>
  <si>
    <t>LED00036044</t>
  </si>
  <si>
    <t>Đèn led Bulb 3W</t>
  </si>
  <si>
    <t>LED00036222</t>
  </si>
  <si>
    <t>Led Bulb(LED A80N1/15W)E27 6500K(LED SS)-CTT</t>
  </si>
  <si>
    <t>LED00036226</t>
  </si>
  <si>
    <t>LED BULB(LED TR140N1/50W) E27-6500K SS-CTT</t>
  </si>
  <si>
    <t>LED00037402</t>
  </si>
  <si>
    <t>LED BULB (LED A45N1/3W)E27-6500K S-CT</t>
  </si>
  <si>
    <t>LED00037405</t>
  </si>
  <si>
    <t>Bóng đèn(LEDA60N3/7W)E27-á/s trắng(LED SS)-CT</t>
  </si>
  <si>
    <t>LED00037562</t>
  </si>
  <si>
    <t>Bóng LED Bulb Sunlike A60/6W E27 2700K(SSC)</t>
  </si>
  <si>
    <t>LED00039087</t>
  </si>
  <si>
    <t>Đèn LED trồng cây LED CX-T135/50W WR-220V</t>
  </si>
  <si>
    <t>LED00046302</t>
  </si>
  <si>
    <t>Bóng LED Bulb A45N1/3W E27 3000K-CT</t>
  </si>
  <si>
    <t>LED00046318</t>
  </si>
  <si>
    <t>Bóng LED Bulb A60N1/9W E27 3000K SS-CT</t>
  </si>
  <si>
    <t>LED00046601</t>
  </si>
  <si>
    <t>Bóng LED Bulb A80N/15W E27 12000K (XK)</t>
  </si>
  <si>
    <t>LED00046602</t>
  </si>
  <si>
    <t>Bóng LED Bulb A80N/15W B22 12000K (XK)</t>
  </si>
  <si>
    <t>LED00047608</t>
  </si>
  <si>
    <t>Bóng LED Bulb TR100N1/30W E27 3000K SS-CTT</t>
  </si>
  <si>
    <t>LED00047635</t>
  </si>
  <si>
    <t>Bóng LED Bulb TR60N2/12W E27 6500K SS-CTT</t>
  </si>
  <si>
    <t>LED00048000</t>
  </si>
  <si>
    <t>Bóng LED Bulb A70N1/12W E27 3000K SS-TC</t>
  </si>
  <si>
    <t>LED00048006</t>
  </si>
  <si>
    <t>Bóng LED Bulb TR120N1/40W E27 6500K SS-TC</t>
  </si>
  <si>
    <t>LED00048009</t>
  </si>
  <si>
    <t>Bóng LED Bulb TR140N1/50W E27 3000K SS-TC</t>
  </si>
  <si>
    <t>LED00050847</t>
  </si>
  <si>
    <t>Bóng LED Bulb TR120N1/40W E27 6500K SS-CT</t>
  </si>
  <si>
    <t>LED00025809</t>
  </si>
  <si>
    <t>Đèn LED chiếu sáng đường CSD04 80W 5000K</t>
  </si>
  <si>
    <t>LED00032148</t>
  </si>
  <si>
    <t>Đèn LED 75W-I</t>
  </si>
  <si>
    <t>LED00032153</t>
  </si>
  <si>
    <t>Đèn LED 150W-C</t>
  </si>
  <si>
    <t>LED00033829</t>
  </si>
  <si>
    <t>Đèn LED chiếu sáng đường NLMT CSD01SL 30W</t>
  </si>
  <si>
    <t>LED00033857</t>
  </si>
  <si>
    <t>Đèn LED Chiếu pha CP06 100W 8000K SS</t>
  </si>
  <si>
    <t>LED00036059</t>
  </si>
  <si>
    <t>Đèn LED chiếu sáng đường NLMT CSD01SL 100W</t>
  </si>
  <si>
    <t>LED00038038</t>
  </si>
  <si>
    <t>Đèn LED chiếu sáng đường CSD03/30W.DA 4000K</t>
  </si>
  <si>
    <t>LED00041293</t>
  </si>
  <si>
    <t>Đèn LED Chiếu pha CP06 100W.EV 6500K SS</t>
  </si>
  <si>
    <t>LED00042234</t>
  </si>
  <si>
    <t>Đèn LED Chiếu pha CP07 32W 3000K.DA (góc 5 độ)</t>
  </si>
  <si>
    <t>LED00043993</t>
  </si>
  <si>
    <t>Đèn LED chiếu sáng đường CSD04 160W 4000K</t>
  </si>
  <si>
    <t>LED00044717</t>
  </si>
  <si>
    <t>Đèn LED chiếu sáng đường CSD02 30W 5000K (BT)</t>
  </si>
  <si>
    <t>LED00045315</t>
  </si>
  <si>
    <t>Đèn LED Worklight MPL 1065 45W 5000K (Yankon)</t>
  </si>
  <si>
    <t>LED00045325</t>
  </si>
  <si>
    <t>Đèn LED đánh cá DC05 500W NA 5000K</t>
  </si>
  <si>
    <t>LED00045988</t>
  </si>
  <si>
    <t>Đèn LED đánh cá DC05 500W 3000K</t>
  </si>
  <si>
    <t>LED00046449</t>
  </si>
  <si>
    <t>Đèn LED chiếu sáng đường NLMT CSD02.SL 50W.HG</t>
  </si>
  <si>
    <t>LED00047689</t>
  </si>
  <si>
    <t>Đèn LED chiếu sáng đường NLMT CSD01.SL.RF 35W</t>
  </si>
  <si>
    <t>LED00048913</t>
  </si>
  <si>
    <t>Đèn LED chiếu pha CPT02 24W.QT 45D 4000K (IP65)</t>
  </si>
  <si>
    <t>LED00049010</t>
  </si>
  <si>
    <t>Đèn LED chiếu pha CPT01 9W.QT 45D 4000K (IP65)</t>
  </si>
  <si>
    <t>LED00049418</t>
  </si>
  <si>
    <t>Đèn LED chiếu sáng đường CSD08 150W 5000K (QB)</t>
  </si>
  <si>
    <t>LED00050127</t>
  </si>
  <si>
    <t>Đèn LED chiếu sáng đường CSD08 80W 5000K (QB)</t>
  </si>
  <si>
    <t>LED00053353</t>
  </si>
  <si>
    <t>Đèn LED Chiếu pha CPT01 80W.ĐL 30D RGBW</t>
  </si>
  <si>
    <t>LED00054898</t>
  </si>
  <si>
    <t>Đèn LED chiếu sáng đường NLMT CSD01.SL 30W.EV 6500K</t>
  </si>
  <si>
    <t>LED00055387</t>
  </si>
  <si>
    <t>Đèn LED chiếu pha CP07 50W 5000K (60 độ)</t>
  </si>
  <si>
    <t>LED00058528</t>
  </si>
  <si>
    <t>Đèn LED chiếu sáng đường CSD02 60W 4000K</t>
  </si>
  <si>
    <t>LED00005362</t>
  </si>
  <si>
    <t>Đèn LED chiếu pha CP02 70W 5000K</t>
  </si>
  <si>
    <t>LED00005363</t>
  </si>
  <si>
    <t>Đèn LED chiếu pha CP02 50W 6500K SS</t>
  </si>
  <si>
    <t>LED00005371</t>
  </si>
  <si>
    <t>Đèn LED Chiếu pha CP03 20W 6500K SS</t>
  </si>
  <si>
    <t>LED00005386</t>
  </si>
  <si>
    <t>Đèn LED Highbay HB01 500/100W 6500K</t>
  </si>
  <si>
    <t>LED00012843</t>
  </si>
  <si>
    <t>Đèn LED Highbay HB02 350/50W 6500K SS</t>
  </si>
  <si>
    <t>LED00015131</t>
  </si>
  <si>
    <t>Đèn LED chiếu pha CP05 10W 6500K SS</t>
  </si>
  <si>
    <t>LED00023048</t>
  </si>
  <si>
    <t>Đèn LED chiếu sáng đường CSD02 120W 4000K (HY)</t>
  </si>
  <si>
    <t>LED00023149</t>
  </si>
  <si>
    <t>Đèn LED Chiếu pha CP06 70W 3000K SS</t>
  </si>
  <si>
    <t>LED00025151</t>
  </si>
  <si>
    <t>Đèn LED chiếu sáng đường CSD05 150W 4000K</t>
  </si>
  <si>
    <t>LED00026596</t>
  </si>
  <si>
    <t>Đèn LED chiếu sáng đường CSD03 60W 5000K</t>
  </si>
  <si>
    <t>LED00030273</t>
  </si>
  <si>
    <t>Đèn LED chiếu sáng đường CSD02 100W 4000K</t>
  </si>
  <si>
    <t>LED00033397</t>
  </si>
  <si>
    <t>Đèn led pha 100W</t>
  </si>
  <si>
    <t>LED00033398</t>
  </si>
  <si>
    <t>Đèn led pha 200W</t>
  </si>
  <si>
    <t>LED00033855</t>
  </si>
  <si>
    <t>Đèn LED Chiếu pha CP06 200W 8000K SS</t>
  </si>
  <si>
    <t>LED00033863</t>
  </si>
  <si>
    <t>Đèn LED Chiếu pha CP06 20W 8000K SS</t>
  </si>
  <si>
    <t>LED00036565</t>
  </si>
  <si>
    <t>Đèn LED High Bay HB03 350/120W 3000K SS</t>
  </si>
  <si>
    <t>LED00038825</t>
  </si>
  <si>
    <t>Đèn LED chiếu sáng đường NLMT CSD02.SL 120W</t>
  </si>
  <si>
    <t>LED00039799</t>
  </si>
  <si>
    <t>Đèn LED chiếu sáng đường CSD03 70W.DA 5000K</t>
  </si>
  <si>
    <t>LED00044279</t>
  </si>
  <si>
    <t>Đèn LED chiếu sáng đường CSD08 120W 5000K</t>
  </si>
  <si>
    <t>LED00044677</t>
  </si>
  <si>
    <t>Đèn LED Linear Highbay GDXL1034 2FT/90W 4000K</t>
  </si>
  <si>
    <t>LED00046413</t>
  </si>
  <si>
    <t>Bộ nguồn chống sét đèn ngoài trời SPD 10KV</t>
  </si>
  <si>
    <t>LED00047179</t>
  </si>
  <si>
    <t>Đèn LED Chiếu Boong CB02 50W 4000K (SPD)</t>
  </si>
  <si>
    <t>LED00048789</t>
  </si>
  <si>
    <t>Bộ gá đèn pha CP09 50W.QT 90D</t>
  </si>
  <si>
    <t>LED00050246</t>
  </si>
  <si>
    <t>Đèn LED sân vườn NLMT DSV01.SL 3W 3000K (IP65)</t>
  </si>
  <si>
    <t>LED00054718</t>
  </si>
  <si>
    <t>Đèn LED chiếu sáng đường CSD08 100W 4000K (QB)</t>
  </si>
  <si>
    <t>LED00050510</t>
  </si>
  <si>
    <t>Đèn LED Đánh cá DC05 500W 3000K (SPD lens 90 độ)</t>
  </si>
  <si>
    <t>LED00063712</t>
  </si>
  <si>
    <t>LED GROW LIGHT RD-1000W-HE (Gen3)</t>
  </si>
  <si>
    <t>LED00069081</t>
  </si>
  <si>
    <t>Đèn LED Đánh cá DC08 700W COB 4000K (SPD Lens 90 độ)</t>
  </si>
  <si>
    <t>LED00070177</t>
  </si>
  <si>
    <t>Đèn LED Đánh cá DC08 500W COB 4000K (SPD Lens 90 độ)</t>
  </si>
  <si>
    <t>LED00071372</t>
  </si>
  <si>
    <t>Đèn LED Đánh cá DC05 300W COB 4000K (SPD Lens 120 độ)</t>
  </si>
  <si>
    <t>LED00072382</t>
  </si>
  <si>
    <t>LED GROW LIGHT RD-1000W-ST (Gen2)</t>
  </si>
  <si>
    <t>LED00076001</t>
  </si>
  <si>
    <t>Đèn LED Đánh cá DC08 500W.V2 5000K/U - Bolt ( SPD)</t>
  </si>
  <si>
    <t>LED00078723</t>
  </si>
  <si>
    <t>Bóng đèn chuyên dụng LED T60.TL NLMT 3W (phổ mới)</t>
  </si>
  <si>
    <t>LED00080546</t>
  </si>
  <si>
    <t>Đèn LED nuôi tôm NT01.B 220/150W</t>
  </si>
  <si>
    <t>LED00080547</t>
  </si>
  <si>
    <t>Đèn LED nuôi tôm NT01.BG 220/150W</t>
  </si>
  <si>
    <t>LED00005201</t>
  </si>
  <si>
    <t>Bóng LED Bulb A100/20W E27 3000K</t>
  </si>
  <si>
    <t>LED00012954</t>
  </si>
  <si>
    <t>Bóng LED Bulb TR120N1/40W E27 6500K SS</t>
  </si>
  <si>
    <t>LED00016213</t>
  </si>
  <si>
    <t>Bóng LED Bulb TR140NĐ/80W E27 3000K SS</t>
  </si>
  <si>
    <t>LED00018374</t>
  </si>
  <si>
    <t>Bóng LED Bulb A45N1/3W E27 6500K (XK)</t>
  </si>
  <si>
    <t>LED00019845</t>
  </si>
  <si>
    <t>Bóng LED Bulb A60.HC/9W E27 3000K SS</t>
  </si>
  <si>
    <t>LED00020140</t>
  </si>
  <si>
    <t>Bóng LED Bulb TR70N1/12W 6500K (12-24VDC kẹp) SS</t>
  </si>
  <si>
    <t>LED00030306</t>
  </si>
  <si>
    <t>Bóng LED Bulb YGA03B12 8.5W-850-2(8 pack)</t>
  </si>
  <si>
    <t>LED00033833</t>
  </si>
  <si>
    <t>Bóng LED Bulb TR120N1/40W B22 12000K SS (XK)</t>
  </si>
  <si>
    <t>LED00036045</t>
  </si>
  <si>
    <t>Đèn led Bulb 8W</t>
  </si>
  <si>
    <t>LED00038177</t>
  </si>
  <si>
    <t>Bóng LED Bulb A60N1/8W E27 6500K Ra 97</t>
  </si>
  <si>
    <t>LED00042756</t>
  </si>
  <si>
    <t>Bóng LED Bulb Tàu cá TR100N1.DC/30W E27 6500K (12VDC)</t>
  </si>
  <si>
    <t>LED00046962</t>
  </si>
  <si>
    <t>Bóng LED Bulb A60N/7W E27 12000K (XK)</t>
  </si>
  <si>
    <t>LED00047976</t>
  </si>
  <si>
    <t>Bóng LED Bulb A60/5W DIM.G E27 2700K</t>
  </si>
  <si>
    <t>LED00047997</t>
  </si>
  <si>
    <t>Bóng LED Bulb TR60N2/10W E27 6500K SS-TC</t>
  </si>
  <si>
    <t>LED00074330</t>
  </si>
  <si>
    <t>Tấm Solar Poly crystalline CP03.SL.RAD 400W.V2 (TP)</t>
  </si>
  <si>
    <t>LED00076077</t>
  </si>
  <si>
    <t>Đèn LED High Bay HB03 390/200W 3000K SS</t>
  </si>
  <si>
    <t>LED00080267</t>
  </si>
  <si>
    <t>Đèn LED Chiếu pha CP06 200W 4000K MKV (XK)</t>
  </si>
  <si>
    <t>LED00080551</t>
  </si>
  <si>
    <t>Đèn LED chiếu sáng đường CSD08 150W.NEMA 4000K</t>
  </si>
  <si>
    <t>LED00084463</t>
  </si>
  <si>
    <t>Đèn LED chiếu sáng đường NLMT CSD08.SL 100W.HCM 4000K</t>
  </si>
  <si>
    <t>LED00005254</t>
  </si>
  <si>
    <t>Đèn Led Downlight AT03 110/5W 3500K</t>
  </si>
  <si>
    <t>LED00005283</t>
  </si>
  <si>
    <t>Đèn Led Downlight AT02 208/25W 5000K</t>
  </si>
  <si>
    <t>LED00005297</t>
  </si>
  <si>
    <t>Đèn Led Downlight AT04 200/25W 3000K</t>
  </si>
  <si>
    <t>LED00012963</t>
  </si>
  <si>
    <t>Đèn LED Downlight AT05 90/5W 6500K SS</t>
  </si>
  <si>
    <t>LED00014321</t>
  </si>
  <si>
    <t>Đèn LED Downlight AT05 110/5W 3000K SS</t>
  </si>
  <si>
    <t>LED00023035</t>
  </si>
  <si>
    <t>Đèn LED Downlight AT05 155/15W 5700K (XK) SS</t>
  </si>
  <si>
    <t>LED00025764</t>
  </si>
  <si>
    <t>Đèn LED Downlight AT04 90/7W.DA 6500K SS</t>
  </si>
  <si>
    <t>LED00025765</t>
  </si>
  <si>
    <t>Đèn LED Downlight AT04 110/7W.DA 3000K SS</t>
  </si>
  <si>
    <t>LED00025775</t>
  </si>
  <si>
    <t>Đèn LED Downlight AT04 155/25W.DA 4000K SS</t>
  </si>
  <si>
    <t>LED00027515</t>
  </si>
  <si>
    <t>Đèn LED Panel đổi màu D PT05L 110/9W (G)</t>
  </si>
  <si>
    <t>LED00028952</t>
  </si>
  <si>
    <t>Đèn LED Panel đổi màu D PT05L 90/6W (G)</t>
  </si>
  <si>
    <t>LED00030888</t>
  </si>
  <si>
    <t>Đèn LED Downlight AT04 110/7W 5000K SS</t>
  </si>
  <si>
    <t>LED00035727</t>
  </si>
  <si>
    <t>Đèn Led Downlight AT04 110/7W 4000K SS</t>
  </si>
  <si>
    <t>LED00037328</t>
  </si>
  <si>
    <t>Đèn LED Downlight MQTL1100 6inch 15W CCT (Yankon)</t>
  </si>
  <si>
    <t>LED00038496</t>
  </si>
  <si>
    <t>Đèn LED Downlight AT04 155/25W 5000K SS</t>
  </si>
  <si>
    <t>LED00039592</t>
  </si>
  <si>
    <t>Đèn LED Downlight đổi màu AT10 110/12W (G)-YEMEN</t>
  </si>
  <si>
    <t>LED00040172</t>
  </si>
  <si>
    <t>Đèn LED Downlight AT10 110/9W 3000K</t>
  </si>
  <si>
    <t>LED00042773</t>
  </si>
  <si>
    <t>Đèn LED Downlight diệt khuẩn AT21.UV 135/14W 3000K</t>
  </si>
  <si>
    <t>LED00025814</t>
  </si>
  <si>
    <t>Đèn LED chiếu sáng đường CSD02 70W 5000K (HY)</t>
  </si>
  <si>
    <t>LED00026595</t>
  </si>
  <si>
    <t>Đèn LED chiếu sáng đường CSD03 60W 4000K</t>
  </si>
  <si>
    <t>LED00026718</t>
  </si>
  <si>
    <t>Đèn LED chiếu sáng đường CSD03 80W 5000K</t>
  </si>
  <si>
    <t>LED00031169</t>
  </si>
  <si>
    <t>Đèn LED chiếu sáng đường CSD04 110W 4000K</t>
  </si>
  <si>
    <t>LED00032149</t>
  </si>
  <si>
    <t>Đèn LED 120W-I</t>
  </si>
  <si>
    <t>LED00032875</t>
  </si>
  <si>
    <t>Đèn LED Highbay HB02 430/150W.DA 6500K SS</t>
  </si>
  <si>
    <t>LED00033858</t>
  </si>
  <si>
    <t>Đèn LED Chiếu pha CP06 70W 8000K SS</t>
  </si>
  <si>
    <t>LED00035027</t>
  </si>
  <si>
    <t>Đèn LED Chiếu pha CP04 100W 4000K (BT)</t>
  </si>
  <si>
    <t>LED00035029</t>
  </si>
  <si>
    <t>Đèn LED Chiếu pha CP04 400W 4000K (BT)</t>
  </si>
  <si>
    <t>LED00036129</t>
  </si>
  <si>
    <t>Đèn LED Chiếu pha NLMT CP01SL 60W</t>
  </si>
  <si>
    <t>LED00037826</t>
  </si>
  <si>
    <t>Đèn LED High Bay D HB03L 310/120W.EVT 6500K</t>
  </si>
  <si>
    <t>LED00038794</t>
  </si>
  <si>
    <t>Đèn LED chiếu sáng đường CSD02 200W.DA 4000K</t>
  </si>
  <si>
    <t>LED00040698</t>
  </si>
  <si>
    <t>Đèn LED chiếu sáng đường CSD05 150W 5000K (QB)</t>
  </si>
  <si>
    <t>LED00041289</t>
  </si>
  <si>
    <t>Đèn LED chiếu sáng đường CSD03/80W.EV 5000K</t>
  </si>
  <si>
    <t>LED00044431</t>
  </si>
  <si>
    <t>Đèn LED chiếu sáng đường CSD04 200W 4000K</t>
  </si>
  <si>
    <t>LED00045945</t>
  </si>
  <si>
    <t>Đèn LED Highbay HB03 290/100W.DA 3000K SS</t>
  </si>
  <si>
    <t>LED00047546</t>
  </si>
  <si>
    <t>Đèn LED chiếu sáng đường CSD08 60W 5000K</t>
  </si>
  <si>
    <t>LED00048916</t>
  </si>
  <si>
    <t>Đèn LED chiếu pha CPT03 36W.QT 45D 4000K (IP65)</t>
  </si>
  <si>
    <t>LED00049076</t>
  </si>
  <si>
    <t>Đèn LED High Bay HB03 350/120W.DA 6500K SS</t>
  </si>
  <si>
    <t>LED00050855</t>
  </si>
  <si>
    <t>Đèn LED Chiếu pha CP06 150W 6500K SS-CT</t>
  </si>
  <si>
    <t>LED00052397</t>
  </si>
  <si>
    <t>Đèn LED Chiếu pha NLMT CP03.SL 200W 6500K</t>
  </si>
  <si>
    <t>LED00055290</t>
  </si>
  <si>
    <t>Đèn LED chiếu sáng đường CSD02 80W-I.BT 4000K</t>
  </si>
  <si>
    <t>LED00059973</t>
  </si>
  <si>
    <t>Đèn LED Highbay HB04 360/120W 6500K</t>
  </si>
  <si>
    <t>LED00062319</t>
  </si>
  <si>
    <t>Tấm Solar Poly crystalline CP03.SL.RAD 200W.V2</t>
  </si>
  <si>
    <t>LED00033947</t>
  </si>
  <si>
    <t>Đèn LED chiếu sáng đường CSD03 100W.DA 4000K</t>
  </si>
  <si>
    <t>LED00035770</t>
  </si>
  <si>
    <t>Đèn LED chiếu sáng đường CSD03 50W 5000K</t>
  </si>
  <si>
    <t>LED00035827</t>
  </si>
  <si>
    <t>Đèn LED chiếu sáng đường CSD05 90W 5000K</t>
  </si>
  <si>
    <t>LED00037825</t>
  </si>
  <si>
    <t>Đèn LED High Bay D HB03L 360/200W.EVT 6500K</t>
  </si>
  <si>
    <t>LED00038356</t>
  </si>
  <si>
    <t>Đèn LED chiếu sáng đường CSD02 120W 6500K</t>
  </si>
  <si>
    <t>LED00038873</t>
  </si>
  <si>
    <t>Đèn LED đánh cá DC05 400W NA 4000K</t>
  </si>
  <si>
    <t>LED00042921</t>
  </si>
  <si>
    <t>Đèn LED chiếu pha CP07 150W 5000K (90 độ)</t>
  </si>
  <si>
    <t>LED00042927</t>
  </si>
  <si>
    <t>Đèn LED chiếu pha CP07 200W 5000K (60 độ)</t>
  </si>
  <si>
    <t>LED00042928</t>
  </si>
  <si>
    <t>Đèn LED chiếu pha CP07 250W 5000K (60 độ)</t>
  </si>
  <si>
    <t>LED00043235</t>
  </si>
  <si>
    <t>Đèn LED Chiếu pha NLMT CP01.SL.RF V2 40W</t>
  </si>
  <si>
    <t>LED00044898</t>
  </si>
  <si>
    <t>Đèn LED Chiếu pha NLMT CP01.SL.RF 50W</t>
  </si>
  <si>
    <t>LED00045260</t>
  </si>
  <si>
    <t>Đèn LED Chiếu pha NLMT CP01SL 90W 3000K.DA</t>
  </si>
  <si>
    <t>LED00046394</t>
  </si>
  <si>
    <t>Đèn LED Chiếu pha CP06 200W 6500K SS-CT</t>
  </si>
  <si>
    <t>LED00047690</t>
  </si>
  <si>
    <t>Đèn LED chiếu pha CP09 50W.QT 35D 4000K (IP66)</t>
  </si>
  <si>
    <t>LED00047864</t>
  </si>
  <si>
    <t>Đèn LED chiếu sáng đường CSD04 75W 5000K</t>
  </si>
  <si>
    <t>LED00048347</t>
  </si>
  <si>
    <t>Đèn LED âm nước AN01 36W.QT 30D 3000K (IP68)</t>
  </si>
  <si>
    <t>LED00054512</t>
  </si>
  <si>
    <t>Đèn LED chiếu sáng đường CSD08 107W 4000K</t>
  </si>
  <si>
    <t>LED00061837</t>
  </si>
  <si>
    <t>Đèn LED chiếu sáng đường NLMT CSD02.SL 70W.IOT 6500K SS</t>
  </si>
  <si>
    <t>LED00062320</t>
  </si>
  <si>
    <t>Tấm Solar Poly crystalline CP03.SL.RAD 300W.V2</t>
  </si>
  <si>
    <t>LED00068496</t>
  </si>
  <si>
    <t>Đèn LED chiếu pha Floody ECO CP11 100W 4000K (XK)-CT</t>
  </si>
  <si>
    <t>LED00069537</t>
  </si>
  <si>
    <t>Đèn LED Chiếu pha CP06 150W 12000K</t>
  </si>
  <si>
    <t>LED00069566</t>
  </si>
  <si>
    <t>Đèn LED Highbay HB06 300/150W.PLUS 6500K</t>
  </si>
  <si>
    <t>LED00073631</t>
  </si>
  <si>
    <t>Đèn LED chiếu sáng đường CSD10 60W.NEMA 4000K</t>
  </si>
  <si>
    <t>LED00050856</t>
  </si>
  <si>
    <t>Đèn LED chiếu sáng đường CSD02 30W 5000K-CT</t>
  </si>
  <si>
    <t>LED00050857</t>
  </si>
  <si>
    <t>Đèn LED chiếu sáng đường CSD03 50W 4000K-CT</t>
  </si>
  <si>
    <t>LED00052318</t>
  </si>
  <si>
    <t>Đèn LED chiếu sáng đường CSD02 60W.PLUS 5000K</t>
  </si>
  <si>
    <t>LED00052353</t>
  </si>
  <si>
    <t>Đèn LED chiếu sáng đường CSD03 100W.PLUS 4000K</t>
  </si>
  <si>
    <t>LED00058157</t>
  </si>
  <si>
    <t>Module LED đèn đường ML-CSD5S2P.RS09 25W 5000K (XK)</t>
  </si>
  <si>
    <t>LED00058239</t>
  </si>
  <si>
    <t>Đèn LED High Bay HB03R 330/150W AC 5700K</t>
  </si>
  <si>
    <t>LED00058527</t>
  </si>
  <si>
    <t>Đèn LED chiếu sáng đường CSD02 70W 4000K (QB)</t>
  </si>
  <si>
    <t>LED00059904</t>
  </si>
  <si>
    <t>Đèn LED Chiếu pha CP10 30W 6500K SS</t>
  </si>
  <si>
    <t>LED00060193</t>
  </si>
  <si>
    <t>Đèn LED High Bay HB03 330/150W DC 5700K</t>
  </si>
  <si>
    <t>LED00062094</t>
  </si>
  <si>
    <t>Đèn LED âm đất AD01 220/18W 3000K (15D, IP67)</t>
  </si>
  <si>
    <t>LED00067557</t>
  </si>
  <si>
    <t>Đèn LED chiếu sáng đường NLMT CSD02.SL 70W 4000K</t>
  </si>
  <si>
    <t>LED00071011</t>
  </si>
  <si>
    <t>Đèn LED chiếu sáng đường CSD08 70W 4000K</t>
  </si>
  <si>
    <t>LED00071774</t>
  </si>
  <si>
    <t>Đèn LED Highbay HB03 350/115W.L4L 6500K</t>
  </si>
  <si>
    <t>LED00072331</t>
  </si>
  <si>
    <t>Đèn LED chiếu pha CPT03 36W RGBW 60D</t>
  </si>
  <si>
    <t>LED00074328</t>
  </si>
  <si>
    <t>Tấm Solar Poly crystalline CP03.SL.RAD 200W.V2 (TP)</t>
  </si>
  <si>
    <t>LED00075177</t>
  </si>
  <si>
    <t>Đèn LED Chiếu pha NLMT CP03.SL.RAD 200W.V2 6500K (KSL)-CT</t>
  </si>
  <si>
    <t>LED00077137</t>
  </si>
  <si>
    <t>Đèn LED Highbay HB03 330/200W DC SELV 5700K-KN</t>
  </si>
  <si>
    <t>LED00079084</t>
  </si>
  <si>
    <t>Đèn LED chiếu sáng đường NLMT CSD08.SL 100W.ĐA 4000K</t>
  </si>
  <si>
    <t>LED00081485</t>
  </si>
  <si>
    <t>Đèn LED chiếu sáng đường CSD08 200W 5000K (Tính giá)</t>
  </si>
  <si>
    <t>LED00082765</t>
  </si>
  <si>
    <t>Đèn LED chiếu pha CP07 1000W 5000K (90 độ)</t>
  </si>
  <si>
    <t>LED00082868</t>
  </si>
  <si>
    <t>Đèn LED chiếu pha CP07 250W.NEMA 5000K (90 độ)</t>
  </si>
  <si>
    <t>LED00083144</t>
  </si>
  <si>
    <t>Đèn LED chiếu pha CPT02 15W.APG 3000K (6D, IP66)</t>
  </si>
  <si>
    <t>LED00084699</t>
  </si>
  <si>
    <t>Đèn LED HighBay HB05 300/150W AC 5700K-OSRAM</t>
  </si>
  <si>
    <t>LED00025153</t>
  </si>
  <si>
    <t>Đèn LED chiếu sáng đường CSD05 100W 4000K</t>
  </si>
  <si>
    <t>LED00025805</t>
  </si>
  <si>
    <t>Đèn LED Highbay HB02 350/50W 3000K SS</t>
  </si>
  <si>
    <t>LED00029757</t>
  </si>
  <si>
    <t>Đèn LED chiếu sáng đường CSD06 100W 5000K</t>
  </si>
  <si>
    <t>LED00032765</t>
  </si>
  <si>
    <t>Đèn LED chiếu sáng đường CSD02 125W 5000K</t>
  </si>
  <si>
    <t>LED00033043</t>
  </si>
  <si>
    <t>Đèn LED chiếu sáng đường CSD06 120W 4000K (IN)</t>
  </si>
  <si>
    <t>LED00039520</t>
  </si>
  <si>
    <t>Đèn LED Chiếu sáng đường CSD02 40W.KH 5000K</t>
  </si>
  <si>
    <t>LED00039521</t>
  </si>
  <si>
    <t>Đèn LED Chiếu sáng đường CSD02 50W.KH 5000K</t>
  </si>
  <si>
    <t>LED00040916</t>
  </si>
  <si>
    <t>Đèn LED chiếu sáng đường CSD08 150W 5000K</t>
  </si>
  <si>
    <t>LED00041663</t>
  </si>
  <si>
    <t>Đèn LED chiếu sáng đường CSD06 100W 5000K (QB)</t>
  </si>
  <si>
    <t>LED00042952</t>
  </si>
  <si>
    <t>Đèn LED chiếu pha CP07 200W 4000K (60 độ)</t>
  </si>
  <si>
    <t>LED00043992</t>
  </si>
  <si>
    <t>Đèn LED High Bay HB03 350/150W.DA 3000K SS</t>
  </si>
  <si>
    <t>LED00045270</t>
  </si>
  <si>
    <t>Đèn LED Worklight MPL 1063 100W 5000K (Yankon)</t>
  </si>
  <si>
    <t>LED00047638</t>
  </si>
  <si>
    <t>Đèn LED chiếu pha CP07 300W 4000K (90 độ)</t>
  </si>
  <si>
    <t>LED00048350</t>
  </si>
  <si>
    <t>Đèn LED chiếu pha CPV01 72W.QT 10D 3000K (IP65)</t>
  </si>
  <si>
    <t>LED00056589</t>
  </si>
  <si>
    <t>Đèn LED chiếu sáng đường NLMT CSD02.SL.RF 100W.BH 6500K</t>
  </si>
  <si>
    <t>LED00056993</t>
  </si>
  <si>
    <t>Đèn LED chiếu sáng đường CSD09 50W 5000K</t>
  </si>
  <si>
    <t>LED00061459</t>
  </si>
  <si>
    <t>Đèn LED Highbay HB03 290/50W 6500K SS</t>
  </si>
  <si>
    <t>LED00063135</t>
  </si>
  <si>
    <t>Đèn LED chiếu sáng đường NLMT CSD08.SL.WIN 50W.MPL</t>
  </si>
  <si>
    <t>LED00064228</t>
  </si>
  <si>
    <t>Đèn LED chiếu sáng đường CSD02 90W.DA 4000K</t>
  </si>
  <si>
    <t>LED00068499</t>
  </si>
  <si>
    <t>Đèn LED High Bay HB03 290/100W 6500K SS-CT</t>
  </si>
  <si>
    <t>LED00069049</t>
  </si>
  <si>
    <t>Đèn LED High Bay HB03 400/200W DC 5700K-KN</t>
  </si>
  <si>
    <t>LED00074457</t>
  </si>
  <si>
    <t>Đèn LED Highbay GDXL1074 3FT 380W 4000K (Yankon)</t>
  </si>
  <si>
    <t>LED00075364</t>
  </si>
  <si>
    <t>Đèn LED HighBay HB05 300/200W DC 5700K - Cách ly</t>
  </si>
  <si>
    <t>LED00017872</t>
  </si>
  <si>
    <t>Đèn LED Pin đội đầu PDD02 3W vàng</t>
  </si>
  <si>
    <t>LED00005226</t>
  </si>
  <si>
    <t>Bóng đèn LED (LED A60N/3W)E27-á/s vàng</t>
  </si>
  <si>
    <t>LED00012322</t>
  </si>
  <si>
    <t>Bóng LED Bulb A80N1/15W E27 6500K SS</t>
  </si>
  <si>
    <t>LED00012516</t>
  </si>
  <si>
    <t>Bóng LED Bulb TR100N2/28W E27 6500K SS</t>
  </si>
  <si>
    <t>LED00012911</t>
  </si>
  <si>
    <t>Bóng LED Bulb TR60N2/10W E27 3000K SS</t>
  </si>
  <si>
    <t>LED00020147</t>
  </si>
  <si>
    <t>Bóng LED Bulb TR100NĐ2/30W E27 6500K SS</t>
  </si>
  <si>
    <t>LED00028916</t>
  </si>
  <si>
    <t>Bóng LED Bulb A70/15W E27 8000K (Havana)</t>
  </si>
  <si>
    <t>LED00033834</t>
  </si>
  <si>
    <t>Bóng LED Bulb TR140N1/50W E27 12000K SS (XK)</t>
  </si>
  <si>
    <t>LED00033844</t>
  </si>
  <si>
    <t>Bóng LED Bulb TR140N1/50W B22 3000K SS (XK)</t>
  </si>
  <si>
    <t>LED00036214</t>
  </si>
  <si>
    <t>Bóng đèn(LEDA60N3/7W)E27-á/s vàng(LED SS)-CTT</t>
  </si>
  <si>
    <t>LED00036221</t>
  </si>
  <si>
    <t>LED BULB(LED TR70N1/14W) E27-6500K(SS)-CTT</t>
  </si>
  <si>
    <t>LED00037421</t>
  </si>
  <si>
    <t>LED BULB(LED TR140N1/50W) E27-6500K SS-CT</t>
  </si>
  <si>
    <t>LED00037564</t>
  </si>
  <si>
    <t>Bóng LED Bulb Sunlike A60/6W E26 6500K(SSC)</t>
  </si>
  <si>
    <t>LED00039631</t>
  </si>
  <si>
    <t>Bóng LED Bulb A45N1/3W E27 12000K (XK)</t>
  </si>
  <si>
    <t>LED00039772</t>
  </si>
  <si>
    <t>Bóng LED Bulb Tàu cá TR120.TC/40W E27 6500K</t>
  </si>
  <si>
    <t>LED00047627</t>
  </si>
  <si>
    <t>Bóng LED Bulb A55N4/5W E27 3000K-CTT</t>
  </si>
  <si>
    <t>LED00049345</t>
  </si>
  <si>
    <t>Bóng LED Bulb A65N1/12W E26 3000K (XK-SSC)</t>
  </si>
  <si>
    <t>LED00051237</t>
  </si>
  <si>
    <t>Bóng LED Bulb A60N1/8W E27 6500K</t>
  </si>
  <si>
    <t>LED00058255</t>
  </si>
  <si>
    <t>Bóng LED bulb A60N1/9W.DC 6500K (12-24VDC Kẹp)</t>
  </si>
  <si>
    <t>LED00067252</t>
  </si>
  <si>
    <t>Bóng LED Bulb TR70N1/12W 6500K (12-24VDC kẹp) SS-CT</t>
  </si>
  <si>
    <t>LED00073645</t>
  </si>
  <si>
    <t>Bóng LED Bulb A95N1/20W E27 6500K</t>
  </si>
  <si>
    <t>LED00075179</t>
  </si>
  <si>
    <t>Bóng LED Bulb TR120N1/40W E27 6500K-CT</t>
  </si>
  <si>
    <t>LED00077121</t>
  </si>
  <si>
    <t>Bóng LED Bulb TR120N1/40W E27 12000K (XK)</t>
  </si>
  <si>
    <t>LED00079943</t>
  </si>
  <si>
    <t>Bóng LED Bulb A80N1/15W E27 3000K</t>
  </si>
  <si>
    <t>LED00080891</t>
  </si>
  <si>
    <t>Bóng LED Bulb TR100N1/30W E27 3000K</t>
  </si>
  <si>
    <t>LED00045467</t>
  </si>
  <si>
    <t>Bóng LED Bulb TR80NĐ2/20W E27 6500K SS-CT</t>
  </si>
  <si>
    <t>LED00046320</t>
  </si>
  <si>
    <t>Bóng LED Bulb TR140N1/50W E27 6500K SS-CT</t>
  </si>
  <si>
    <t>LED00047603</t>
  </si>
  <si>
    <t>Bóng LED Bulb A70N1/12W E27 3000K SS-CTT</t>
  </si>
  <si>
    <t>LED00047604</t>
  </si>
  <si>
    <t>Bóng LED Bulb A80N1/15W E27 3000K SS-CTT</t>
  </si>
  <si>
    <t>LED00047610</t>
  </si>
  <si>
    <t>Bóng LED Bulb TR140N1/50W E27 3000K SS-CTT</t>
  </si>
  <si>
    <t>LED00048010</t>
  </si>
  <si>
    <t>Bóng LED Bulb A95N1/20W E27 3000K SS-TC</t>
  </si>
  <si>
    <t>LED00048011</t>
  </si>
  <si>
    <t>Bóng LED Bulb A95N1/20W E27 6500K SS-TC</t>
  </si>
  <si>
    <t>LED00080448</t>
  </si>
  <si>
    <t>Bóng LED Bulb TR140N1/50W E27 3000K</t>
  </si>
  <si>
    <t>LED00005397</t>
  </si>
  <si>
    <t>Đèn LED Highbay HB02 430/150W 6500K SS</t>
  </si>
  <si>
    <t>LED00014329</t>
  </si>
  <si>
    <t>Đèn LED Highbay HB02 500/200W 3000K SS</t>
  </si>
  <si>
    <t>LED00023159</t>
  </si>
  <si>
    <t>Đèn LED Chiếu pha CP06 100W 6500K SS</t>
  </si>
  <si>
    <t>LED00023364</t>
  </si>
  <si>
    <t>Đèn LED Chiếu pha CP06 10W 6500K SS</t>
  </si>
  <si>
    <t>LED00025813</t>
  </si>
  <si>
    <t>Đèn LED chiếu sáng đường CSD02 60W.DA 5000K</t>
  </si>
  <si>
    <t>LED00025815</t>
  </si>
  <si>
    <t>Đèn LED chiếu sáng đường CSD02 70W.DA 4000K</t>
  </si>
  <si>
    <t>LED00026715</t>
  </si>
  <si>
    <t>Đèn LED chiếu sáng đường CSD03 70W 4000K</t>
  </si>
  <si>
    <t>LED00029451</t>
  </si>
  <si>
    <t>Đèn LED High Bay HB03 350/120W 6500K SS</t>
  </si>
  <si>
    <t>LED00033828</t>
  </si>
  <si>
    <t>Đèn LED chiếu sáng đường NLMT CSD01SL 50W</t>
  </si>
  <si>
    <t>LED00034225</t>
  </si>
  <si>
    <t>Đèn LED chiếu sáng đường CSD04 150W 4000K (QB)</t>
  </si>
  <si>
    <t>LED00038373</t>
  </si>
  <si>
    <t>Đèn LED chiếu sáng đường CSD02 70W 6500K</t>
  </si>
  <si>
    <t>LED00041422</t>
  </si>
  <si>
    <t>Đèn LED chiếu sáng đường NLMT CSD02.SL.PV 60W</t>
  </si>
  <si>
    <t>LED00042953</t>
  </si>
  <si>
    <t>Đèn LED chiếu pha CP07 200W 4000K (90 độ)</t>
  </si>
  <si>
    <t>LED00043663</t>
  </si>
  <si>
    <t>Đèn LED chiếu sáng đường CSD08 120W 4000K</t>
  </si>
  <si>
    <t>LED00044278</t>
  </si>
  <si>
    <t>Đèn LED chiếu sáng đường CSD08 150W 4000K</t>
  </si>
  <si>
    <t>LED00046025</t>
  </si>
  <si>
    <t>Đèn LED đánh cá DC05 500W 3000K (SPD)</t>
  </si>
  <si>
    <t>LED00083149</t>
  </si>
  <si>
    <t>Đèn LED chiếu pha CPT02 15W.APG 3000K (60D, IP66)</t>
  </si>
  <si>
    <t>LED00084705</t>
  </si>
  <si>
    <t>Đèn LED HighBay HB05 300/200W AC 3000K-OSRAM</t>
  </si>
  <si>
    <t>00000318</t>
  </si>
  <si>
    <t>Đèn Led Downlight(D AT03L120/9W)-Trắng S</t>
  </si>
  <si>
    <t>LED00005252</t>
  </si>
  <si>
    <t>Đèn LED Downlight AT03 110/5W 6500K</t>
  </si>
  <si>
    <t>LED00005282</t>
  </si>
  <si>
    <t>Đèn Led Downlight AT02 208/25W 3000K</t>
  </si>
  <si>
    <t>LED00005293</t>
  </si>
  <si>
    <t>Đèn LED Downlight AT04 90/7W 3000K SS</t>
  </si>
  <si>
    <t>LED00005447</t>
  </si>
  <si>
    <t>Đèn LED Panel PT02 110/5W 6500K</t>
  </si>
  <si>
    <t>LED00005469</t>
  </si>
  <si>
    <t>Đèn LED Panel PT01 240/12W 5000K</t>
  </si>
  <si>
    <t>LED00012710</t>
  </si>
  <si>
    <t>Đèn LED Downlight AT04 155/16W 5000K SS</t>
  </si>
  <si>
    <t>LED00018282</t>
  </si>
  <si>
    <t>Đèn LED Downlight AT04 110/9W 4000K SS</t>
  </si>
  <si>
    <t>LED00018551</t>
  </si>
  <si>
    <t>Đèn LED Downlight AT10 90/7W 6500K (G) SS</t>
  </si>
  <si>
    <t>LED00020761</t>
  </si>
  <si>
    <t>Đèn LED Downlight AT14 76/7W 4000K SS</t>
  </si>
  <si>
    <t>LED00020807</t>
  </si>
  <si>
    <t>Đèn LED Downlight AT04 110/7W.DA 6500K SS</t>
  </si>
  <si>
    <t>LED00020813</t>
  </si>
  <si>
    <t>Đèn LED Downlight AT12 76/3W 6500K SS</t>
  </si>
  <si>
    <t>LED00020815</t>
  </si>
  <si>
    <t>Đèn LED Downlight AT12 90/5W 3000K SS</t>
  </si>
  <si>
    <t>LED00021441</t>
  </si>
  <si>
    <t>Đèn LED Downlight AT04 90/9W.DA 6500K SS</t>
  </si>
  <si>
    <t>LED00030180</t>
  </si>
  <si>
    <t>Đèn LED Downlight AT14 170/30W 6500K SS</t>
  </si>
  <si>
    <t>LED00032228</t>
  </si>
  <si>
    <t>Đèn LED Panel PT04 110/7W 3000K</t>
  </si>
  <si>
    <t>LED00032237</t>
  </si>
  <si>
    <t>Đèn LED Panel PT04 90/7W 6500K</t>
  </si>
  <si>
    <t>LED00033385</t>
  </si>
  <si>
    <t>Đèn LED Downlight AT14 155/20W 4000K</t>
  </si>
  <si>
    <t>LED00036840</t>
  </si>
  <si>
    <t>Đèn LED Panel PT04 135/12W.DA 4000K</t>
  </si>
  <si>
    <t>LED00036858</t>
  </si>
  <si>
    <t>Đèn LED Downlight AT16 110/9W.DA 3000K SS</t>
  </si>
  <si>
    <t>LED00040058</t>
  </si>
  <si>
    <t>Đèn LED Downlight AT04 110/9W 6500K</t>
  </si>
  <si>
    <t>LED00064518</t>
  </si>
  <si>
    <t>Module LED đèn đường ML-CSD5S2P.RS09 25W 4000K (XK)</t>
  </si>
  <si>
    <t>LED00065446</t>
  </si>
  <si>
    <t>Đèn LED chiếu pha Floody ECO CP11 50W 4000K (XK)</t>
  </si>
  <si>
    <t>LED00067559</t>
  </si>
  <si>
    <t>Đèn LED chiếu sáng đường NLMT CSD02.SL 120W 4000K</t>
  </si>
  <si>
    <t>LED00067987</t>
  </si>
  <si>
    <t>Đèn LED chiếu pha CPT02 36W 3000K (25D, IP66)</t>
  </si>
  <si>
    <t>LED00068493</t>
  </si>
  <si>
    <t>Đèn LED Chiếu pha CP10 30W 6500K SS-CT</t>
  </si>
  <si>
    <t>LED00070696</t>
  </si>
  <si>
    <t>Đèn LED Linear Highbay GDXL1034 2FT/130W (KN,LED)</t>
  </si>
  <si>
    <t>LED00072862</t>
  </si>
  <si>
    <t>Đèn LED Highbay HB02 430/150W 6500K</t>
  </si>
  <si>
    <t>LED00073352</t>
  </si>
  <si>
    <t>LED00073635</t>
  </si>
  <si>
    <t>Đèn LED chiếu sáng đường CSD10 80W.NEMA 4000K</t>
  </si>
  <si>
    <t>LED00074456</t>
  </si>
  <si>
    <t>Đèn LED Highbay GDXL1074 3FT 320W 4000K (Yankon)</t>
  </si>
  <si>
    <t>LED00074474</t>
  </si>
  <si>
    <t>Đèn LED chiếu sáng đường NLMT CSD08.SL 100W 4000K</t>
  </si>
  <si>
    <t>LED00075185</t>
  </si>
  <si>
    <t>Tấm Solar Poly crystalline CP03.SL.RAD 300W.V2 (TP)-CT</t>
  </si>
  <si>
    <t>LED00079607</t>
  </si>
  <si>
    <t>Đèn LED Chiếu pha CP12 50W 6500K</t>
  </si>
  <si>
    <t>LED00079707</t>
  </si>
  <si>
    <t>Đèn chiếu sáng đường NLMT CSD08.SL.HB 120W 5000K</t>
  </si>
  <si>
    <t>LED00080145</t>
  </si>
  <si>
    <t>Đèn LED NLMT NX.SL.RAD 300W 6500K</t>
  </si>
  <si>
    <t>LED00080217</t>
  </si>
  <si>
    <t>Đèn LED Chiếu pha CP12 100W 6500K</t>
  </si>
  <si>
    <t>LED00082850</t>
  </si>
  <si>
    <t>Đèn LED Chiếu pha CP12 10W 3000K</t>
  </si>
  <si>
    <t>LED00082852</t>
  </si>
  <si>
    <t>Đèn LED Chiếu pha CP12 30W 3000K</t>
  </si>
  <si>
    <t>LED00083164</t>
  </si>
  <si>
    <t>Đèn LED Chiếu pha CPT02 6W.APG 3000K (20D)</t>
  </si>
  <si>
    <t>LED00005241</t>
  </si>
  <si>
    <t>Đèn Led Downlight AT03 76/3W 6500K</t>
  </si>
  <si>
    <t>LED00005276</t>
  </si>
  <si>
    <t>Đèn Led Downlight AT02 160/16W 3000K</t>
  </si>
  <si>
    <t>LED00005287</t>
  </si>
  <si>
    <t>Đèn LED Downlight AT04 110/9W 6500K SS</t>
  </si>
  <si>
    <t>LED00005448</t>
  </si>
  <si>
    <t>Đèn LED Panel PT02 110/5W 3000K</t>
  </si>
  <si>
    <t>LED00039374</t>
  </si>
  <si>
    <t>Đèn LED Chiếu pha CP06 200W 12000K</t>
  </si>
  <si>
    <t>LED00041488</t>
  </si>
  <si>
    <t>Đèn LED chiếu sáng đường CSD02.DIM 120W 5000K</t>
  </si>
  <si>
    <t>LED00042603</t>
  </si>
  <si>
    <t>Đèn LED chiếu sáng đường CSD03 50W 5000K (QB)</t>
  </si>
  <si>
    <t>LED00043944</t>
  </si>
  <si>
    <t>Đèn LED chiếu sáng đường CSD08 100W 4000K</t>
  </si>
  <si>
    <t>LED00045470</t>
  </si>
  <si>
    <t>Đèn LED Chiếu pha CP06 50W 6500K SS-CT</t>
  </si>
  <si>
    <t>LED00047340</t>
  </si>
  <si>
    <t>Đèn LED Worklight MPL 1066 30W 5000K (Yankon)</t>
  </si>
  <si>
    <t>LED00047640</t>
  </si>
  <si>
    <t>Đèn LED chiếu pha CP07 400W 4000K (90 độ)</t>
  </si>
  <si>
    <t>LED00047845</t>
  </si>
  <si>
    <t>Đèn LED chiếu pha CP07 400W.QT 60D 4000K</t>
  </si>
  <si>
    <t>LED00049859</t>
  </si>
  <si>
    <t>Đèn LED chiếu sáng đường CSD08 110W 4000K</t>
  </si>
  <si>
    <t>LED00054517</t>
  </si>
  <si>
    <t>Đèn LED Chiếu pha CP06 20W 6500K</t>
  </si>
  <si>
    <t>LED00058240</t>
  </si>
  <si>
    <t>Đèn LED High Bay HB03R 330/120W AC 5700K</t>
  </si>
  <si>
    <t>LED00060229</t>
  </si>
  <si>
    <t>Đèn LED chiếu sáng đường NLMT CSD01.SL.RF 28W.HT</t>
  </si>
  <si>
    <t>LED00061987</t>
  </si>
  <si>
    <t>Đèn LED chiếu pha CPV01 30W 3000K (24D, IP66)</t>
  </si>
  <si>
    <t>LED00063069</t>
  </si>
  <si>
    <t>Đèn LED Chiếu pha NLMT CP03.SL.RAD 500W.V2 6500K</t>
  </si>
  <si>
    <t>LED00063081</t>
  </si>
  <si>
    <t>Đèn LED Linear Highbay HB05 1010/200W 6500K</t>
  </si>
  <si>
    <t>LED00068495</t>
  </si>
  <si>
    <t>Đèn LED chiếu pha Floody ECO CP11 100W 3000K (XK)-CT</t>
  </si>
  <si>
    <t>LED00071330</t>
  </si>
  <si>
    <t>Đèn LED High Bay HB05 300/120W AC 5700K</t>
  </si>
  <si>
    <t>LED00071399</t>
  </si>
  <si>
    <t>Đèn LED chiếu sáng đường CSD10 250W 4000K</t>
  </si>
  <si>
    <t>LED00071961</t>
  </si>
  <si>
    <t>Đèn LED High Bay HB05 250/100W DC 5700K - Cách ly</t>
  </si>
  <si>
    <t>LED00072379</t>
  </si>
  <si>
    <t>Module LED đèn đường ML-CSD5S2P.HMT 25W 5000K (XK-KCV)</t>
  </si>
  <si>
    <t>LED00073761</t>
  </si>
  <si>
    <t>Đèn LED Highbay HB02 350/50W 6500K</t>
  </si>
  <si>
    <t>LED00074327</t>
  </si>
  <si>
    <t>Tấm Solar Poly - crystalline CP03.SL.RAD 100W.V2 (TP)</t>
  </si>
  <si>
    <t>LED00075180</t>
  </si>
  <si>
    <t>Đèn LED Chiếu pha NLMT CP03.SL.RAD 300W.V2 6500K (KSL)-CT</t>
  </si>
  <si>
    <t>LED00058941</t>
  </si>
  <si>
    <t>Đèn LED chiếu pha CPT05.DMX.RGBW 60W</t>
  </si>
  <si>
    <t>LED00062909</t>
  </si>
  <si>
    <t>Đèn LED chiếu pha CPV01 32W 3000K (5D, IP66)</t>
  </si>
  <si>
    <t>LED00063488</t>
  </si>
  <si>
    <t>Đèn LED chiếu pha CP07 150W.GOV 6500K</t>
  </si>
  <si>
    <t>LED00064170</t>
  </si>
  <si>
    <t>Đèn LED chiếu sáng cảnh quan DCQ01 60W 3000K</t>
  </si>
  <si>
    <t>LED00064517</t>
  </si>
  <si>
    <t>Module LED đèn đường ML-CSD5S2P.RS09 25W 5700K (XK)</t>
  </si>
  <si>
    <t>LED00067365</t>
  </si>
  <si>
    <t>Đèn LED chiếu pha CPV03.DMX.RGBW 150W 15D (W4000K)</t>
  </si>
  <si>
    <t>LED00067560</t>
  </si>
  <si>
    <t>Đèn LED chiếu sáng đường NLMT CSD05.SL.RF 200W 6500K</t>
  </si>
  <si>
    <t>LED00068494</t>
  </si>
  <si>
    <t>Đèn LED Chiếu pha CP10 50W 6500K SS-CT</t>
  </si>
  <si>
    <t>LED00069564</t>
  </si>
  <si>
    <t>Đèn LED chiếu sáng đường CSD08 70W 5000K (QB)</t>
  </si>
  <si>
    <t>LED00073350</t>
  </si>
  <si>
    <t>Đèn LED chiếu sáng đường CSD12 100W 5000K</t>
  </si>
  <si>
    <t>LED00074324</t>
  </si>
  <si>
    <t>Đèn LED Chiếu pha NLMT CP03.SL.RAD 300W.V2 6500K (KSL)</t>
  </si>
  <si>
    <t>LED00074859</t>
  </si>
  <si>
    <t>Đèn LED chiếu sáng đường NLMT CSD05.SL.RF 500W.V2 6500K</t>
  </si>
  <si>
    <t>LED00077131</t>
  </si>
  <si>
    <t>Đèn LED chiếu sáng đường CSD10 120W.NEMA 4000K</t>
  </si>
  <si>
    <t>LED00078765</t>
  </si>
  <si>
    <t>Đèn LED chiếu sáng đường CSD12 60W 4000K</t>
  </si>
  <si>
    <t>LED00078766</t>
  </si>
  <si>
    <t>Đèn LED chiếu sáng đường CSD12 70W 4000K</t>
  </si>
  <si>
    <t>LED00080096</t>
  </si>
  <si>
    <t>Đèn LED chiếu pha tròn CPT02 25W.APG (20D) 3000K</t>
  </si>
  <si>
    <t>LED00080098</t>
  </si>
  <si>
    <t>Đèn LED chiếu pha vuông CPV05 40W.APG (12D) 3000K</t>
  </si>
  <si>
    <t>LED00082835</t>
  </si>
  <si>
    <t>Đèn LED chiếu sáng đường NLMT CSD05.SL.RF 100W.V3 6500K</t>
  </si>
  <si>
    <t>LED00083158</t>
  </si>
  <si>
    <t>Đèn LED Chiếu pha CPT03 30W.APG 3000K (60D)</t>
  </si>
  <si>
    <t>LED00084704</t>
  </si>
  <si>
    <t>Đèn LED HighBay HB05 300/150W AC 3000K-OSRAM</t>
  </si>
  <si>
    <t>LED00001627</t>
  </si>
  <si>
    <t>Đèn LED Panel PT03 110/6W 6500K SS</t>
  </si>
  <si>
    <t>LED00005242</t>
  </si>
  <si>
    <t>Đèn LED Downlight AT03 90/3W 3000K</t>
  </si>
  <si>
    <t>LED00005246</t>
  </si>
  <si>
    <t>Đèn LED Downlight AT03 90/5W 3000K</t>
  </si>
  <si>
    <t>LED00069077</t>
  </si>
  <si>
    <t>Đèn LED Đánh cá DC08 700W 4000K (SPD)</t>
  </si>
  <si>
    <t>LED00071371</t>
  </si>
  <si>
    <t>Đèn LED Đánh cá DC05 300W COB 4000K (SPD Lens 90 độ)</t>
  </si>
  <si>
    <t>LED00080549</t>
  </si>
  <si>
    <t>Đèn LED Rong nho RN01.BRG 220/150W</t>
  </si>
  <si>
    <t>LED00005725</t>
  </si>
  <si>
    <t>Đèn LED Pin 035DC/2W 3AA 6500K (KP)</t>
  </si>
  <si>
    <t>LED00005149</t>
  </si>
  <si>
    <t>Bóng đèn LED (LED A60 7W)E27-á/s trắng</t>
  </si>
  <si>
    <t>LED00005192</t>
  </si>
  <si>
    <t>Bóng LED Bulb TR70N1/14W E27 6500K SS</t>
  </si>
  <si>
    <t>LED00005214</t>
  </si>
  <si>
    <t>Bóng LED Bulb TR100N1/28W E27 6500K SS</t>
  </si>
  <si>
    <t>LED00012420</t>
  </si>
  <si>
    <t>Bóng LED Bulb TR60N1/12W E27 6500K SS</t>
  </si>
  <si>
    <t>LED00012834</t>
  </si>
  <si>
    <t>Bóng LED Bulb TR100N2/28W E27 3000K SS</t>
  </si>
  <si>
    <t>LED00021342</t>
  </si>
  <si>
    <t>Bóng LED Bulb trang trí A45B/1W (Blue)</t>
  </si>
  <si>
    <t>LED00028915</t>
  </si>
  <si>
    <t>Bóng LED Bulb A65/12W E27 8000K (Havana)</t>
  </si>
  <si>
    <t>LED00033835</t>
  </si>
  <si>
    <t>Bóng LED Bulb TR140N1/50W B22 12000K SS (XK)</t>
  </si>
  <si>
    <t>LED00037416</t>
  </si>
  <si>
    <t>Led Bulb(LED A95N1/20W)E27 6500K(LED SS)-CT</t>
  </si>
  <si>
    <t>LED00037419</t>
  </si>
  <si>
    <t>LED  BULB(LED TR100N1/30W) E27-6500K(SS)-CT</t>
  </si>
  <si>
    <t>LED00047609</t>
  </si>
  <si>
    <t>Bóng LED Bulb TR120N1/40W E27 3000K SS-CTT</t>
  </si>
  <si>
    <t>LED00047612</t>
  </si>
  <si>
    <t>Bóng LED Bulb TR70N1/14W E27 6500K SS-CTT</t>
  </si>
  <si>
    <t>LED00048014</t>
  </si>
  <si>
    <t>Bóng LED Bulb A55N4/5W E27 3000K-TC</t>
  </si>
  <si>
    <t>LED00050844</t>
  </si>
  <si>
    <t>Bóng LED Bulb A70N1/12W E27 6500K SS-CT</t>
  </si>
  <si>
    <t>LED00056216</t>
  </si>
  <si>
    <t>Bóng LED Bulb A60N1/9W.H E27 6500K-CT</t>
  </si>
  <si>
    <t>LED00058256</t>
  </si>
  <si>
    <t>Bóng LED bulb A60N1/9W.DC 6500K (12-24VDC E27)</t>
  </si>
  <si>
    <t>LED00062104</t>
  </si>
  <si>
    <t>Bóng LED Bulb TR160N1/60W E27 3000K</t>
  </si>
  <si>
    <t>LED00081222</t>
  </si>
  <si>
    <t>Bóng LED Bulb A95N1/20W E27 6500K-CT</t>
  </si>
  <si>
    <t>LED00081429</t>
  </si>
  <si>
    <t>Bóng LED Bulb TR70N1/12W.DCV2 6500K (12VDC kẹp)-CT</t>
  </si>
  <si>
    <t>LED00005351</t>
  </si>
  <si>
    <t>Đèn LED chiếu pha CP01 10W 3000K</t>
  </si>
  <si>
    <t>LED00005395</t>
  </si>
  <si>
    <t>Đèn LED Highbay HB01 410/30W 5000K</t>
  </si>
  <si>
    <t>LED00082920</t>
  </si>
  <si>
    <t>Tấm Solar Monocrystalline CP03.SL.RAD 200W.V2 (TP)</t>
  </si>
  <si>
    <t>00000275</t>
  </si>
  <si>
    <t>Đèn LED Panel tròn PT01 240/12W.GO 5000K</t>
  </si>
  <si>
    <t>LED00001798</t>
  </si>
  <si>
    <t>Đèn LED Panel PT04 135/12W.DA 4000K SS</t>
  </si>
  <si>
    <t>LED00005271</t>
  </si>
  <si>
    <t>Đèn Led Downlight AT02 160/14W 3500K</t>
  </si>
  <si>
    <t>LED00005454</t>
  </si>
  <si>
    <t>Đèn LED Panel PT02 130/8W 6500K</t>
  </si>
  <si>
    <t>LED00005466</t>
  </si>
  <si>
    <t>Đèn LED Panel PT02 170/12W 6500K</t>
  </si>
  <si>
    <t>LED00005562</t>
  </si>
  <si>
    <t>Đèn LED Downlight AT04 90/9W.DA 4000K SS</t>
  </si>
  <si>
    <t>LED00011802</t>
  </si>
  <si>
    <t>Đèn LED Panel PT03 110/6W 3000K</t>
  </si>
  <si>
    <t>LED00014345</t>
  </si>
  <si>
    <t>Đèn LED Panel PN04 160x160/12W 3000K SS</t>
  </si>
  <si>
    <t>LED00016260</t>
  </si>
  <si>
    <t>Đèn LED Downlight AT06 90/5W 3000K SS</t>
  </si>
  <si>
    <t>LED00020305</t>
  </si>
  <si>
    <t>Đèn LED Downlight AT04 110/12W.DA 4000K SS</t>
  </si>
  <si>
    <t>LED00020762</t>
  </si>
  <si>
    <t>Đèn LED Downlight AT14 90/9W 4000K SS</t>
  </si>
  <si>
    <t>LED00021439</t>
  </si>
  <si>
    <t>Đèn LED Downlight AT04 110/12W.DA 5000K SS</t>
  </si>
  <si>
    <t>LED00025772</t>
  </si>
  <si>
    <t>Đèn LED Downlight AT04 110/12W.DA 6500K SS</t>
  </si>
  <si>
    <t>LED00029740</t>
  </si>
  <si>
    <t>Đèn LED Downlight đổi màu AT17 110/12W</t>
  </si>
  <si>
    <t>LED00032233</t>
  </si>
  <si>
    <t>Đèn LED Panel PT04 135/12W 6500K</t>
  </si>
  <si>
    <t>LED00032245</t>
  </si>
  <si>
    <t>Đèn LED Panel đổi màu PT05 110/9W</t>
  </si>
  <si>
    <t>LED00032248</t>
  </si>
  <si>
    <t>Đèn LED Panel đổi màu PT05 90/7W (G)</t>
  </si>
  <si>
    <t>LED00035873</t>
  </si>
  <si>
    <t>Đèn LED Downlight đổi màu AT10 110/9W</t>
  </si>
  <si>
    <t>LED00037498</t>
  </si>
  <si>
    <t>Đèn LED Downlight AT04 110/12W 4000K SS</t>
  </si>
  <si>
    <t>LED00039982</t>
  </si>
  <si>
    <t>Đèn LED Downlight AT10 90/7W 6500K (G)</t>
  </si>
  <si>
    <t>LED00040176</t>
  </si>
  <si>
    <t>Đèn LED Downlight AT04 110/7W.DA 5000K SS</t>
  </si>
  <si>
    <t>LED00040730</t>
  </si>
  <si>
    <t>Đèn LED Downlight AT04 155/25W.DA 4000K</t>
  </si>
  <si>
    <t>LED00044276</t>
  </si>
  <si>
    <t>Đèn LED Downlight AT04 90/7W 3000K</t>
  </si>
  <si>
    <t>LED00045428</t>
  </si>
  <si>
    <t>Đèn LED Downlight đổi màu AT10 90/7W (G)-CT</t>
  </si>
  <si>
    <t>LED00045432</t>
  </si>
  <si>
    <t>Đèn LED Downlight đổi màu AT20 90/8W (G)-CT</t>
  </si>
  <si>
    <t>LED00045476</t>
  </si>
  <si>
    <t>Đèn LED Panel đổi màu PT05 110/9W (G)-CT</t>
  </si>
  <si>
    <t>LED00045936</t>
  </si>
  <si>
    <t>Đèn LED downlight AT25 80x240/10Wx3.PLUS 6500K</t>
  </si>
  <si>
    <t>LED00046100</t>
  </si>
  <si>
    <t>Đèn LED Panel PT05 90/7W 6500K</t>
  </si>
  <si>
    <t>LED00046108</t>
  </si>
  <si>
    <t>Đèn LED Panel PT05 135/9W 6500K</t>
  </si>
  <si>
    <t>LED00046113</t>
  </si>
  <si>
    <t>Đèn LED Panel PT05 135/12W 3000K (G)</t>
  </si>
  <si>
    <t>LED00046329</t>
  </si>
  <si>
    <t>Đèn LED Downlight AT04 110/9W 6500K-CT</t>
  </si>
  <si>
    <t>LED00046345</t>
  </si>
  <si>
    <t>Đèn LED Downlight đổi màu AT20 110/12W (G)-CT</t>
  </si>
  <si>
    <t>LED00046362</t>
  </si>
  <si>
    <t>Đèn LED Panel đổi màu PT05 135/12W-CT</t>
  </si>
  <si>
    <t>LED00047966</t>
  </si>
  <si>
    <t>Đèn LED Downlight AT04 110/12W.DA 6500K</t>
  </si>
  <si>
    <t>LED00048371</t>
  </si>
  <si>
    <t>Đèn LED Downlight AT01 76/8W 3000K (XK-SSC)</t>
  </si>
  <si>
    <t>LED00052928</t>
  </si>
  <si>
    <t>Đèn LED Downlight nổi trần NT01 90/10W 6500K (trắng)</t>
  </si>
  <si>
    <t>LED00055780</t>
  </si>
  <si>
    <t>Đèn LED downlight AT25 108x208/16Wx2.PLUS 3000K</t>
  </si>
  <si>
    <t>LED00056439</t>
  </si>
  <si>
    <t>Đèn LED Downlight đổi màu AT28 110/12W</t>
  </si>
  <si>
    <t>LED00058343</t>
  </si>
  <si>
    <t>Đèn LED Downlight đổi màu AT26 110/10W (G)</t>
  </si>
  <si>
    <t>LED00058612</t>
  </si>
  <si>
    <t>Đèn LED Downlight đổi màu AT26 90/10W (G)</t>
  </si>
  <si>
    <t>LED00060908</t>
  </si>
  <si>
    <t>Đèn LED Downlight đổi màu AT38 120/18W (YEMEN)</t>
  </si>
  <si>
    <t>LED00061666</t>
  </si>
  <si>
    <t>Đèn LED Downlight đổi màu MQTL1173 20W (Yankon)-CT</t>
  </si>
  <si>
    <t>LED00065010</t>
  </si>
  <si>
    <t>Đèn LED downlight x/góc AT18.DIM 100/9W 4000K</t>
  </si>
  <si>
    <t>LED00065966</t>
  </si>
  <si>
    <t>Đèn Led Downlight AT18 110/9W.GOV 4000K</t>
  </si>
  <si>
    <t>LED00048007</t>
  </si>
  <si>
    <t>Bóng LED Bulb TR120N1/40W E27 3000K SS-TC</t>
  </si>
  <si>
    <t>LED00048008</t>
  </si>
  <si>
    <t>Bóng LED Bulb TR140N1/50W E27 6500K SS-TC</t>
  </si>
  <si>
    <t>LED00050842</t>
  </si>
  <si>
    <t>Bóng LED Bulb A60N1/9W E27 6500K SS-CT</t>
  </si>
  <si>
    <t>LED00053006</t>
  </si>
  <si>
    <t>Bóng LED Bulb TR60N1/7W B22 12000K (12VDC)</t>
  </si>
  <si>
    <t>LED00053008</t>
  </si>
  <si>
    <t>Bóng LED Bulb TR70N1/9W B22 12000K (12VDC)</t>
  </si>
  <si>
    <t>LED00060678</t>
  </si>
  <si>
    <t>Bóng LED Bulb TR70N1/12W B22 12000K (12VDC)</t>
  </si>
  <si>
    <t>LED00075181</t>
  </si>
  <si>
    <t>Bóng LED Bulb TR140N1/50W E27 6500K-CT</t>
  </si>
  <si>
    <t>LED00077165</t>
  </si>
  <si>
    <t>Bóng LED Bulb A80N/15W E27 12000K (12VDC)</t>
  </si>
  <si>
    <t>LED00079935</t>
  </si>
  <si>
    <t>Bóng LED Bulb TR80NĐ2/20W E27 6500K</t>
  </si>
  <si>
    <t>00000299</t>
  </si>
  <si>
    <t>Đèn LED chiếu pha CP01 70W 6500K</t>
  </si>
  <si>
    <t>LED00021364</t>
  </si>
  <si>
    <t>Đèn LED chiếu sáng đường CSD02 120W 4000K</t>
  </si>
  <si>
    <t>LED00025808</t>
  </si>
  <si>
    <t>Đèn LED Highbay HB02 500/200W.DA 6500K SS</t>
  </si>
  <si>
    <t>LED00025817</t>
  </si>
  <si>
    <t>Đèn LED chiếu sáng đường CSD02 80W 5000K</t>
  </si>
  <si>
    <t>LED00026914</t>
  </si>
  <si>
    <t>Đèn LED chiếu sáng đường CSD05 30W 6500K SS</t>
  </si>
  <si>
    <t>LED00029452</t>
  </si>
  <si>
    <t>Đèn LED High Bay HB03 350/150W 6500K SS</t>
  </si>
  <si>
    <t>LED00032152</t>
  </si>
  <si>
    <t>Đèn LED 120W-C</t>
  </si>
  <si>
    <t>LED00032767</t>
  </si>
  <si>
    <t>Đèn LED chiếu sáng đường CSD02 75W 5000K</t>
  </si>
  <si>
    <t>LED00037659</t>
  </si>
  <si>
    <t>Đèn LED Chiếu pha D CP06L/120W.EVT 6500K SS</t>
  </si>
  <si>
    <t>LED00038782</t>
  </si>
  <si>
    <t>Đèn LED Chiếu Boong CB02 50W 3000K</t>
  </si>
  <si>
    <t>LED00044688</t>
  </si>
  <si>
    <t>Đèn LED Linear Highbay GDXL1034 3FT/300W 5000K</t>
  </si>
  <si>
    <t>LED00045588</t>
  </si>
  <si>
    <t>Đèn LED chiếu sáng đường CSD08 80W.NEMA 5000K</t>
  </si>
  <si>
    <t>LED00046393</t>
  </si>
  <si>
    <t>Đèn LED Chiếu pha CP06 10W 6500K SS-CT</t>
  </si>
  <si>
    <t>LED00047628</t>
  </si>
  <si>
    <t>Đèn LED chiếu pha CP09 50W.QT 90D 4000K (IP66)</t>
  </si>
  <si>
    <t>LED00047770</t>
  </si>
  <si>
    <t>Đèn LED chiếu sáng đường NLMT CSD06.SL 100W 4000K</t>
  </si>
  <si>
    <t>LED00048169</t>
  </si>
  <si>
    <t>Đèn LED Highbay HBM02 150W.PLUS 5000K (90 độ)</t>
  </si>
  <si>
    <t>LED00074322</t>
  </si>
  <si>
    <t>Đèn LED Chiếu pha NLMT CP03.SL.RAD 100W.V2 6500K (KSL)</t>
  </si>
  <si>
    <t>LED00075385</t>
  </si>
  <si>
    <t>Đèn LED Highbay HB02 430/150W 6500K-CT</t>
  </si>
  <si>
    <t>LED00077478</t>
  </si>
  <si>
    <t>Đèn LED Highbay module HBM03 400W 5000K</t>
  </si>
  <si>
    <t>LED00078754</t>
  </si>
  <si>
    <t>Đèn LED chiếu sáng đường CSD12 120W 4000K</t>
  </si>
  <si>
    <t>LED00079007</t>
  </si>
  <si>
    <t>Đèn LED chiếu sáng đường CSD10 120W.NEMA.PLUS 5000K</t>
  </si>
  <si>
    <t>LED00079009</t>
  </si>
  <si>
    <t>Đèn LED chiếu sáng đường CSD10 200W.NEMA.PLUS 5000K</t>
  </si>
  <si>
    <t>LED00079606</t>
  </si>
  <si>
    <t>Đèn LED Chiếu pha CP12 30W 6500K</t>
  </si>
  <si>
    <t>LED00079677</t>
  </si>
  <si>
    <t>Đèn LED Highbay LE-HB120LED 120W 4000K (XK)</t>
  </si>
  <si>
    <t>LED00080293</t>
  </si>
  <si>
    <t>Đèn LED sân vườn NLMT RD-DSV2204 3W 4000K</t>
  </si>
  <si>
    <t>LED00082377</t>
  </si>
  <si>
    <t>Đèn LED chiếu sáng đường CSD10 75W 4000K</t>
  </si>
  <si>
    <t>LED00083143</t>
  </si>
  <si>
    <t>Đèn LED chiếu pha CPT05 55W.APG 3000K (IP66, 24V)</t>
  </si>
  <si>
    <t>LED00083145</t>
  </si>
  <si>
    <t>Đèn LED âm đất tròn ADT02 14W.APG 3000K (8D, IP67)</t>
  </si>
  <si>
    <t>LED00083157</t>
  </si>
  <si>
    <t>Đèn LED Chiếu pha CPT03 30W.APG 3000K (30D)</t>
  </si>
  <si>
    <t>LED00005253</t>
  </si>
  <si>
    <t>Đèn LED Downlight AT03 110/5W 6500K (XK)</t>
  </si>
  <si>
    <t>LED00005270</t>
  </si>
  <si>
    <t>Đèn Led Downlight AT02 160/14W 3000K</t>
  </si>
  <si>
    <t>LED00005272</t>
  </si>
  <si>
    <t>Đèn Led Downlight AT02 208/14W 5000K</t>
  </si>
  <si>
    <t>LED00005289</t>
  </si>
  <si>
    <t>Đèn LED Downlight AT04 90/9W 6500K SS</t>
  </si>
  <si>
    <t>LED00005295</t>
  </si>
  <si>
    <t>Đèn LED Downlight AT04 90/9W 3000K SS</t>
  </si>
  <si>
    <t>LED00005307</t>
  </si>
  <si>
    <t>Đèn Led Downlight AT01 XG 95/9W-3000K</t>
  </si>
  <si>
    <t>LED00005308</t>
  </si>
  <si>
    <t>Đèn LED Downlight đổi màu AT01 95/6W</t>
  </si>
  <si>
    <t>LED00005444</t>
  </si>
  <si>
    <t>Đèn LED Panel PN04 110x110/9W 3000K SS</t>
  </si>
  <si>
    <t>LED00005459</t>
  </si>
  <si>
    <t>Đèn LED Panel PT02 170/8W 3000K</t>
  </si>
  <si>
    <t>LED00005471</t>
  </si>
  <si>
    <t>Đèn LED Panel PT03 135/9W 3000K</t>
  </si>
  <si>
    <t>LED00039632</t>
  </si>
  <si>
    <t>Bóng LED Bulb A45N1/3W B22 12000K (XK)</t>
  </si>
  <si>
    <t>LED00040052</t>
  </si>
  <si>
    <t>Bóng LED Bulb TR70N2/14W E27 3000K SS</t>
  </si>
  <si>
    <t>LED00043799</t>
  </si>
  <si>
    <t>Bóng LED Bulb A60/7W DIM.G E27 2700K</t>
  </si>
  <si>
    <t>LED00045149</t>
  </si>
  <si>
    <t>Bóng LED Bulb A60N1/9W.H E27 6500K</t>
  </si>
  <si>
    <t>LED00045469</t>
  </si>
  <si>
    <t>Bóng LED Bulb TR135/80W E27 6500K SS-CT</t>
  </si>
  <si>
    <t>LED00046054</t>
  </si>
  <si>
    <t>Bóng LED Bulb A55N/5W B22 12000K (XK)</t>
  </si>
  <si>
    <t>LED00046303</t>
  </si>
  <si>
    <t>Bóng LED Bulb A45N1/3W E27 6500K-CT</t>
  </si>
  <si>
    <t>LED00047621</t>
  </si>
  <si>
    <t>Bóng LED Bulb TR140N1/50W E27 6500K SS-CTT</t>
  </si>
  <si>
    <t>LED00047723</t>
  </si>
  <si>
    <t>Bóng LED Bulb A45N1/3W E27 6500K-TC</t>
  </si>
  <si>
    <t>LED00048002</t>
  </si>
  <si>
    <t>Bóng LED Bulb TR80N1/20W E27 6500K SS-TC</t>
  </si>
  <si>
    <t>LED00057786</t>
  </si>
  <si>
    <t>Bóng LED Bulb A60N1/9W.H E27 3000K-CTT</t>
  </si>
  <si>
    <t>LED00058250</t>
  </si>
  <si>
    <t>Bóng LED bulb TR100N1/30W.DC 6500K (12-24VDC Kẹp)</t>
  </si>
  <si>
    <t>LED00072370</t>
  </si>
  <si>
    <t>Bóng LED Bulb TR140N1/50W E27 6500K</t>
  </si>
  <si>
    <t>LED00005389</t>
  </si>
  <si>
    <t>Đèn LED Highbay HB01 500/120W 6500K</t>
  </si>
  <si>
    <t>LED00005827</t>
  </si>
  <si>
    <t>Đèn LED Chiếu pha CP03 30W 3000K SS</t>
  </si>
  <si>
    <t>LED00006443</t>
  </si>
  <si>
    <t>Đèn LED chiếu sáng đường CSD03 70W.DA 4000K</t>
  </si>
  <si>
    <t>LED00023891</t>
  </si>
  <si>
    <t>Đèn LED Chiếu pha CP06 150W 3000K SS</t>
  </si>
  <si>
    <t>LED00024036</t>
  </si>
  <si>
    <t>Đèn LED Chiếu pha CP06 200W 5000K SS</t>
  </si>
  <si>
    <t>LED00025148</t>
  </si>
  <si>
    <t>Đèn LED chiếu sáng đường CSD05 125W 5000K</t>
  </si>
  <si>
    <t>LED00025811</t>
  </si>
  <si>
    <t>Đèn LED chiếu sáng đường CSD02 30W.DA 5000K</t>
  </si>
  <si>
    <t>LED00025818</t>
  </si>
  <si>
    <t>Đèn LED Chiếu sáng đường CSD02 100W.DA 5000K</t>
  </si>
  <si>
    <t>LED00025927</t>
  </si>
  <si>
    <t>Đèn LED Worklight MPL 1026 24W 4000K (Yankon)</t>
  </si>
  <si>
    <t>LED00027913</t>
  </si>
  <si>
    <t>Đèn LED Worklight MPL 1028 46W 4000K (Yankon)</t>
  </si>
  <si>
    <t>LED00029956</t>
  </si>
  <si>
    <t>Đèn LED chiếu sáng đường CSD06 80W 5000K</t>
  </si>
  <si>
    <t>LED00031863</t>
  </si>
  <si>
    <t>Đèn LED Chiếu pha CP06 100W 6500K (EV) SS</t>
  </si>
  <si>
    <t>LED00075166</t>
  </si>
  <si>
    <t>Đèn LED chiếu sáng đường CSD08 100W.NEMA PLUS 5000K</t>
  </si>
  <si>
    <t>LED00075796</t>
  </si>
  <si>
    <t>Đèn LED UFO GDXL1065 White finish 240W 480V CCT (YK)</t>
  </si>
  <si>
    <t>LED00076100</t>
  </si>
  <si>
    <t>Đèn LED Hightbay HB06 330/150W.H 6500K</t>
  </si>
  <si>
    <t>LED00076101</t>
  </si>
  <si>
    <t>Đèn LED Hightbay HB06 330/200W.H 6500K</t>
  </si>
  <si>
    <t>LED00078135</t>
  </si>
  <si>
    <t>Đèn LED Highbay HB02 430/120W 6500K</t>
  </si>
  <si>
    <t>LED00079694</t>
  </si>
  <si>
    <t>Đèn chiếu sáng đường NLMT CSD08.SL 120W 5000K</t>
  </si>
  <si>
    <t>LED00080144</t>
  </si>
  <si>
    <t>Đèn LED NLMT NX.SL.RAD 200W 6500K</t>
  </si>
  <si>
    <t>LED00080153</t>
  </si>
  <si>
    <t>Đèn LED Highbay HB02 430/150W 3000K</t>
  </si>
  <si>
    <t>LED00081214</t>
  </si>
  <si>
    <t>Đèn LED Highbay HB02 430/120W 6500K-CT</t>
  </si>
  <si>
    <t>LED00082851</t>
  </si>
  <si>
    <t>Đèn LED Chiếu pha CP12 20W 3000K</t>
  </si>
  <si>
    <t>LED00082922</t>
  </si>
  <si>
    <t>Tấm Solar Monocrystalline CP03.SL.RAD 400W.V2 (TP)</t>
  </si>
  <si>
    <t>LED00083166</t>
  </si>
  <si>
    <t>Đèn LED Chiếu pha CPT02 6W.APG 3000K (30D)</t>
  </si>
  <si>
    <t>LED00084696</t>
  </si>
  <si>
    <t>Đèn LED HighBay HB05 250/80W AC 5700K-OSRAM</t>
  </si>
  <si>
    <t>LED00084697</t>
  </si>
  <si>
    <t>Đèn LED HighBay HB05 250/100W AC 5700K-OSRAM</t>
  </si>
  <si>
    <t>00000274</t>
  </si>
  <si>
    <t>Đèn LED Panel tròn PT01 180/8W.GO 5000K</t>
  </si>
  <si>
    <t>LED00005245</t>
  </si>
  <si>
    <t>Đèn LED Downlight AT01 4W 6500K</t>
  </si>
  <si>
    <t>LED00005263</t>
  </si>
  <si>
    <t>Đèn LED Downlight AT03 110/7W 65000K (XK)</t>
  </si>
  <si>
    <t>LED00005310</t>
  </si>
  <si>
    <t>Đèn LED Downlight đổi màu AT02 110/9W SS</t>
  </si>
  <si>
    <t>LED00005463</t>
  </si>
  <si>
    <t>Đèn LED Panel PT01 180/8W 6500K</t>
  </si>
  <si>
    <t>LED00013891</t>
  </si>
  <si>
    <t>Đèn LED Downlight AT06 110/7W 6500K SS</t>
  </si>
  <si>
    <t>LED00019831</t>
  </si>
  <si>
    <t>Đèn LED Downlight AT06 110/9W 3000K SS</t>
  </si>
  <si>
    <t>LED00022035</t>
  </si>
  <si>
    <t>Đèn LED Downlight AT04 155/25W.DA 6500K SS</t>
  </si>
  <si>
    <t>LED00023859</t>
  </si>
  <si>
    <t>Đèn LED Panel PT04 110/6W 3000K SS</t>
  </si>
  <si>
    <t>LED00025777</t>
  </si>
  <si>
    <t>Đèn LED Downlight AT09 90/12W (Vivid) 4000K</t>
  </si>
  <si>
    <t>LED00067362</t>
  </si>
  <si>
    <t>Đèn LED chiếu sáng đường CSD10 200W 5000K</t>
  </si>
  <si>
    <t>LED00067364</t>
  </si>
  <si>
    <t>Đèn LED chiếu pha CPV03.DMX.RGBW 150W 25D (W4000K)</t>
  </si>
  <si>
    <t>LED00067366</t>
  </si>
  <si>
    <t>Đèn LED chiếu pha CPV03.DMX.RGBW 150W 8D (W4000K)</t>
  </si>
  <si>
    <t>LED00067561</t>
  </si>
  <si>
    <t>Đèn LED chiếu sáng đường NLMT CSD05.SL.RF 300W 6500K</t>
  </si>
  <si>
    <t>LED00068175</t>
  </si>
  <si>
    <t>Đèn LED chiếu sáng đường CSD10 250W 5000K</t>
  </si>
  <si>
    <t>LED00070122</t>
  </si>
  <si>
    <t>Đèn LED Chiếu pha CP10 10W 3000K SS</t>
  </si>
  <si>
    <t>LED00073406</t>
  </si>
  <si>
    <t>Đèn LED chiếu sáng đường CSD08 60W 3000K</t>
  </si>
  <si>
    <t>LED00074325</t>
  </si>
  <si>
    <t>Đèn LED Chiếu pha NLMT CP03.SL.RAD 400W.V2 6500K (KSL)</t>
  </si>
  <si>
    <t>LED00074455</t>
  </si>
  <si>
    <t>Đèn LED Highbay GDXL1074 2FT 240W 4000K (Yankon)</t>
  </si>
  <si>
    <t>LED00078564</t>
  </si>
  <si>
    <t>Đèn LED Highbay HB03 350/200W AC 5700K</t>
  </si>
  <si>
    <t>LED00079303</t>
  </si>
  <si>
    <t>Đèn LED sân vườn NLMT DSV03.SL.HB 30W 4000K</t>
  </si>
  <si>
    <t>LED00080076</t>
  </si>
  <si>
    <t>Đèn LED âm đất tròn ADT01 25W.APG (10D) 3000K</t>
  </si>
  <si>
    <t>LED00080469</t>
  </si>
  <si>
    <t>Đèn LED chiếu sáng đường CSD10 150W.NEMA 4000K (Vỏ CSD08)</t>
  </si>
  <si>
    <t>LED00083161</t>
  </si>
  <si>
    <t>Đèn LED Chiếu pha CPT02 6W.APG 3000K (10x60D)</t>
  </si>
  <si>
    <t>LED00005244</t>
  </si>
  <si>
    <t>Đèn LED Downlight AT01 4W 3000K</t>
  </si>
  <si>
    <t>LED00005474</t>
  </si>
  <si>
    <t>Đèn LED Panel PT03 160/12W 6500K SS</t>
  </si>
  <si>
    <t>LED00014323</t>
  </si>
  <si>
    <t>Đèn LED Downlight AT04 90/5W 6500K SS</t>
  </si>
  <si>
    <t>LED00020763</t>
  </si>
  <si>
    <t>Đèn LED Downlight AT14 110/9W 4000K SS</t>
  </si>
  <si>
    <t>LED00026384</t>
  </si>
  <si>
    <t>Đèn LED Downlight AT11 90/9W 6500K SS</t>
  </si>
  <si>
    <t>LED00028954</t>
  </si>
  <si>
    <t>Đèn LED Panel đổi màu D PT05L 110/6W</t>
  </si>
  <si>
    <t>LED00032229</t>
  </si>
  <si>
    <t>Đèn LED Panel PT04 110/7W 6500K</t>
  </si>
  <si>
    <t>LED00035032</t>
  </si>
  <si>
    <t>Đèn LED Downlight đổi màu AT10 110/9W (G)</t>
  </si>
  <si>
    <t>LED00036590</t>
  </si>
  <si>
    <t>Đèn LED Downlight AT04 90/9W 3000K</t>
  </si>
  <si>
    <t>LED00005278</t>
  </si>
  <si>
    <t>Đèn Led Downlight AT02 160/16W 5000K</t>
  </si>
  <si>
    <t>LED00005305</t>
  </si>
  <si>
    <t>Đèn LED Downlight AT03 90/7W 6500K SS</t>
  </si>
  <si>
    <t>LED00005464</t>
  </si>
  <si>
    <t>Đèn LED Panel PT02 160/12W 6500K</t>
  </si>
  <si>
    <t>LED00017561</t>
  </si>
  <si>
    <t>Đèn LED Downlight đổi màu AT10 110/9W SS</t>
  </si>
  <si>
    <t>LED00017613</t>
  </si>
  <si>
    <t>Đèn LED Downlight AT02XG 76/4.5W.DA 6500K</t>
  </si>
  <si>
    <t>LED00018549</t>
  </si>
  <si>
    <t>Đèn LED Downlight AT10 110/9W 6500K (G) SS</t>
  </si>
  <si>
    <t>LED00023964</t>
  </si>
  <si>
    <t>Đèn LED Downlight AT16 90/7W.DA 6500K SS</t>
  </si>
  <si>
    <t>LED00025773</t>
  </si>
  <si>
    <t>Đèn LED Downlight AT04 155/16W.DA 3000K SS</t>
  </si>
  <si>
    <t>LED00025780</t>
  </si>
  <si>
    <t>Đèn LED Downlight đổi màu AT08 90/7W (G) SS</t>
  </si>
  <si>
    <t>LED00025784</t>
  </si>
  <si>
    <t>Đèn LED Panel PT03 135/12W 3000K SS</t>
  </si>
  <si>
    <t>LED00029433</t>
  </si>
  <si>
    <t>Đèn LED Downlight AT04 200/15W 4000K SS</t>
  </si>
  <si>
    <t>LED00031434</t>
  </si>
  <si>
    <t>Đèn LED Downlight MQTL1081 8inch 22W CCT (Yankon)</t>
  </si>
  <si>
    <t>LED00032242</t>
  </si>
  <si>
    <t>Đèn LED Panel đổi màu PT05 110/7W (G)</t>
  </si>
  <si>
    <t>LED00032244</t>
  </si>
  <si>
    <t>Đèn LED Panel đổi màu PT05 110/9W (G)</t>
  </si>
  <si>
    <t>LED00037497</t>
  </si>
  <si>
    <t>Đèn LED Downlight AT04 90/9W 4000K SS</t>
  </si>
  <si>
    <t>LED00042014</t>
  </si>
  <si>
    <t>Đèn LED downlight AT04 155/18W.DA 6500K SS</t>
  </si>
  <si>
    <t>LED00045396</t>
  </si>
  <si>
    <t>Đèn LED Downlight đổi màu IDL9T90-W Monaco (XK Úc)</t>
  </si>
  <si>
    <t>LED00045937</t>
  </si>
  <si>
    <t>Đèn LED downlight AT25 108x308/16Wx3.PLUS 6500K</t>
  </si>
  <si>
    <t>LED00046328</t>
  </si>
  <si>
    <t>Đèn LED Downlight AT04 110/12W 6500K-CT</t>
  </si>
  <si>
    <t>LED00055264</t>
  </si>
  <si>
    <t>Đèn LED Downlight AT27 60/6W 6000K (KC)</t>
  </si>
  <si>
    <t>LED00056438</t>
  </si>
  <si>
    <t>Đèn LED Downlight AT28 110/9W 6500K</t>
  </si>
  <si>
    <t>LED00057235</t>
  </si>
  <si>
    <t>Đèn LED Downlight AT05 110/12W 5700K (XK)</t>
  </si>
  <si>
    <t>LED00057238</t>
  </si>
  <si>
    <t>Đèn LED Downlight đổi màu AT05 90/10W (XK)</t>
  </si>
  <si>
    <t>LED00051691</t>
  </si>
  <si>
    <t>Bóng LED Bulb TR80N1/20W E27 4000K</t>
  </si>
  <si>
    <t>LED00056215</t>
  </si>
  <si>
    <t>Bóng LED Bulb A60N3/7W.H E27 6500K-CT</t>
  </si>
  <si>
    <t>LED00079939</t>
  </si>
  <si>
    <t>Bóng LED Bulb A70N1/12W E27 3000K</t>
  </si>
  <si>
    <t>LED00081428</t>
  </si>
  <si>
    <t>Bóng LED Bulb TR70N1/12W.DCV2 6500K (12VDC E27)-CT</t>
  </si>
  <si>
    <t>LED00005358</t>
  </si>
  <si>
    <t>Đèn LED chiếu pha CP02 50W 3000K</t>
  </si>
  <si>
    <t>LED00005360</t>
  </si>
  <si>
    <t>Đèn LED chiếu pha CP02 50W 6500K</t>
  </si>
  <si>
    <t>LED00005370</t>
  </si>
  <si>
    <t>Đèn LED Chiếu pha CP03 30W 6500K SS</t>
  </si>
  <si>
    <t>LED00005379</t>
  </si>
  <si>
    <t>Đèn LED Chiếu pha CP03 10W 6500K SS</t>
  </si>
  <si>
    <t>LED00016219</t>
  </si>
  <si>
    <t>Đèn LED chiếu pha CP05 50W 3000K SS</t>
  </si>
  <si>
    <t>LED00019882</t>
  </si>
  <si>
    <t>Đèn LED Chiếu pha CP04 70W 6500K (XK) SS</t>
  </si>
  <si>
    <t>LED00025150</t>
  </si>
  <si>
    <t>Đèn LED chiếu sáng đường CSD05 150W 5000K</t>
  </si>
  <si>
    <t>LED00030698</t>
  </si>
  <si>
    <t>Đèn LED chiếu sáng đường CSD05 150W 5000K (4 ML)</t>
  </si>
  <si>
    <t>LED00033838</t>
  </si>
  <si>
    <t>Đèn LED chiếu sáng đường NLMT CSD02SL 15W</t>
  </si>
  <si>
    <t>LED00038016</t>
  </si>
  <si>
    <t>Đèn LED High Bay HB03 390/200W.DA 6500K SS</t>
  </si>
  <si>
    <t>LED00042237</t>
  </si>
  <si>
    <t>Đèn LED Chùm đài sen 150W-3000K.DA</t>
  </si>
  <si>
    <t>LED00043950</t>
  </si>
  <si>
    <t>Đèn LED chiếu sáng đường CSD04 240W 5000K</t>
  </si>
  <si>
    <t>LED00044163</t>
  </si>
  <si>
    <t>Đèn LED chiếu sáng đường CSD03 40W 4000K</t>
  </si>
  <si>
    <t>LED00046026</t>
  </si>
  <si>
    <t>Đèn LED đánh cá DC05 500W 5000K (SPD)</t>
  </si>
  <si>
    <t>LED00052588</t>
  </si>
  <si>
    <t>Đèn LED Linear Highbay GDXL1034 4FT/345W 5000K</t>
  </si>
  <si>
    <t>LED00054521</t>
  </si>
  <si>
    <t>Đèn LED Chiếu pha CP06 30W 3000K</t>
  </si>
  <si>
    <t>LED00060120</t>
  </si>
  <si>
    <t>Đèn LED HighBay HB03 350/150W.PLUS 6500K</t>
  </si>
  <si>
    <t>LED00061697</t>
  </si>
  <si>
    <t>Đèn LED chiếu pha CPV01 48W 3000K (8D, IP66)</t>
  </si>
  <si>
    <t>LED00063080</t>
  </si>
  <si>
    <t>Đèn LED Linear Highbay HB05 760/150W 6500K</t>
  </si>
  <si>
    <t>LED00064519</t>
  </si>
  <si>
    <t>Module LED đèn đường ML-CSD5S2P.RS09 25W 3000K (XK)</t>
  </si>
  <si>
    <t>LED00076151</t>
  </si>
  <si>
    <t>Đèn LED Highbay HB02 350/50W 5000K</t>
  </si>
  <si>
    <t>LED00077961</t>
  </si>
  <si>
    <t>Đèn LED chiếu sáng đường NLMT CSD08.SL 120W 4000K</t>
  </si>
  <si>
    <t>LED00078752</t>
  </si>
  <si>
    <t>Đèn LED chiếu sáng đường CSD12 100W 4000K</t>
  </si>
  <si>
    <t>LED00079008</t>
  </si>
  <si>
    <t>Đèn LED chiếu sáng đường CSD10 150W.NEMA.PLUS 5000K</t>
  </si>
  <si>
    <t>LED00079675</t>
  </si>
  <si>
    <t>Đèn LED Floodlight LE980LED 200W 4000K (XK)</t>
  </si>
  <si>
    <t>LED00080099</t>
  </si>
  <si>
    <t>Đèn LED thanh chiếu hắt T01 300/12W.APG (12D) 3000K</t>
  </si>
  <si>
    <t>LED00080248</t>
  </si>
  <si>
    <t>Đèn LED chiếu sáng đường CSD09 40W 4000K MKV (XK)</t>
  </si>
  <si>
    <t>LED00080412</t>
  </si>
  <si>
    <t>Đèn LED chiếu pha CP07 300W NEMA 4000K (90 độ)</t>
  </si>
  <si>
    <t>LED00082172</t>
  </si>
  <si>
    <t>Đèn LED chiếu sáng đường CSD08 200W.NEMA 4000K</t>
  </si>
  <si>
    <t>LED00082921</t>
  </si>
  <si>
    <t>Tấm Solar Monocrystalline CP03.SL.RAD 300W.V2 (TP)</t>
  </si>
  <si>
    <t>LED00083546</t>
  </si>
  <si>
    <t>Đèn LED chiếu sáng đường NLMT CSD05.SL 150W.CT 6500K</t>
  </si>
  <si>
    <t>LED00005266</t>
  </si>
  <si>
    <t>Đèn LED Downlight AT03 110/9W 3000K</t>
  </si>
  <si>
    <t>LED00005455</t>
  </si>
  <si>
    <t>Đèn LED Panel PT02 130/8W 3000K</t>
  </si>
  <si>
    <t>LED00005468</t>
  </si>
  <si>
    <t>Đèn LED Panel PT01 240/12W 3000K</t>
  </si>
  <si>
    <t>LED00005470</t>
  </si>
  <si>
    <t>Đèn LED Panel PT01 240/12W 6000K</t>
  </si>
  <si>
    <t>LED00014322</t>
  </si>
  <si>
    <t>Đèn LED Downlight AT05 90/5W 3000K SS</t>
  </si>
  <si>
    <t>LED00017248</t>
  </si>
  <si>
    <t>Đèn LED Downlight đổi màu AT02 90/7W SS</t>
  </si>
  <si>
    <t>LED00017253</t>
  </si>
  <si>
    <t>Đèn LED Downlight đổi màu AT10 90/7W (G) SS</t>
  </si>
  <si>
    <t>LED00017560</t>
  </si>
  <si>
    <t>Đèn LED Downlight đổi màu AT10 90/7W SS</t>
  </si>
  <si>
    <t>LED00020814</t>
  </si>
  <si>
    <t>Đèn LED Downlight AT12 90/5W 6500K SS</t>
  </si>
  <si>
    <t>LED00023863</t>
  </si>
  <si>
    <t>Đèn LED Panel PT04 135/9W 3000K SS</t>
  </si>
  <si>
    <t>LED00032240</t>
  </si>
  <si>
    <t>Đèn LED Panel đổi màu PT04 135/9W</t>
  </si>
  <si>
    <t>LED00034209</t>
  </si>
  <si>
    <t>Đèn LED Panel PT04 90/3W 4000K SS</t>
  </si>
  <si>
    <t>LED00001782</t>
  </si>
  <si>
    <t>Đèn LED Panel đổi màu D PT05L 135/12 (G)</t>
  </si>
  <si>
    <t>LED00018281</t>
  </si>
  <si>
    <t>Đèn LED Downlight AT04 90/7W 4000K SS</t>
  </si>
  <si>
    <t>LED00018550</t>
  </si>
  <si>
    <t>Đèn LED Downlight AT10 90/7W 6500K SS</t>
  </si>
  <si>
    <t>LED00023241</t>
  </si>
  <si>
    <t>Đèn LED Panel đổi màu PT04 135/9W SS</t>
  </si>
  <si>
    <t>LED00023858</t>
  </si>
  <si>
    <t>Đèn LED Panel PT04 110/6W 6500K SS</t>
  </si>
  <si>
    <t>LED00025768</t>
  </si>
  <si>
    <t>Đèn LED Downlight AT04 110/9W.DA 4000K SS</t>
  </si>
  <si>
    <t>LED00025774</t>
  </si>
  <si>
    <t>Đèn LED Downlight AT04 155/25W.DA 3000K SS</t>
  </si>
  <si>
    <t>LED00025776</t>
  </si>
  <si>
    <t>Đèn LED Downlight AT09 76/9W (Vivid) 4000K</t>
  </si>
  <si>
    <t>LED00029251</t>
  </si>
  <si>
    <t>Đèn LED Downlight AT04 155/25W 4000K SS</t>
  </si>
  <si>
    <t>LED00029441</t>
  </si>
  <si>
    <t>Đèn LED Downlight AT04 200/40W 6500K SS</t>
  </si>
  <si>
    <t>LED00029739</t>
  </si>
  <si>
    <t>Đèn LED Downlight đổi màu AT17 110/9W</t>
  </si>
  <si>
    <t>LED00030342</t>
  </si>
  <si>
    <t>Đèn LED Panel đổi màu PT05 135/12W (G)</t>
  </si>
  <si>
    <t>LED00032241</t>
  </si>
  <si>
    <t>Đèn LED Panel đổi màu PT04 90/7W</t>
  </si>
  <si>
    <t>LED00035791</t>
  </si>
  <si>
    <t>Đèn LED Downlight đổi màu AT10 90/7W</t>
  </si>
  <si>
    <t>LED00039911</t>
  </si>
  <si>
    <t>Đèn LED Downlight đổi màu AT10 110/12W (G)</t>
  </si>
  <si>
    <t>LED00041580</t>
  </si>
  <si>
    <t>Đèn LED Downlight GX53s/9W/T/LIOA 6500K</t>
  </si>
  <si>
    <t>LED00043896</t>
  </si>
  <si>
    <t>Đèn LED Downlight x/góc AT22 60/9W 5000K</t>
  </si>
  <si>
    <t>LED00045421</t>
  </si>
  <si>
    <t>Đèn LED Downlight AT04 90/9W 6500K-CT</t>
  </si>
  <si>
    <t>LED00045939</t>
  </si>
  <si>
    <t>Đèn LED downlight AT25 208x208/16Wx4.PLUS 6500K</t>
  </si>
  <si>
    <t>LED00046335</t>
  </si>
  <si>
    <t>Đèn LED Downlight AT04 110/12W 4000K-CT</t>
  </si>
  <si>
    <t>LED00046336</t>
  </si>
  <si>
    <t>Đèn LED Downlight AT06 90/7W 3000K SS-CT</t>
  </si>
  <si>
    <t>LED00046344</t>
  </si>
  <si>
    <t>Đèn LED Downlight đổi màu AT20 110/12W-CT</t>
  </si>
  <si>
    <t>LED00047304</t>
  </si>
  <si>
    <t>Đèn LED Downlight AT04 155/25W.DA 6500K</t>
  </si>
  <si>
    <t>LED00041879</t>
  </si>
  <si>
    <t>Đèn LED Downlight đổi màu AT10 90/9W</t>
  </si>
  <si>
    <t>LED00042772</t>
  </si>
  <si>
    <t>Đèn LED Downlight diệt khuẩn AT21.UV 135/14W 6500K</t>
  </si>
  <si>
    <t>LED00045935</t>
  </si>
  <si>
    <t>Đèn LED downlight AT25 108x208/16Wx2.PLUS 6500K</t>
  </si>
  <si>
    <t>LED00045941</t>
  </si>
  <si>
    <t>Đèn LED downlight NT02 108x202/10Wx2.PLUS 6500K</t>
  </si>
  <si>
    <t>LED00046103</t>
  </si>
  <si>
    <t>Đèn LED Panel PT05 90/7W 3000K (G)</t>
  </si>
  <si>
    <t>LED00046444</t>
  </si>
  <si>
    <t>Đèn LED Downlight đổi màu AT24 90/8W.PLUS</t>
  </si>
  <si>
    <t>LED00048373</t>
  </si>
  <si>
    <t>Đèn LED Downlight AT01 76/8W 4000K (XK-SSC)</t>
  </si>
  <si>
    <t>LED00049218</t>
  </si>
  <si>
    <t>Đèn LED Downlight đổi màu AT02 90/9W-TC</t>
  </si>
  <si>
    <t>LED00049222</t>
  </si>
  <si>
    <t>Đèn LED Downlight đổi màu AT10 90/9W-TC</t>
  </si>
  <si>
    <t>LED00049229</t>
  </si>
  <si>
    <t>Đèn LED Downlight đổi màu AT20 90/10W (G)-TC</t>
  </si>
  <si>
    <t>LED00052649</t>
  </si>
  <si>
    <t>Đèn LED Panel PT04.V2 135/12W 3000K</t>
  </si>
  <si>
    <t>LED00054508</t>
  </si>
  <si>
    <t>Đèn LED downlight AT25 108x108/16Wx1.PLUS 4000K</t>
  </si>
  <si>
    <t>LED00056440</t>
  </si>
  <si>
    <t>Đèn LED Downlight đổi màu AT28 110/10W</t>
  </si>
  <si>
    <t>LED00057228</t>
  </si>
  <si>
    <t>Đèn LED Downlight AT05 70/5W 4000K (XK)</t>
  </si>
  <si>
    <t>LED00060587</t>
  </si>
  <si>
    <t>Đèn LED Downlight AT04 110/12W 6500K IP44</t>
  </si>
  <si>
    <t>LED00061126</t>
  </si>
  <si>
    <t>Đèn LED Downlight MQTL1128 8inch (Yankon)</t>
  </si>
  <si>
    <t>LED00067264</t>
  </si>
  <si>
    <t>Đèn LED Downlight đổi màu AT26 110/12W-CT</t>
  </si>
  <si>
    <t>LED00069106</t>
  </si>
  <si>
    <t>Đèn LED Ốp trần đổi màu MXL1137 L24K9027N (Niken,Yankon)</t>
  </si>
  <si>
    <t>LED00069122</t>
  </si>
  <si>
    <t>Đèn LED Ốp trần đổi màu MXL1069 L18.5K9027G (Đồng,Yankon)</t>
  </si>
  <si>
    <t>LED00069128</t>
  </si>
  <si>
    <t>Đèn LED Ốp trần đổi màu MXL1070 L20K9027W (Trắng,Yankon)</t>
  </si>
  <si>
    <t>LED00072105</t>
  </si>
  <si>
    <t>Đèn LED Downlight xoay góc AT40 95/12W 4000K IP54</t>
  </si>
  <si>
    <t>LED00072532</t>
  </si>
  <si>
    <t>Đèn LED Downlight AT06.V3 110/9W 6500K</t>
  </si>
  <si>
    <t>LED00005462</t>
  </si>
  <si>
    <t>Đèn LED Panel PT01 180/8W 6000K</t>
  </si>
  <si>
    <t>LED00005496</t>
  </si>
  <si>
    <t>Đèn Led Downlight AT02 208/25W 6500K</t>
  </si>
  <si>
    <t>LED00018554</t>
  </si>
  <si>
    <t>Đèn LED Downlight AT10 110/9W 3000K (G) SS</t>
  </si>
  <si>
    <t>LED00023239</t>
  </si>
  <si>
    <t>Đèn LED Panel đổi màu PT04 110/6W SS</t>
  </si>
  <si>
    <t>LED00025766</t>
  </si>
  <si>
    <t>Đèn LED Downlight AT04 110/9W 5000K SS</t>
  </si>
  <si>
    <t>LED00026385</t>
  </si>
  <si>
    <t>Đèn LED Downlight AT11 110/12W 6500K SS</t>
  </si>
  <si>
    <t>LED00026905</t>
  </si>
  <si>
    <t>Đèn LED Downlight AT16 90/7W.DA 3000K SS</t>
  </si>
  <si>
    <t>LED00028957</t>
  </si>
  <si>
    <t>Đèn LED Panel đổi màu D PT05L 135/9W</t>
  </si>
  <si>
    <t>LED00032239</t>
  </si>
  <si>
    <t>Đèn LED Panel đổi màu PT04 110/9W</t>
  </si>
  <si>
    <t>LED00032246</t>
  </si>
  <si>
    <t>Đèn LED Panel đổi màu PT05 135/9W (G)</t>
  </si>
  <si>
    <t>LED00036580</t>
  </si>
  <si>
    <t>Đèn LED Panel PT04 135/9W 4000K</t>
  </si>
  <si>
    <t>LED00039593</t>
  </si>
  <si>
    <t>Đèn LED Downlight đổi màu AT10 90/7W (G)-YEMEN</t>
  </si>
  <si>
    <t>LED00042189</t>
  </si>
  <si>
    <t>Đèn LED Downlight AT16 110/7W.DA 6500K</t>
  </si>
  <si>
    <t>LED00042300</t>
  </si>
  <si>
    <t>Đèn LED Downlight đổi màu AT20 110/12W</t>
  </si>
  <si>
    <t>LED00042310</t>
  </si>
  <si>
    <t>Đèn LED Panel PT04.V2 135/9W 6500K</t>
  </si>
  <si>
    <t>LED00043897</t>
  </si>
  <si>
    <t>Đèn LED Downlight x/góc AT22 60/12W 5000K</t>
  </si>
  <si>
    <t>LED00046107</t>
  </si>
  <si>
    <t>Đèn LED Panel PT05 110/9W 3000K (G)</t>
  </si>
  <si>
    <t>LED00046340</t>
  </si>
  <si>
    <t>Đèn LED Downlight đổi màu AT10 60/3W (G) SS-CT</t>
  </si>
  <si>
    <t>LED00046370</t>
  </si>
  <si>
    <t>Đèn LED Panel PT03 160/12W 6500K SS-CT</t>
  </si>
  <si>
    <t>LED00046374</t>
  </si>
  <si>
    <t>Đèn LED Panel PT04.V2 135/9W 6500K-CT</t>
  </si>
  <si>
    <t>LED00047291</t>
  </si>
  <si>
    <t>Đèn LED Downlight AT04 90/9W.DA 4000K</t>
  </si>
  <si>
    <t>LED00048182</t>
  </si>
  <si>
    <t>Đèn LED downlight x/góc AT18 100/9W 4000K</t>
  </si>
  <si>
    <t>LED00048420</t>
  </si>
  <si>
    <t>Đèn LED Downlight đổi màu AT02 90/7W-CTT</t>
  </si>
  <si>
    <t>LED00041783</t>
  </si>
  <si>
    <t>Đèn LED Downlight AT04 90/9W 4000K</t>
  </si>
  <si>
    <t>LED00044412</t>
  </si>
  <si>
    <t>Đèn LED Downlight AT05.V2 155/15W 5700K (XK)</t>
  </si>
  <si>
    <t>LED00045271</t>
  </si>
  <si>
    <t>Đèn LED Downlight AT04 155/16W.DA 4000K</t>
  </si>
  <si>
    <t>LED00045478</t>
  </si>
  <si>
    <t>Đèn LED Panel đổi màu PT05 90/7W-CT</t>
  </si>
  <si>
    <t>LED00046104</t>
  </si>
  <si>
    <t>Đèn LED Panel PT05 110/9W 6500K</t>
  </si>
  <si>
    <t>LED00046337</t>
  </si>
  <si>
    <t>Đèn LED Downlight AT10 110/9W 6500K (G)-CT</t>
  </si>
  <si>
    <t>LED00046342</t>
  </si>
  <si>
    <t>Đèn LED Downlight đổi màu AT20 110/10W-CT</t>
  </si>
  <si>
    <t>LED00046445</t>
  </si>
  <si>
    <t>Đèn LED Downlight đổi màu AT24 110/10W.PLUS</t>
  </si>
  <si>
    <t>LED00048418</t>
  </si>
  <si>
    <t>Đèn LED Downlight AT10 90/7W 6500K (G)-CTT</t>
  </si>
  <si>
    <t>LED00048654</t>
  </si>
  <si>
    <t>Đèn LED Downlight AT05 155/15W 3000K (XK)</t>
  </si>
  <si>
    <t>LED00048655</t>
  </si>
  <si>
    <t>Đèn LED Downlight AT05 155/20W 5700K (XK)</t>
  </si>
  <si>
    <t>LED00049216</t>
  </si>
  <si>
    <t>Đèn LED Downlight đổi màu AT02 90/7W-TC</t>
  </si>
  <si>
    <t>LED00052722</t>
  </si>
  <si>
    <t>Đèn LED Downlight AT04 155/16W 5000K</t>
  </si>
  <si>
    <t>LED00053333</t>
  </si>
  <si>
    <t>Đèn LED Downlight AT05 155/10.1W 5700K (XK) V2.1</t>
  </si>
  <si>
    <t>LED00054735</t>
  </si>
  <si>
    <t>Đèn LED Downlight AT24 110/12W.PLUS 4000K</t>
  </si>
  <si>
    <t>LED00055321</t>
  </si>
  <si>
    <t>Đèn LED Panel đổi màu PT04.V2 110/9W-CT</t>
  </si>
  <si>
    <t>LED00055324</t>
  </si>
  <si>
    <t>Đèn LED Panel PT04.V2 110/9W 3000K-CT</t>
  </si>
  <si>
    <t>LED00055329</t>
  </si>
  <si>
    <t>Đèn LED Panel PT05 90/7W 6500K-CT</t>
  </si>
  <si>
    <t>LED00056239</t>
  </si>
  <si>
    <t>Đèn LED Downlight đổi màu AT02 110/9W-CT</t>
  </si>
  <si>
    <t>LED00056467</t>
  </si>
  <si>
    <t>Đèn LED Downlight AT30 195/30W 6500K</t>
  </si>
  <si>
    <t>LED00060548</t>
  </si>
  <si>
    <t>Đèn LED Downlight đổi màu LD9T90-W Voltex (XK Úc)</t>
  </si>
  <si>
    <t>LED00060905</t>
  </si>
  <si>
    <t>Đèn LED Downlight AT38 170/24W 12000K (YEMEN)</t>
  </si>
  <si>
    <t>LED00063218</t>
  </si>
  <si>
    <t>Đèn Led downlight âm trần AT24 90/8W.GOV 6500K</t>
  </si>
  <si>
    <t>LED00048171</t>
  </si>
  <si>
    <t>Đèn LED Highbay HBM02 200W.PLUS 5000K (90 độ)</t>
  </si>
  <si>
    <t>LED00048348</t>
  </si>
  <si>
    <t>Đèn LED chiếu pha CPT03 36W.QT 10D 3000K (IP65)</t>
  </si>
  <si>
    <t>LED00048934</t>
  </si>
  <si>
    <t>Đèn LED chiếu pha CP07 100W 5000K (90 độ)</t>
  </si>
  <si>
    <t>LED00049084</t>
  </si>
  <si>
    <t>Đèn LED thả chìm TC02 30W 12000K (DC12V)</t>
  </si>
  <si>
    <t>LED00049882</t>
  </si>
  <si>
    <t>Đèn LED chiếu sáng đường CSD08 110W 5000K</t>
  </si>
  <si>
    <t>LED00051479</t>
  </si>
  <si>
    <t>Đèn LED Highbay HBM02 150W.PLUS 6500K (90 độ)</t>
  </si>
  <si>
    <t>LED00052637</t>
  </si>
  <si>
    <t>Đèn LED Chiếu pha NLMT CP03.SL 300W 6500K</t>
  </si>
  <si>
    <t>LED00053352</t>
  </si>
  <si>
    <t>Đèn LED Chiếu pha CPV01 24W.ĐL 10D RGBW</t>
  </si>
  <si>
    <t>LED00056247</t>
  </si>
  <si>
    <t>Đèn LED chiếu sáng đường NLMT CSD02.SL.RF 100W 6500K SS</t>
  </si>
  <si>
    <t>LED00057988</t>
  </si>
  <si>
    <t>Đèn LED High Bay HB03 280/100W AC 5700K</t>
  </si>
  <si>
    <t>LED00061660</t>
  </si>
  <si>
    <t>Đèn LED Chiếu pha NLMT CP03.SL 300W 6500K-CT</t>
  </si>
  <si>
    <t>LED00062075</t>
  </si>
  <si>
    <t>Đèn LED Chiếu pha CP10 70W 6500K SS</t>
  </si>
  <si>
    <t>LED00064515</t>
  </si>
  <si>
    <t>Module LED đèn đường ML-CSD5S2P.RL16 25W 4000K (XK)</t>
  </si>
  <si>
    <t>LED00065445</t>
  </si>
  <si>
    <t>Đèn LED chiếu pha Floody ECO CP11 100W 3000K (XK)</t>
  </si>
  <si>
    <t>LED00065705</t>
  </si>
  <si>
    <t>Đèn LED chiếu pha CP06 150W.GOV 6500K</t>
  </si>
  <si>
    <t>LED00067258</t>
  </si>
  <si>
    <t>Đèn LED Chiếu pha CP10 100W 6500K SS-CT</t>
  </si>
  <si>
    <t>LED00071348</t>
  </si>
  <si>
    <t>Đèn LED High Bay HB05 250/80W DC 5700K - Không cách ly</t>
  </si>
  <si>
    <t>LED00071775</t>
  </si>
  <si>
    <t>Đèn LED Highbay HB03 350/145W.L4L 6500K</t>
  </si>
  <si>
    <t>LED00071962</t>
  </si>
  <si>
    <t>Đèn LED High Bay HB05 300/120W DC 5700K - Cách ly</t>
  </si>
  <si>
    <t>LED00072173</t>
  </si>
  <si>
    <t>Đèn LED Highbay HB03 290/70W.PLUS 6500K</t>
  </si>
  <si>
    <t>LED00073508</t>
  </si>
  <si>
    <t>Đèn LED chiếu sáng đường NLMT CSD05.SL.RF 100W.V2 6500K</t>
  </si>
  <si>
    <t>LED00077959</t>
  </si>
  <si>
    <t>Đèn LED chiếu sáng đường NLMT CSD08.SL 80W 4000K</t>
  </si>
  <si>
    <t>LED00079923</t>
  </si>
  <si>
    <t>Đèn LED chiếu sáng đường CSD10 100W.NEMA 4000K</t>
  </si>
  <si>
    <t>00000300</t>
  </si>
  <si>
    <t>Đèn LED chiếu pha CP01 70W 3000K</t>
  </si>
  <si>
    <t>00000301</t>
  </si>
  <si>
    <t>Đèn LED chiếu pha CP02 150W 3000K</t>
  </si>
  <si>
    <t>LED00005352</t>
  </si>
  <si>
    <t>Đèn LED chiếu pha CP01 10W 6500K</t>
  </si>
  <si>
    <t>LED00005380</t>
  </si>
  <si>
    <t>Đèn LED Chiếu pha CP03 50W 3000K SS</t>
  </si>
  <si>
    <t>LED00011799</t>
  </si>
  <si>
    <t>Đèn LED Chiếu pha CP03 20W 3000K SS</t>
  </si>
  <si>
    <t>LED00011865</t>
  </si>
  <si>
    <t>Đèn LED Highbay HB01 410/70W 3000K</t>
  </si>
  <si>
    <t>LED00017658</t>
  </si>
  <si>
    <t>Đèn LED Highbay HB03 310/120W.DA 6500K SS</t>
  </si>
  <si>
    <t>LED00017660</t>
  </si>
  <si>
    <t>Đèn LED Highbay HB03 360/200W.DA 6500K SS</t>
  </si>
  <si>
    <t>LED00024365</t>
  </si>
  <si>
    <t>Đèn LED chiếu sáng đường CSD04 120W 5000K</t>
  </si>
  <si>
    <t>LED00025819</t>
  </si>
  <si>
    <t>Đèn LED chiếu sáng đường CSD02 120W 5000K (HY)</t>
  </si>
  <si>
    <t>LED00025822</t>
  </si>
  <si>
    <t>Đèn LED chiếu sáng đường CSD02 150W 4000K (HY)</t>
  </si>
  <si>
    <t>LED00031179</t>
  </si>
  <si>
    <t>Đèn LED Highbay HB03 230/100W.DA 3000K SS</t>
  </si>
  <si>
    <t>LED00041391</t>
  </si>
  <si>
    <t>Đèn LED chiếu sáng đường CSD06 120W 5000K (QB)</t>
  </si>
  <si>
    <t>LED00042235</t>
  </si>
  <si>
    <t>Đèn LED Chiếu pha CP07 32W 3000K.DA (góc 15 độ)</t>
  </si>
  <si>
    <t>LED00044683</t>
  </si>
  <si>
    <t>Đèn LED Linear Highbay GDXL1034 2FT/220W 4000K</t>
  </si>
  <si>
    <t>LED00044685</t>
  </si>
  <si>
    <t>Đèn LED Linear Highbay GDXL1034 3FT/270W 5000K</t>
  </si>
  <si>
    <t>LED00045604</t>
  </si>
  <si>
    <t>Đèn LED Worklight (XNT)</t>
  </si>
  <si>
    <t>LED00045868</t>
  </si>
  <si>
    <t>Đèn LED chiếu sáng đường CSD08 60W 4000K</t>
  </si>
  <si>
    <t>LED00047306</t>
  </si>
  <si>
    <t>Đèn LED chiếu sáng đường CSD06 80W.NEMA 4000K</t>
  </si>
  <si>
    <t>LED00047844</t>
  </si>
  <si>
    <t>Đèn LED chiếu pha CP07 300W.QT 90D 4000K</t>
  </si>
  <si>
    <t>LED00048324</t>
  </si>
  <si>
    <t>Đèn LED chiếu sáng đường NLMT CSD02.SL.RF.RAD 30W</t>
  </si>
  <si>
    <t>LED00048345</t>
  </si>
  <si>
    <t>Đèn LED âm nước AN01 24W.QT 30D 4000K (IP68)</t>
  </si>
  <si>
    <t>LED00048366</t>
  </si>
  <si>
    <t>Đèn LED chiếu sáng đường CSD08 75W 4000K</t>
  </si>
  <si>
    <t>LED00048786</t>
  </si>
  <si>
    <t>Cần lắp đèn pha CPT02 24W.QT 45D/CPT02 36W.QT 45D</t>
  </si>
  <si>
    <t>LED00048912</t>
  </si>
  <si>
    <t>Đèn LED chiếu pha CPT02 24W.QT 45D 3000K (IP65)</t>
  </si>
  <si>
    <t>LED00048915</t>
  </si>
  <si>
    <t>Đèn LED chiếu pha CPT03 36W.QT 45D 3000K (IP65)</t>
  </si>
  <si>
    <t>LED00051481</t>
  </si>
  <si>
    <t>Đèn LED Highbay HBM02 250W.PLUS 6500K (90 độ)</t>
  </si>
  <si>
    <t>LED00054170</t>
  </si>
  <si>
    <t>Đèn LED chiếu sáng cảnh quan DCQ02 60W 5000K</t>
  </si>
  <si>
    <t>LED00054452</t>
  </si>
  <si>
    <t>Đèn LED Chiếu pha CP06 20W 3000K</t>
  </si>
  <si>
    <t>LED00056854</t>
  </si>
  <si>
    <t>Đèn LED chiếu sáng đường CSD09 30W 5000K</t>
  </si>
  <si>
    <t>LED00059905</t>
  </si>
  <si>
    <t>Đèn LED Chiếu pha CP10 50W 6500K SS</t>
  </si>
  <si>
    <t>LED00059974</t>
  </si>
  <si>
    <t>Đèn LED Highbay HB04 360/150W 6500K</t>
  </si>
  <si>
    <t>LED00061325</t>
  </si>
  <si>
    <t>Đèn LED chiếu sáng đường NLMT CSD02.SL.HB 120W.PK 4000K</t>
  </si>
  <si>
    <t>LED00063056</t>
  </si>
  <si>
    <t>Tấm Solar Poly crystalline CP03.SL.RAD 400W.V2</t>
  </si>
  <si>
    <t>LED00063068</t>
  </si>
  <si>
    <t>Đèn LED Chiếu pha NLMT CP03.SL.RAD 400W.V2 6500K</t>
  </si>
  <si>
    <t>LED00064514</t>
  </si>
  <si>
    <t>Module LED đèn đường ML-CSD5S2P.RL16 25W 5700K (XK)</t>
  </si>
  <si>
    <t>LED00066151</t>
  </si>
  <si>
    <t>Đèn LED chiếu sáng đường CSD04 150W 5000K (QB)</t>
  </si>
  <si>
    <t>LED00066909</t>
  </si>
  <si>
    <t>Đèn LED chiếu sáng đường CSD04 250W 4000K</t>
  </si>
  <si>
    <t>LED00068497</t>
  </si>
  <si>
    <t>Đèn LED chiếu pha Floody ECO CP11 50W 3000K (XK)-CT</t>
  </si>
  <si>
    <t>LED00068500</t>
  </si>
  <si>
    <t>Đèn LED Highbay HB02 500/200W 6500K SS-CT</t>
  </si>
  <si>
    <t>LED00070123</t>
  </si>
  <si>
    <t>Đèn LED Chiếu pha CP10 20W 3000K SS</t>
  </si>
  <si>
    <t>LED00072860</t>
  </si>
  <si>
    <t>Đèn LED chiếu sáng đường NLMT CSD08.SL.HB 100W.VT 5000K</t>
  </si>
  <si>
    <t>LED00073303</t>
  </si>
  <si>
    <t>Đèn LED Highbay GDXL1074 2FT 240W 5000K (Yankon)</t>
  </si>
  <si>
    <t>LED00073347</t>
  </si>
  <si>
    <t>Đèn LED chiếu sáng đường CSD12 60W 5000K</t>
  </si>
  <si>
    <t>LED00073633</t>
  </si>
  <si>
    <t>Đèn LED chiếu sáng đường CSD10 70W.NEMA 4000K</t>
  </si>
  <si>
    <t>LED00073784</t>
  </si>
  <si>
    <t>Đèn LED Highbay HB03 290/85W.PLUS 6500K</t>
  </si>
  <si>
    <t>LED00075248</t>
  </si>
  <si>
    <t>Tấm Solar Poly crystalline NX.SL.RAD 300W (TP)</t>
  </si>
  <si>
    <t>LED00077136</t>
  </si>
  <si>
    <t>Đèn LED Highbay HB03 280/150W DC SELV 5700K-KN</t>
  </si>
  <si>
    <t>LED00079604</t>
  </si>
  <si>
    <t>Đèn LED Chiếu pha CP12 10W 6500K</t>
  </si>
  <si>
    <t>LED00079691</t>
  </si>
  <si>
    <t>Đèn LED High Bay HB03 350/200W AC KH 5700K</t>
  </si>
  <si>
    <t>LED00080650</t>
  </si>
  <si>
    <t>Đèn LED chiếu sáng đường NLMT CSD05.SL.RF 100W.BH 6500K</t>
  </si>
  <si>
    <t>LED00082839</t>
  </si>
  <si>
    <t>Đèn LED chiếu sáng đường NLMT CSD05.SL.RF 200W.V3 6500K</t>
  </si>
  <si>
    <t>LED00084658</t>
  </si>
  <si>
    <t>Đèn LED trồng cây CP10 50W.WR</t>
  </si>
  <si>
    <t>LED00001622</t>
  </si>
  <si>
    <t>Đèn LED Panel PT03 135/9W 6500K SS</t>
  </si>
  <si>
    <t>LED00005280</t>
  </si>
  <si>
    <t>Đèn LED Downlight AT02 160/16W 6500K</t>
  </si>
  <si>
    <t>LED00005458</t>
  </si>
  <si>
    <t>Đèn LED Panel PT02 170/8W 6500K</t>
  </si>
  <si>
    <t>LED00012429</t>
  </si>
  <si>
    <t>Đèn LED Downlight AT04 155/25W 3000K SS</t>
  </si>
  <si>
    <t>LED00016379</t>
  </si>
  <si>
    <t>Đèn LED Downlight AT04 90/5W 3000K SS</t>
  </si>
  <si>
    <t>LED00018702</t>
  </si>
  <si>
    <t>Đèn LED Downlight AT11 110/9W 6500K SS</t>
  </si>
  <si>
    <t>LED00023860</t>
  </si>
  <si>
    <t>Đèn LED Panel PT04 110/9W 6500K SS</t>
  </si>
  <si>
    <t>LED00023862</t>
  </si>
  <si>
    <t>Đèn LED Panel PT04 135/9W 6500K SS</t>
  </si>
  <si>
    <t>LED00023865</t>
  </si>
  <si>
    <t>Đèn LED Panel PT04 135/12W 3000K SS</t>
  </si>
  <si>
    <t>LED00025770</t>
  </si>
  <si>
    <t>Đèn LED Downlight AT04 110/12W 5000K SS</t>
  </si>
  <si>
    <t>LED00027577</t>
  </si>
  <si>
    <t>Đèn LED Downlight đổi màu AT10 60/3W SS</t>
  </si>
  <si>
    <t>LED00028956</t>
  </si>
  <si>
    <t>Đèn LED Panel đổi màu D PT05L 135/9W (G)</t>
  </si>
  <si>
    <t>LED00028993</t>
  </si>
  <si>
    <t>Đèn LED Panel PT04 110/9W 4000K SS</t>
  </si>
  <si>
    <t>LED00029438</t>
  </si>
  <si>
    <t>Đèn LED Downlight AT04 200/25W 6500K SS</t>
  </si>
  <si>
    <t>LED00029738</t>
  </si>
  <si>
    <t>Đèn LED Downlight đổi màu AT17 90/7W</t>
  </si>
  <si>
    <t>LED00035031</t>
  </si>
  <si>
    <t>Đèn LED Downlight đổi màu AT10 90/7W (G)</t>
  </si>
  <si>
    <t>LED00039594</t>
  </si>
  <si>
    <t>Đèn LED Downlight đổi màu AT10 60/3W (G)-YEMEN</t>
  </si>
  <si>
    <t>LED00005247</t>
  </si>
  <si>
    <t>Đèn LED Downlight AT03 90/5W 6500K</t>
  </si>
  <si>
    <t>LED00005279</t>
  </si>
  <si>
    <t>Đèn LED Downlight AT12 76/3W 3000K SS</t>
  </si>
  <si>
    <t>LED00005288</t>
  </si>
  <si>
    <t>Đèn LED Downlight AT04 110/12W 6500K SS</t>
  </si>
  <si>
    <t>LED00005301</t>
  </si>
  <si>
    <t>Đèn LED Downlight AT03 110/9W 6500K SS</t>
  </si>
  <si>
    <t>LED00005467</t>
  </si>
  <si>
    <t>Đèn LED Panel PT02 170/12W 3000K</t>
  </si>
  <si>
    <t>LED00020819</t>
  </si>
  <si>
    <t>Đèn LED Downlight AT12 110/9W 3000K SS</t>
  </si>
  <si>
    <t>LED00023240</t>
  </si>
  <si>
    <t>Đèn LED Panel đổi màu PT04 110/9W SS</t>
  </si>
  <si>
    <t>LED00029436</t>
  </si>
  <si>
    <t>Đèn LED Downlight AT04 200/25W 4000K SS</t>
  </si>
  <si>
    <t>LED00031491</t>
  </si>
  <si>
    <t>Đèn LED Downlight AT16 110/12W.DA 6500K SS</t>
  </si>
  <si>
    <t>LED00033382</t>
  </si>
  <si>
    <t>Đèn LED Downlight AT14 110/12W 3000K</t>
  </si>
  <si>
    <t>LED00033383</t>
  </si>
  <si>
    <t>Đèn LED Downlight AT14 110/12W 4000K</t>
  </si>
  <si>
    <t>LED00039983</t>
  </si>
  <si>
    <t>Đèn LED Downlight AT10 90/7W 3000K (G)</t>
  </si>
  <si>
    <t>LED00040737</t>
  </si>
  <si>
    <t>Đèn LED Downlight AT04 110/12W 6500K</t>
  </si>
  <si>
    <t>LED00042295</t>
  </si>
  <si>
    <t>Đèn LED Downlight đổi màu AT20 90/8W</t>
  </si>
  <si>
    <t>LED00043895</t>
  </si>
  <si>
    <t>Đèn LED Downlight x/góc AT22 60/7W 5000K</t>
  </si>
  <si>
    <t>LED00044737</t>
  </si>
  <si>
    <t>Đèn LED Downlight AT04 155/16W 6500K</t>
  </si>
  <si>
    <t>LED00045429</t>
  </si>
  <si>
    <t>Đèn LED Downlight đổi màu AT10 110/9W-CT</t>
  </si>
  <si>
    <t>LED00045933</t>
  </si>
  <si>
    <t>Đèn LED downlight AT25 108x108/16Wx1.PLUS 6500K</t>
  </si>
  <si>
    <t>LED00046327</t>
  </si>
  <si>
    <t>Đèn LED Downlight AT04 155/16W 6500K-CT</t>
  </si>
  <si>
    <t>LED00046372</t>
  </si>
  <si>
    <t>Đèn LED Panel PT04.V2 90/7W 6500K-CT</t>
  </si>
  <si>
    <t>LED00046945</t>
  </si>
  <si>
    <t>Đèn LED Panel đổi màu DL9T90-10MM Voltex (XK Úc)</t>
  </si>
  <si>
    <t>LED00049133</t>
  </si>
  <si>
    <t>Đèn LED downlight AT04 110/9.5W.DA 4000K</t>
  </si>
  <si>
    <t>LED00050861</t>
  </si>
  <si>
    <t>Đèn LED Downlight AT06 76/3W 6500K SS-CT</t>
  </si>
  <si>
    <t>LED00025506</t>
  </si>
  <si>
    <t>Đèn bàn LED bảo vệ thị lực RD-RL-32 5W 3000K</t>
  </si>
  <si>
    <t>LED00081423</t>
  </si>
  <si>
    <t>Đèn bàn LED bảo vệ thị lực RD-RL-19 5W 3000K</t>
  </si>
  <si>
    <t>00000200</t>
  </si>
  <si>
    <t>Bóng đèn CFL 3UT4 25W H8 E27 6500K</t>
  </si>
  <si>
    <t>00000311</t>
  </si>
  <si>
    <t>Bóng đèn CFL-4UT5 50W H8 E40 6500K</t>
  </si>
  <si>
    <t>00000360</t>
  </si>
  <si>
    <t>Đèn CFL-S T3 14W Galaxy E27 2700K</t>
  </si>
  <si>
    <t>00000368</t>
  </si>
  <si>
    <t>Bóng đèn CFL ST4 35W H8 E27 6500K</t>
  </si>
  <si>
    <t>00000371</t>
  </si>
  <si>
    <t>Đèn bàn bảo vệ thị lực RD-RL-07 6500K</t>
  </si>
  <si>
    <t>00000396</t>
  </si>
  <si>
    <t>Đèn HQ Compact CFL 5UT5-100W E40 6500K</t>
  </si>
  <si>
    <t>00000416</t>
  </si>
  <si>
    <t>Bóng đèn CFL 3UT4 20W IP65 E2700K C.ẩm EVN</t>
  </si>
  <si>
    <t>00000482</t>
  </si>
  <si>
    <t>Bóng đèn CFL 4UT5 50W.S H8 E40 6500K</t>
  </si>
  <si>
    <t>00000488</t>
  </si>
  <si>
    <t>Bóng đèn CFL-ST3 7W E27 6500K</t>
  </si>
  <si>
    <t>00000494</t>
  </si>
  <si>
    <t>Bóng đèn CFL ST4 25W H8 E27 6500K</t>
  </si>
  <si>
    <t>00000530</t>
  </si>
  <si>
    <t>Bộ đèn CSLH FS40/36x1 CM1*EH</t>
  </si>
  <si>
    <t>LED00005679</t>
  </si>
  <si>
    <t>Balát điện tử (EBS.1-A40/36-FL)-220V</t>
  </si>
  <si>
    <t>LED00005666</t>
  </si>
  <si>
    <t>SOCKETLAMP SR-PQ285RBLEDTL02.2 90/0,5W</t>
  </si>
  <si>
    <t>LED00005732</t>
  </si>
  <si>
    <t>Đèn LED Khẩn cấp KC01 2W vàng</t>
  </si>
  <si>
    <t>LED00017645</t>
  </si>
  <si>
    <t>Đèn LED Tracklight TRL03 8W 6500K</t>
  </si>
  <si>
    <t>LED00017868</t>
  </si>
  <si>
    <t>Đèn LED Khẩn cấp KC05 3W vàng</t>
  </si>
  <si>
    <t>LED00053242</t>
  </si>
  <si>
    <t>Đèn LED Tracklight TRL05 30W 5000K (đen)</t>
  </si>
  <si>
    <t>LED00077002</t>
  </si>
  <si>
    <t>Đèn LED Tracklight TRL08 15W 6500K (Trắng)</t>
  </si>
  <si>
    <t>LED00077005</t>
  </si>
  <si>
    <t>Đèn LED Tracklight TRL08 20W 3000K (Đen)</t>
  </si>
  <si>
    <t>LED00036594</t>
  </si>
  <si>
    <t>Bóng đèn chuyên dụng TR60.HC/9W IP65</t>
  </si>
  <si>
    <t>LED00040692</t>
  </si>
  <si>
    <t>Đèn LED Đánh cá DC04 200W  5000K</t>
  </si>
  <si>
    <t>LED00045984</t>
  </si>
  <si>
    <t>Đèn LED Đánh cá DC04 300W  4000K (SPD)</t>
  </si>
  <si>
    <t>LED00058340</t>
  </si>
  <si>
    <t>Đèn LED Đánh cá DC08 500W 4000K (SPD)</t>
  </si>
  <si>
    <t>LED00067609</t>
  </si>
  <si>
    <t>Đèn LED Downlight đổi màu MQTL1213-L85K9027T (12c/h,Yankon)</t>
  </si>
  <si>
    <t>LED00067787</t>
  </si>
  <si>
    <t>Đèn LED Downlight đổi màu MQTL1218-L58K9027 (1c/h,Yankon)</t>
  </si>
  <si>
    <t>LED00069138</t>
  </si>
  <si>
    <t>Đèn LED Downlight đổi màu MQTL1218-L58K9027S (6c/h,Yankon)</t>
  </si>
  <si>
    <t>LED00069139</t>
  </si>
  <si>
    <t>Đèn LED Ốp trần đổi màu MXL1138-L28K9027H (Đen,Yankon)</t>
  </si>
  <si>
    <t>LED00072533</t>
  </si>
  <si>
    <t>Đèn LED Downlight AT06.V3 90/5W 6500K</t>
  </si>
  <si>
    <t>LED00074400</t>
  </si>
  <si>
    <t>Đèn LED Downlight AT05 110/12W 5700K (XK-KN)</t>
  </si>
  <si>
    <t>LED00075374</t>
  </si>
  <si>
    <t>Đèn LED downlight AT25 108x208/12Wx2.PLUS 6500K</t>
  </si>
  <si>
    <t>LED00075540</t>
  </si>
  <si>
    <t>Đèn LED Downlight đổi màu AT10 90/10W</t>
  </si>
  <si>
    <t>LED00076042</t>
  </si>
  <si>
    <t>Đèn LED Downlight AT56 110/10W 3000K</t>
  </si>
  <si>
    <t>LED00076060</t>
  </si>
  <si>
    <t>Đèn LED Downlight AT10 110/12W 3000K</t>
  </si>
  <si>
    <t>LED00077392</t>
  </si>
  <si>
    <t>Đèn LED Downlight AT30 155/16W.GOV.V4 6500K</t>
  </si>
  <si>
    <t>LED00078648</t>
  </si>
  <si>
    <t>Đèn LED Downlight đổi màu AT56 110/12W (G)</t>
  </si>
  <si>
    <t>LED00079362</t>
  </si>
  <si>
    <t>Đèn LED Downlight AT04 155/16W.PLUS 6500K</t>
  </si>
  <si>
    <t>LED00079726</t>
  </si>
  <si>
    <t>Đèn LED Downlight AT04 155/16W.PLUS 6500K (HPF)</t>
  </si>
  <si>
    <t>LED00080474</t>
  </si>
  <si>
    <t>Đèn LED Downlight AT05 155/18W.GOV.V2 6500K</t>
  </si>
  <si>
    <t>LED00081224</t>
  </si>
  <si>
    <t>Đèn LED Downlight đổi màu AT10 90/8W (G)-CT</t>
  </si>
  <si>
    <t>LED00081950</t>
  </si>
  <si>
    <t>Đèn LED Downlight AT24 90/8W.PLUS IP54 4000K</t>
  </si>
  <si>
    <t>LED00082007</t>
  </si>
  <si>
    <t>Đèn LED Downlight AT04 110/9W.PLUS 4000K</t>
  </si>
  <si>
    <t>LED ốp trần</t>
  </si>
  <si>
    <t>00000479</t>
  </si>
  <si>
    <t>Đèn LED ốp trần c.bụi D LN CB01L/9W-trắng S</t>
  </si>
  <si>
    <t>LED00005318</t>
  </si>
  <si>
    <t>Đèn LED ốp trần LN07 250x250/9W 6500K</t>
  </si>
  <si>
    <t>LED00011658</t>
  </si>
  <si>
    <t>Đèn LED ốp trần LN03 270/14W 5000K SS</t>
  </si>
  <si>
    <t>LED Ốp trần</t>
  </si>
  <si>
    <t>LED00019125</t>
  </si>
  <si>
    <t>Đèn LED ốp trần LN.CB03 260/18W 6500K SS</t>
  </si>
  <si>
    <t>LED00015132</t>
  </si>
  <si>
    <t>Đèn LED chiếu pha CP05 50W 6500K SS</t>
  </si>
  <si>
    <t>LED00025285</t>
  </si>
  <si>
    <t>Đèn LED chiếu sáng đường CSD04 100W 5000K</t>
  </si>
  <si>
    <t>LED00026597</t>
  </si>
  <si>
    <t>Đèn LED chiếu sáng đường CSD03 90W 4000K</t>
  </si>
  <si>
    <t>LED00026717</t>
  </si>
  <si>
    <t>Đèn LED chiếu sáng đường CSD03 80W 4000K</t>
  </si>
  <si>
    <t>LED00026760</t>
  </si>
  <si>
    <t>Đèn LED Worklight MPL 1032 12W 4000K (Yankon)</t>
  </si>
  <si>
    <t>LED00027482</t>
  </si>
  <si>
    <t>Đèn LED chiếu sáng đường CSD04 100W 4000K</t>
  </si>
  <si>
    <t>LED00029759</t>
  </si>
  <si>
    <t>Đèn LED chiếu sáng đường CSD06 150W 5000K</t>
  </si>
  <si>
    <t>LED00031167</t>
  </si>
  <si>
    <t>Đèn LED Highbay HB03 290/100W 3000K SS</t>
  </si>
  <si>
    <t>LED00033856</t>
  </si>
  <si>
    <t>Đèn LED Chiếu pha CP06 150W 8000K SS</t>
  </si>
  <si>
    <t>LED00034585</t>
  </si>
  <si>
    <t>Đèn LED chiếu sáng đường CSD04 120W 5000K (HN)</t>
  </si>
  <si>
    <t>LED00036144</t>
  </si>
  <si>
    <t>Đèn LED chiếu sáng đường CSD06 80W 4000K</t>
  </si>
  <si>
    <t>LED00041290</t>
  </si>
  <si>
    <t>Đèn LED Highbay HB03 310/120W.EV 6500K</t>
  </si>
  <si>
    <t>LED00042923</t>
  </si>
  <si>
    <t>Đèn LED chiếu pha CP07 250W 5000K (90 độ)</t>
  </si>
  <si>
    <t>LED00042950</t>
  </si>
  <si>
    <t>Đèn LED chiếu pha CP07 150W 4000K (60 độ)</t>
  </si>
  <si>
    <t>LED00044684</t>
  </si>
  <si>
    <t>Đèn LED Linear Highbay GDXL1034 2FT/220W 5000K</t>
  </si>
  <si>
    <t>LED00047400</t>
  </si>
  <si>
    <t>Đèn LED chiếu sáng đường CSD03 80W.EV 4000K</t>
  </si>
  <si>
    <t>LED00047900</t>
  </si>
  <si>
    <t>Đèn LED chiếu sáng đường CSD08 100W.NEMA 4000K</t>
  </si>
  <si>
    <t>LED00048195</t>
  </si>
  <si>
    <t>Đèn LED Highbay HB03 390/250W.PLUS 6500K SS</t>
  </si>
  <si>
    <t>LED00048787</t>
  </si>
  <si>
    <t>Bộ gá đèn pha CPV01 72W.QT 10D</t>
  </si>
  <si>
    <t>LED00052587</t>
  </si>
  <si>
    <t>Đèn LED Linear Highbay GDXL1034 4FT/345W 4000K</t>
  </si>
  <si>
    <t>LED00055826</t>
  </si>
  <si>
    <t>Đèn LED chiếu sáng đường CSD05 100W 4000K (3M)</t>
  </si>
  <si>
    <t>LED00058935</t>
  </si>
  <si>
    <t>Đèn LED thanh T03.DMX.RGBW 1000/48W</t>
  </si>
  <si>
    <t>LED00059972</t>
  </si>
  <si>
    <t>Đèn LED Highbay HB04 300/100W 6500K</t>
  </si>
  <si>
    <t>LED00061189</t>
  </si>
  <si>
    <t>Đèn LED chiếu sáng đường NLMT CSD01.SL.RF 35W.PL 6500K</t>
  </si>
  <si>
    <t>LED00013892</t>
  </si>
  <si>
    <t>Đèn LED Downlight AT06 90/7W 6500K SS</t>
  </si>
  <si>
    <t>LED00013894</t>
  </si>
  <si>
    <t>Đèn LED Downlight AT06 110/9W 6500K SS</t>
  </si>
  <si>
    <t>LED00017254</t>
  </si>
  <si>
    <t>Đèn LED Downlight đổi màu AT10 110/9W (G) SS</t>
  </si>
  <si>
    <t>LED00018552</t>
  </si>
  <si>
    <t>Đèn LED Downlight AT10 90/7W 3000K (G) SS</t>
  </si>
  <si>
    <t>LED00025769</t>
  </si>
  <si>
    <t>Đèn LED Downlight AT04 110/9W.DA 6500K SS</t>
  </si>
  <si>
    <t>LED00026906</t>
  </si>
  <si>
    <t>Đèn LED Downlight AT16 90/7W.DA 4000K SS</t>
  </si>
  <si>
    <t>LED00029437</t>
  </si>
  <si>
    <t>Đèn LED Downlight AT04 200/25W 5000K SS</t>
  </si>
  <si>
    <t>LED00030563</t>
  </si>
  <si>
    <t>Đèn LED Downlight MQTL1081 6inch 18W CCT (Yankon)</t>
  </si>
  <si>
    <t>LED00032249</t>
  </si>
  <si>
    <t>Đèn LED Panel đổi màu PT05 90/7W</t>
  </si>
  <si>
    <t>LED00032938</t>
  </si>
  <si>
    <t>Đèn LED Downlight AT12 240x125/7Wx2.DA 4000K</t>
  </si>
  <si>
    <t>LED00033391</t>
  </si>
  <si>
    <t>Đèn LED Downlight DAT 17L 8 inch 30W 3000K</t>
  </si>
  <si>
    <t>LED00036329</t>
  </si>
  <si>
    <t>Đèn LED Panel PT04 110/9W 4000K</t>
  </si>
  <si>
    <t>LED00036988</t>
  </si>
  <si>
    <t>Đèn LED ốp trần GX53s 90/9W 3000K</t>
  </si>
  <si>
    <t>LED00037329</t>
  </si>
  <si>
    <t>Đèn LED Downlight MQTL1100 8inch 19W CCT (Yankon)</t>
  </si>
  <si>
    <t>LED00038905</t>
  </si>
  <si>
    <t>Đèn LED Downlight AT04 90/7W 6500K</t>
  </si>
  <si>
    <t>LED00041497</t>
  </si>
  <si>
    <t>Đèn LED Downlight AT04 155/16W (CRI 90) 3000K</t>
  </si>
  <si>
    <t>LED00042089</t>
  </si>
  <si>
    <t>Đèn LED Downlight AT05 155/12W 5700K (XK) SS</t>
  </si>
  <si>
    <t>LED00042770</t>
  </si>
  <si>
    <t>Đèn LED Downlight diệt khuẩn AT21.UV 90/7W 3000K</t>
  </si>
  <si>
    <t>LED00043752</t>
  </si>
  <si>
    <t>Đèn LED Downlight AT01 200/40W 5700K (XK-KN)</t>
  </si>
  <si>
    <t>LED00045425</t>
  </si>
  <si>
    <t>Đèn LED Downlight AT10 90/7W 6500K (G)-CT</t>
  </si>
  <si>
    <t>LED00046097</t>
  </si>
  <si>
    <t>Đèn LED Panel đổi màu PT04.V2 135/9W</t>
  </si>
  <si>
    <t>LED00046341</t>
  </si>
  <si>
    <t>Đèn LED Downlight đổi màu AT10 90/9W (G)-CT</t>
  </si>
  <si>
    <t>LED00046518</t>
  </si>
  <si>
    <t>Đèn LED Downlight AT06.V2 90/5W 6500K</t>
  </si>
  <si>
    <t>LED00032813</t>
  </si>
  <si>
    <t>Đèn LED chiếu sáng đường CSD02 125W 4000K</t>
  </si>
  <si>
    <t>LED00033823</t>
  </si>
  <si>
    <t>Đèn LED chiếu sáng đường CSD03 30W 4000K</t>
  </si>
  <si>
    <t>LED00036794</t>
  </si>
  <si>
    <t>Đèn LED chiếu sáng đường CSD06 90W 4000K</t>
  </si>
  <si>
    <t>LED00037525</t>
  </si>
  <si>
    <t>Đèn LED Chiếu pha D CP07L/50W.DA 3000K SS</t>
  </si>
  <si>
    <t>LED00042963</t>
  </si>
  <si>
    <t>Đèn LED chiếu pha CP07 250W 4000K (90 độ)</t>
  </si>
  <si>
    <t>LED00044450</t>
  </si>
  <si>
    <t>Đèn LED chiếu sáng đường NLMT CSD01.SL.RF 50W V2</t>
  </si>
  <si>
    <t>LED00044678</t>
  </si>
  <si>
    <t>Đèn LED Linear Highbay GDXL1034 2FT/90W 5000K</t>
  </si>
  <si>
    <t>LED00047589</t>
  </si>
  <si>
    <t>Đèn LED chiếu pha CP07 300W 5000K (60 độ)</t>
  </si>
  <si>
    <t>LED00047611</t>
  </si>
  <si>
    <t>Đèn LED chiếu pha CP07 400W 5000K (60 độ)</t>
  </si>
  <si>
    <t>LED00048172</t>
  </si>
  <si>
    <t>Đèn LED Highbay HBM02 250W.PLUS 5000K (90 độ)</t>
  </si>
  <si>
    <t>LED00048191</t>
  </si>
  <si>
    <t>Đèn LED Highbay HB03 290/100W.PLUS 6500K SS</t>
  </si>
  <si>
    <t>LED00049027</t>
  </si>
  <si>
    <t>Đèn LED chiếu sáng đường CSD09 30W.PLUS 5000K</t>
  </si>
  <si>
    <t>LED00050654</t>
  </si>
  <si>
    <t>Đèn LED Highbay HB02 430/100W 4000K SS</t>
  </si>
  <si>
    <t>LED00051964</t>
  </si>
  <si>
    <t>Đèn LED Chiếu sáng cảnh quan CSCQ01 25W 4000K</t>
  </si>
  <si>
    <t>LED00058019</t>
  </si>
  <si>
    <t>Đèn LED High Bay HB03 330/120W AC 5700K</t>
  </si>
  <si>
    <t>LED00058519</t>
  </si>
  <si>
    <t>Đèn LED chiếu sáng đường CSD02 70W.QB 4000K-Trùng tên</t>
  </si>
  <si>
    <t>LED00061780</t>
  </si>
  <si>
    <t>Đèn LED Highbay HB03 390/200W.PLUS 6500K</t>
  </si>
  <si>
    <t>LED00064681</t>
  </si>
  <si>
    <t>Đèn LED Chiếu pha CP10 20W 6500K SS</t>
  </si>
  <si>
    <t>LED00065170</t>
  </si>
  <si>
    <t>Đèn LED Chiếu pha CP10 30W 3000K SS</t>
  </si>
  <si>
    <t>LED00065176</t>
  </si>
  <si>
    <t>Đèn LED Chiếu pha CP10 100W 3000K SS</t>
  </si>
  <si>
    <t>LED00069048</t>
  </si>
  <si>
    <t>Đèn LED High Bay HB03 330/150W DC 5700K-KN</t>
  </si>
  <si>
    <t>LED00069119</t>
  </si>
  <si>
    <t>Đèn LED UFO GDXL1065 180/200/240W CCT 277V (YK)</t>
  </si>
  <si>
    <t>LED00071001</t>
  </si>
  <si>
    <t>Đèn LED Highbay HB03 390/200W 6500K</t>
  </si>
  <si>
    <t>LED00048416</t>
  </si>
  <si>
    <t>Đèn LED Downlight AT04 110/12W 6500K-CTT</t>
  </si>
  <si>
    <t>LED00049203</t>
  </si>
  <si>
    <t>Đèn LED Downlight AT06 76/3W 6500K SS-TC</t>
  </si>
  <si>
    <t>LED00049209</t>
  </si>
  <si>
    <t>Đèn LED Downlight AT04 90/9W 6500K-TC</t>
  </si>
  <si>
    <t>LED00049231</t>
  </si>
  <si>
    <t>Đèn LED Downlight đổi màu AT20 110/12W (G)-TC</t>
  </si>
  <si>
    <t>LED00052933</t>
  </si>
  <si>
    <t>Đèn LED Downlight nổi trần NT01 110/12W 4000K (trắng)</t>
  </si>
  <si>
    <t>LED00056436</t>
  </si>
  <si>
    <t>Đèn LED Downlight AT28 90/7W 6500K</t>
  </si>
  <si>
    <t>LED00057233</t>
  </si>
  <si>
    <t>Đèn LED Downlight AT05 110/12W 3000K (XK)</t>
  </si>
  <si>
    <t>LED00057553</t>
  </si>
  <si>
    <t>Đèn LED Downlight AT04 110/9W.DA 6500K</t>
  </si>
  <si>
    <t>LED00059358</t>
  </si>
  <si>
    <t>Đèn LED Downlight MQTL1128 4inch (Yankon)</t>
  </si>
  <si>
    <t>LED00064704</t>
  </si>
  <si>
    <t>Đèn LED Downlight AT20.DIM 110/12W 4000K</t>
  </si>
  <si>
    <t>LED00069121</t>
  </si>
  <si>
    <t>Đèn LED Ốp trần đổi màu MXL1069 L18.5K9027W (Trắng,Yankon)</t>
  </si>
  <si>
    <t>LED00073042</t>
  </si>
  <si>
    <t>Đèn LED Downlight AT05.V3 155/18W 4000K (XK)</t>
  </si>
  <si>
    <t>LED00074399</t>
  </si>
  <si>
    <t>Đèn LED Downlight AT05 90/8W 5700K (XK-KN)</t>
  </si>
  <si>
    <t>LED00075409</t>
  </si>
  <si>
    <t>Đèn LED Downlight AT04 155/18W 3000K</t>
  </si>
  <si>
    <t>LED00076021</t>
  </si>
  <si>
    <t>Bộ đèn LED Batten đổi màu BT01.DIM 600/20W</t>
  </si>
  <si>
    <t>LED00076255</t>
  </si>
  <si>
    <t>Đèn LED Downlight đổi màu AT48 110/10W</t>
  </si>
  <si>
    <t>LED00077091</t>
  </si>
  <si>
    <t>Đèn LED Downlight AT04 90/10W 3000K</t>
  </si>
  <si>
    <t>LED00077418</t>
  </si>
  <si>
    <t>Đèn LED downlight AT25 108x208/12Wx2.GOV.V4 3000K</t>
  </si>
  <si>
    <t>LED00078447</t>
  </si>
  <si>
    <t>Đèn LED Downlight đổi màu AT10 110/10W (G)</t>
  </si>
  <si>
    <t>LED00078808</t>
  </si>
  <si>
    <t>Đèn LED Downlight đổi màu AT48 110/10W (G)</t>
  </si>
  <si>
    <t>LED00080128</t>
  </si>
  <si>
    <t>Đèn LED downlight nổi trần NT07 250x250/25W.GOV.V2 4000K</t>
  </si>
  <si>
    <t>LED00081277</t>
  </si>
  <si>
    <t>Đèn LED Panel đổi màu PT05 110/10W (G)</t>
  </si>
  <si>
    <t>LED00037330</t>
  </si>
  <si>
    <t>Đèn LED Downlight MQTL1101 6inch 15W CCT (Yankon)</t>
  </si>
  <si>
    <t>LED00041669</t>
  </si>
  <si>
    <t>Đèn LED Downlight AT12 240x125/14Wx2.DA 4000K</t>
  </si>
  <si>
    <t>LED00042296</t>
  </si>
  <si>
    <t>Đèn LED Downlight đổi màu AT20 90/10W</t>
  </si>
  <si>
    <t>LED00042309</t>
  </si>
  <si>
    <t>Đèn LED Panel PT04.V2 110/9W 6500K</t>
  </si>
  <si>
    <t>LED00044488</t>
  </si>
  <si>
    <t>Đèn LED Panel PT04 135/12W 4000K</t>
  </si>
  <si>
    <t>LED00045420</t>
  </si>
  <si>
    <t>Đèn LED Downlight AT04 90/7W 6500K-CT</t>
  </si>
  <si>
    <t>LED00045431</t>
  </si>
  <si>
    <t>Đèn LED Downlight đổi màu AT20 90/8W-CT</t>
  </si>
  <si>
    <t>LED00045434</t>
  </si>
  <si>
    <t>Đèn LED Downlight đổi màu AT20 90/10W (G)-CT</t>
  </si>
  <si>
    <t>LED00046105</t>
  </si>
  <si>
    <t>Đèn LED Panel PT05 110/9W 6500K (G)</t>
  </si>
  <si>
    <t>LED00046106</t>
  </si>
  <si>
    <t>Đèn LED Panel PT05 110/9W 3000K</t>
  </si>
  <si>
    <t>LED00046331</t>
  </si>
  <si>
    <t>Đèn LED Downlight AT04 155/25W 6500K SS-CT</t>
  </si>
  <si>
    <t>LED00046333</t>
  </si>
  <si>
    <t>Đèn LED Downlight AT04 90/7W 4000K-CT</t>
  </si>
  <si>
    <t>LED00046334</t>
  </si>
  <si>
    <t>Đèn LED Downlight AT04 90/9W 4000K-CT</t>
  </si>
  <si>
    <t>LED00046360</t>
  </si>
  <si>
    <t>Đèn LED Panel đổi màu PT04 110/9W-CT</t>
  </si>
  <si>
    <t>LED00046363</t>
  </si>
  <si>
    <t>Đèn LED Panel đổi màu PT05 135/12W (G)-CT</t>
  </si>
  <si>
    <t>LED00046371</t>
  </si>
  <si>
    <t>Đèn LED Panel PT04 90/7W 6500K-CT</t>
  </si>
  <si>
    <t>LED00047361</t>
  </si>
  <si>
    <t>Đèn LED Downlight AT06.V2 90/7W 3000K</t>
  </si>
  <si>
    <t>LED00047789</t>
  </si>
  <si>
    <t>Đèn LED Downlight AT06 90/7W 4000K SS</t>
  </si>
  <si>
    <t>LED00048426</t>
  </si>
  <si>
    <t>Đèn LED Downlight đổi màu AT10 90/9W (G)-CTT</t>
  </si>
  <si>
    <t>LED00049688</t>
  </si>
  <si>
    <t>Đèn LED Downlight AT04 110/12W.DA 3000K</t>
  </si>
  <si>
    <t>LED00050145</t>
  </si>
  <si>
    <t>Đèn LED Downlight nổi trần NT01 110/10W 4000K</t>
  </si>
  <si>
    <t>LED00050285</t>
  </si>
  <si>
    <t>Đèn LED Downlight AT04 90/5.5W.DA 4000K</t>
  </si>
  <si>
    <t>LED00052538</t>
  </si>
  <si>
    <t>Đèn LED Downlight AT04 110/9W.PLUS 6500K</t>
  </si>
  <si>
    <t>LED00065343</t>
  </si>
  <si>
    <t>Đèn LED chiếu pha CPV02 20W.APG 3000K (IP66, 24V)</t>
  </si>
  <si>
    <t>LED00067287</t>
  </si>
  <si>
    <t>Đèn LED chiếu sáng đường CSD10 100W 5000K</t>
  </si>
  <si>
    <t>LED00067367</t>
  </si>
  <si>
    <t>Đèn LED chiếu điểm LCD01.DMX.RGBW 5W 120D (W4000K, 24VDC)</t>
  </si>
  <si>
    <t>LED00069051</t>
  </si>
  <si>
    <t>Đèn LED UFO GDXL1065 90/120/150W CCT 277V (YK)</t>
  </si>
  <si>
    <t>LED00069563</t>
  </si>
  <si>
    <t>Đèn LED chiếu sáng đường CSD08 100W 5000K (QB)</t>
  </si>
  <si>
    <t>LED00071335</t>
  </si>
  <si>
    <t>Đèn LED High Bay HB05 300/150W AC 5700K</t>
  </si>
  <si>
    <t>LED00072434</t>
  </si>
  <si>
    <t>Module LED đèn đường ML-CSD4S3P.RL14 15W 5000K (XK)</t>
  </si>
  <si>
    <t>LED00073624</t>
  </si>
  <si>
    <t>Đèn LED Highbay HB02 350/50W 4000K</t>
  </si>
  <si>
    <t>LED00075785</t>
  </si>
  <si>
    <t>Đèn LED UFO GDXL1065 Black finish 240W CCT (YK)</t>
  </si>
  <si>
    <t>LED00076216</t>
  </si>
  <si>
    <t>Đèn LED Highbay HB02 350/70W 6500K</t>
  </si>
  <si>
    <t>LED00079006</t>
  </si>
  <si>
    <t>Đèn LED chiếu sáng đường CSD10 100W.NEMA.PLUS 5000K</t>
  </si>
  <si>
    <t>LED00079177</t>
  </si>
  <si>
    <t>Đèn LED Chiếu pha CP10 150W 3000K</t>
  </si>
  <si>
    <t>LED00079693</t>
  </si>
  <si>
    <t>Đèn chiếu sáng đường NLMT CSD08.SL 100W 5000K</t>
  </si>
  <si>
    <t>LED00081573</t>
  </si>
  <si>
    <t>Đèn LED chiếu pha CP07 60W NEMA 5000K (60 độ)</t>
  </si>
  <si>
    <t>LED00081646</t>
  </si>
  <si>
    <t>Đèn LED chiếu sáng đường CSD08 100W.NEMA 5000K</t>
  </si>
  <si>
    <t>LED00082384</t>
  </si>
  <si>
    <t>Đèn LED chiếu sáng đường CSD10 40W 4000K</t>
  </si>
  <si>
    <t>LED00082666</t>
  </si>
  <si>
    <t>Đèn LED chiếu sáng đường NLMT CSD05.SL.RF 30W.V2 6500K</t>
  </si>
  <si>
    <t>LED00082923</t>
  </si>
  <si>
    <t>Tấm Solar Monocrystalline CP03.SL.RAD 500W.V2 (TP)</t>
  </si>
  <si>
    <t>LED00084954</t>
  </si>
  <si>
    <t>Đèn LED HighBay HB03 290/100W.PLUS 4000K</t>
  </si>
  <si>
    <t>LED00005251</t>
  </si>
  <si>
    <t>Đèn LED Downlight AT03 110/5W 3000K</t>
  </si>
  <si>
    <t>LED00005309</t>
  </si>
  <si>
    <t>Đèn LED Downlight đổi màu AT02 90/6W SS</t>
  </si>
  <si>
    <t>LED00005451</t>
  </si>
  <si>
    <t>Đèn LED Panel PT01 140/5W 5000K</t>
  </si>
  <si>
    <t>LED00005453</t>
  </si>
  <si>
    <t>Đèn LED Panel PT01 140/5W 6500K</t>
  </si>
  <si>
    <t>LED00013925</t>
  </si>
  <si>
    <t>Đèn LED Panel PT03 90/6W 3000K</t>
  </si>
  <si>
    <t>LED00025781</t>
  </si>
  <si>
    <t>Đèn LED Downlight đổi màu AT08 110/9W (G) SS</t>
  </si>
  <si>
    <t>LED00025785</t>
  </si>
  <si>
    <t>Đèn LED Panel PT03 160/12W 3000K SS</t>
  </si>
  <si>
    <t>LED00029928</t>
  </si>
  <si>
    <t>Đèn LED Downlight AT01 155/15W 5700K (XK)</t>
  </si>
  <si>
    <t>LED00030564</t>
  </si>
  <si>
    <t>Đèn LED Downlight MQTL1081 8inch 13W CCT (Yankon)</t>
  </si>
  <si>
    <t>LED00031435</t>
  </si>
  <si>
    <t>Đèn LED Downlight MQTL1081 4inch 9W CCT (Yankon)</t>
  </si>
  <si>
    <t>LED00039591</t>
  </si>
  <si>
    <t>Đèn LED Downlight AT04 90/9W 6500K</t>
  </si>
  <si>
    <t>LED00039910</t>
  </si>
  <si>
    <t>Đèn LED Downlight đổi màu AT10 110/12W</t>
  </si>
  <si>
    <t>LED00039984</t>
  </si>
  <si>
    <t>Đèn LED Downlight AT10 90/7W 3000K</t>
  </si>
  <si>
    <t>LED00041101</t>
  </si>
  <si>
    <t>Đèn LED Downlight AT04 155/25W 4000K</t>
  </si>
  <si>
    <t>LED00041581</t>
  </si>
  <si>
    <t>Đèn LED Downlight GX53s/9W/T/LIOA 3000K</t>
  </si>
  <si>
    <t>LED00042299</t>
  </si>
  <si>
    <t>Đèn LED Downlight đổi màu AT20 110/10W</t>
  </si>
  <si>
    <t>LED00046096</t>
  </si>
  <si>
    <t>Đèn LED Panel đổi màu PT04.V2 90/7W</t>
  </si>
  <si>
    <t>LED00046361</t>
  </si>
  <si>
    <t>Đèn LED Panel đổi màu PT04 90/7W-CT</t>
  </si>
  <si>
    <t>LED00047776</t>
  </si>
  <si>
    <t>Đèn LED Panel PT04.V2 90/7W 3000K</t>
  </si>
  <si>
    <t>LED00048409</t>
  </si>
  <si>
    <t>Đèn LED Downlight AT06.V2 90/7W 3000K-CTT</t>
  </si>
  <si>
    <t>LED00048425</t>
  </si>
  <si>
    <t>Đèn LED Downlight đổi màu AT10 90/9W-CTT</t>
  </si>
  <si>
    <t>LED00049213</t>
  </si>
  <si>
    <t>Đèn LED Downlight AT10 90/7W 6500K (G)-TC</t>
  </si>
  <si>
    <t>LED00054459</t>
  </si>
  <si>
    <t>Đèn LED Downlight đổi màu AT26 90/8W</t>
  </si>
  <si>
    <t>LED00056217</t>
  </si>
  <si>
    <t>Đèn LED Panel PT05 110/9W 6500K (G)-CT</t>
  </si>
  <si>
    <t>LED00057239</t>
  </si>
  <si>
    <t>Đèn LED Downlight đổi màu AT05 110/12W (XK)</t>
  </si>
  <si>
    <t>LED00057241</t>
  </si>
  <si>
    <t>Đèn LED Downlight đổi màu AT05 155/20W (XK)</t>
  </si>
  <si>
    <t>LED00060910</t>
  </si>
  <si>
    <t>Đèn LED Downlight đổi màu AT38 225/36W (YEMEN)</t>
  </si>
  <si>
    <t>LED00062353</t>
  </si>
  <si>
    <t>Đèn LED Downlight nổi trần NT03 120/10W 6500K</t>
  </si>
  <si>
    <t>LED00057240</t>
  </si>
  <si>
    <t>Đèn LED Downlight đổi màu AT05 155/15W (XK)</t>
  </si>
  <si>
    <t>LED00057758</t>
  </si>
  <si>
    <t>Đèn LED Downlight đổi màu MQTL1173 17W (Yankon)</t>
  </si>
  <si>
    <t>LED00060906</t>
  </si>
  <si>
    <t>Đèn LED Downlight AT38 225/36W 12000K (YEMEN)</t>
  </si>
  <si>
    <t>LED00062354</t>
  </si>
  <si>
    <t>Đèn LED Downlight nổi trần NT03 120/12W 6500K</t>
  </si>
  <si>
    <t>LED00064800</t>
  </si>
  <si>
    <t>Đèn LED Downlight AT04L 200/42W 3000K</t>
  </si>
  <si>
    <t>LED00080014</t>
  </si>
  <si>
    <t>Đèn LED Downlight AT05 170/20W.GOV.V2 4000K</t>
  </si>
  <si>
    <t>LED00080730</t>
  </si>
  <si>
    <t>Đèn LED ốp trần MXL1148-14inch_24W_3CCT (Yankon)</t>
  </si>
  <si>
    <t>LED00080744</t>
  </si>
  <si>
    <t>Đèn LED ốp trần MXL1225-11inch_16/14/12W_5CCT (Yankon)</t>
  </si>
  <si>
    <t>LED00080816</t>
  </si>
  <si>
    <t>Đèn LED ốp trần MXL1224-14inch-Doubel ring BBU_12W (Yankon)</t>
  </si>
  <si>
    <t>LED00080877</t>
  </si>
  <si>
    <t>Đèn LED Panel PT05 90/8W 6500K (G)</t>
  </si>
  <si>
    <t>LED00083373</t>
  </si>
  <si>
    <t>Đèn LED Downlight AT05 110/12W.PLUS 6500K</t>
  </si>
  <si>
    <t>00000219</t>
  </si>
  <si>
    <t>Bộ đèn ốp trần LED (LED CL-02) 9W-Trắng</t>
  </si>
  <si>
    <t>00000425</t>
  </si>
  <si>
    <t>Đèn LED ốp trần chống bụi D LN CB01L/10W</t>
  </si>
  <si>
    <t>LED00005337</t>
  </si>
  <si>
    <t>Đèn LED ốp trần LN08 170x170/12W 6500K SS</t>
  </si>
  <si>
    <t>LED00005338</t>
  </si>
  <si>
    <t>Đèn LED ốp trần LN05 220/14W 3000K SS</t>
  </si>
  <si>
    <t>LED00005347</t>
  </si>
  <si>
    <t>Đèn LED ốp trần LN03 270/14W 6500K SS</t>
  </si>
  <si>
    <t>LED00012131</t>
  </si>
  <si>
    <t>Đèn LED ốp trần LN08 230x230/18W 6500K (Black) SS</t>
  </si>
  <si>
    <t>LED00012973</t>
  </si>
  <si>
    <t>Đèn LED ốptrần LN08 172x172/12W 3000K (Black) SS</t>
  </si>
  <si>
    <t>LED00012974</t>
  </si>
  <si>
    <t>Đèn LED ốp trần LN03 320/14W 3000K SS</t>
  </si>
  <si>
    <t>LED00019127</t>
  </si>
  <si>
    <t>Đèn LED ốp trần LN11 220/18W 3000K</t>
  </si>
  <si>
    <t>LED00020833</t>
  </si>
  <si>
    <t>Đèn LED ốp trần đổi màu LN12 220/18W</t>
  </si>
  <si>
    <t>LED00020834</t>
  </si>
  <si>
    <t>Đèn LED ốp trần đổi màu LN12 220x220/18W</t>
  </si>
  <si>
    <t>LED00032854</t>
  </si>
  <si>
    <t>Đèn LED ốp trần đổi màu LN12 170/12W SS</t>
  </si>
  <si>
    <t>LED00035975</t>
  </si>
  <si>
    <t>Đèn LED Panel PT04 90/7W 4000K</t>
  </si>
  <si>
    <t>LED00036839</t>
  </si>
  <si>
    <t>Đèn LED Panel PT04 110/9W.DA 4000K</t>
  </si>
  <si>
    <t>LED00041782</t>
  </si>
  <si>
    <t>Đèn LED Downlight AT04 90/7W 4000K</t>
  </si>
  <si>
    <t>LED00041878</t>
  </si>
  <si>
    <t>Đèn LED Downlight đổi màu AT10 90/9W (G)</t>
  </si>
  <si>
    <t>LED00041881</t>
  </si>
  <si>
    <t>Đèn LED Downlight đổi màu AT02 90/9W</t>
  </si>
  <si>
    <t>LED00045427</t>
  </si>
  <si>
    <t>Đèn LED Downlight đổi màu AT10 90/7W-CT</t>
  </si>
  <si>
    <t>LED00046098</t>
  </si>
  <si>
    <t>Đèn LED Panel đổi màu PT04.V2 110/9W</t>
  </si>
  <si>
    <t>LED00046109</t>
  </si>
  <si>
    <t>Đèn LED Panel PT05 135/9W 6500K (G)</t>
  </si>
  <si>
    <t>LED00047293</t>
  </si>
  <si>
    <t>Đèn LED Downlight AT24 90/8W.PLUS 6500K</t>
  </si>
  <si>
    <t>LED00048407</t>
  </si>
  <si>
    <t>Đèn LED Downlight AT06.V2 90/5W 6500K-CTT</t>
  </si>
  <si>
    <t>LED00048412</t>
  </si>
  <si>
    <t>Đèn LED Downlight AT06.V2 110/9W 6500K-CTT</t>
  </si>
  <si>
    <t>LED00049205</t>
  </si>
  <si>
    <t>Đèn LED Downlight AT06.V2 90/7W 3000K-TC</t>
  </si>
  <si>
    <t>LED00049211</t>
  </si>
  <si>
    <t>Đèn LED Downlight AT04 110/12W 6500K-TC</t>
  </si>
  <si>
    <t>LED00052539</t>
  </si>
  <si>
    <t>Đèn LED Downlight AT04 110/12W.PLUS 6500K</t>
  </si>
  <si>
    <t>LED00052930</t>
  </si>
  <si>
    <t>Đèn LED Downlight nổi trần NT01 110/10W 6500K (trắng)</t>
  </si>
  <si>
    <t>LED00054509</t>
  </si>
  <si>
    <t>Đèn LED downlight AT25 108x108/16Wx1.PLUS 3000K</t>
  </si>
  <si>
    <t>LED00054893</t>
  </si>
  <si>
    <t>Vành LED Downlight DL9T10-10MM-Fb (màu đen)</t>
  </si>
  <si>
    <t>LED00055262</t>
  </si>
  <si>
    <t>Đèn LED Downlight AT27 60/6W 3000K (KC)</t>
  </si>
  <si>
    <t>LED00057227</t>
  </si>
  <si>
    <t>Đèn LED Downlight AT05 70/5W 3000K (XK)</t>
  </si>
  <si>
    <t>LED00057237</t>
  </si>
  <si>
    <t>Đèn LED Downlight đổi màu AT05 70/5W (XK)</t>
  </si>
  <si>
    <t>LED00061182</t>
  </si>
  <si>
    <t>Đèn LED Downlight AT05 155/25W 12000K (YEMEN)</t>
  </si>
  <si>
    <t>LED00065004</t>
  </si>
  <si>
    <t>Đèn LED Downlight AT20.DIM 110/12W 6500K</t>
  </si>
  <si>
    <t>LED00067751</t>
  </si>
  <si>
    <t>Đèn LED Ốp trần đổi màu MXL1069 L18.5K9027 (Niken,Yankon)</t>
  </si>
  <si>
    <t>LED00075519</t>
  </si>
  <si>
    <t>Đèn LED Downlight AT04 110/10W 6500K</t>
  </si>
  <si>
    <t>LED00075755</t>
  </si>
  <si>
    <t>Đèn LED Downlight AT10 110/12W 6500K</t>
  </si>
  <si>
    <t>LED00077108</t>
  </si>
  <si>
    <t>Đèn LED Downlight AT04 110/10W 3000K</t>
  </si>
  <si>
    <t>LED00077486</t>
  </si>
  <si>
    <t>Đèn LED Downlight đổi màu AT10 90/10W (G)</t>
  </si>
  <si>
    <t>LED00077841</t>
  </si>
  <si>
    <t>Đèn LED Downlight AT06.V3 110/9W 4000K</t>
  </si>
  <si>
    <t>LED00079807</t>
  </si>
  <si>
    <t>Vành LED Downlight LDF140-S (Voltex - Silver)</t>
  </si>
  <si>
    <t>LED00080812</t>
  </si>
  <si>
    <t>Đèn LED ốp trần MXL1224-12inch_16/14/12W_5CCT (Yankon)</t>
  </si>
  <si>
    <t>LED00081664</t>
  </si>
  <si>
    <t>Đèn LED Panel đổi màu PT05 90/8W</t>
  </si>
  <si>
    <t>LED00081681</t>
  </si>
  <si>
    <t>Đèn LED Panel đổi màu PT05 135/10W</t>
  </si>
  <si>
    <t>LED00082658</t>
  </si>
  <si>
    <t>Đèn LED Downlight đổi màu AT02 90/8W</t>
  </si>
  <si>
    <t>LED00083376</t>
  </si>
  <si>
    <t>Đèn LED Downlight AT05 170/30W.PLUS 6500K</t>
  </si>
  <si>
    <t>LED00005334</t>
  </si>
  <si>
    <t>Đèn LED ốp trần LN09 300/24W 3000K (Black) SS</t>
  </si>
  <si>
    <t>LED00005349</t>
  </si>
  <si>
    <t>Đèn LED ốp trần LN03 320/18W 6500K SS</t>
  </si>
  <si>
    <t>LED00005985</t>
  </si>
  <si>
    <t>Đèn LED Ốp trần LN04 7W 3000K</t>
  </si>
  <si>
    <t>LED00032872</t>
  </si>
  <si>
    <t>Đèn LED ốp trần LN12 300x300/24W 6500K SS</t>
  </si>
  <si>
    <t>LED00035987</t>
  </si>
  <si>
    <t>Đèn LED ốp trần LN12N 220/18W 6500K SS</t>
  </si>
  <si>
    <t>LED00050872</t>
  </si>
  <si>
    <t>Đèn LED ốp trần LN11 220/18W 6500K-CT</t>
  </si>
  <si>
    <t>LED00051070</t>
  </si>
  <si>
    <t>Đèn LED ốp trần LN08 230x230/18W 6500K-CTT</t>
  </si>
  <si>
    <t>LED00051082</t>
  </si>
  <si>
    <t>Đèn LED ốp trần LN12N 300/24W 6500K-CTT</t>
  </si>
  <si>
    <t>LED00051400</t>
  </si>
  <si>
    <t>Đèn LED ốp trần LN09 225/18W 6500K-TC</t>
  </si>
  <si>
    <t>LED00051415</t>
  </si>
  <si>
    <t>Đèn LED ốp trần LN12N 300x300/24W 6500K-TC</t>
  </si>
  <si>
    <t>LED00056752</t>
  </si>
  <si>
    <t>Driver OT LN09 15W HC</t>
  </si>
  <si>
    <t>LED00058936</t>
  </si>
  <si>
    <t>Đèn LED ốp trần LN08 300x300/24W 4000K SS</t>
  </si>
  <si>
    <t>LED00080436</t>
  </si>
  <si>
    <t>Đèn LED ốp trần LN09 220/12W.GOV.V2 4000K</t>
  </si>
  <si>
    <t>LED00025797</t>
  </si>
  <si>
    <t>Đèn LED ốp trần LN09 172/12W.DA 3000K SS</t>
  </si>
  <si>
    <t>LED00035985</t>
  </si>
  <si>
    <t>Đèn LED ốp trần đổi màu LN12N 170/12W SS</t>
  </si>
  <si>
    <t>LED00045435</t>
  </si>
  <si>
    <t>Đèn LED ốp trần LN09 172/12W 6500K SS-CT</t>
  </si>
  <si>
    <t>LED00046346</t>
  </si>
  <si>
    <t>Đèn LED ốp trần LN08 170x170/12W 3000K-CT</t>
  </si>
  <si>
    <t>LED00056241</t>
  </si>
  <si>
    <t>Đèn LED ốp trần đổi màu LN12N 170/12W SS-CT</t>
  </si>
  <si>
    <t>LED00056570</t>
  </si>
  <si>
    <t>Đèn LED ốp trần LN09 220/22W 6500K</t>
  </si>
  <si>
    <t>LED00060891</t>
  </si>
  <si>
    <t>Đèn LED ốp trần LN12N 170/24W 12000K (YEMEN)</t>
  </si>
  <si>
    <t>LED00073547</t>
  </si>
  <si>
    <t>Đèn LED ốp trần LN29N 170/12W 6500K</t>
  </si>
  <si>
    <t>LED00079397</t>
  </si>
  <si>
    <t>Đèn LED ốp trần LN29N 220x220/18W 4000K (B)</t>
  </si>
  <si>
    <t>LED00083667</t>
  </si>
  <si>
    <t>Đèn LED ốp trần đổi màu LN12 170/15W</t>
  </si>
  <si>
    <t>LED Panel +Troffer</t>
  </si>
  <si>
    <t>LED00016208</t>
  </si>
  <si>
    <t>Đèn LED Panel P01 300x1200/50W 6500K (KPK) SS</t>
  </si>
  <si>
    <t>LED00018209</t>
  </si>
  <si>
    <t>Đèn LED Panel P04 TR03 600x600/40W 6500K SS</t>
  </si>
  <si>
    <t>LED00018348</t>
  </si>
  <si>
    <t>Bộ đèn LED M15 600x600/35W.DA 6500K SS</t>
  </si>
  <si>
    <t>LED00021471</t>
  </si>
  <si>
    <t>Đèn LED Panel P01 640x640/50W 5700K (KC-PER) SS</t>
  </si>
  <si>
    <t>LED00023496</t>
  </si>
  <si>
    <t>Đèn LED Panel P01 320x1280/50W 5700K (KC-TOP) SS</t>
  </si>
  <si>
    <t>LED00025231</t>
  </si>
  <si>
    <t>Đèn LED Panel P04 300x1200/40W 3000K (KPK) SS</t>
  </si>
  <si>
    <t>LED00025964</t>
  </si>
  <si>
    <t>Bộ đèn LED M15 300x1200/35W 5000K LED SS</t>
  </si>
  <si>
    <t>LED00027940</t>
  </si>
  <si>
    <t>Đèn LED Panel P01 600x1200/75W.DA 6500K (KPK) SS</t>
  </si>
  <si>
    <t>LED00031023</t>
  </si>
  <si>
    <t>Đèn LED Panel P07 600x1200/75W.DA 4000K (KPK) SS</t>
  </si>
  <si>
    <t>LED00036790</t>
  </si>
  <si>
    <t>Đèn LED Panel P05 320x640/25W.DA 5700K SS</t>
  </si>
  <si>
    <t>LED00038109</t>
  </si>
  <si>
    <t>Đèn LED Panel P07 600x600/45W.DA 6500K (KPK) SS</t>
  </si>
  <si>
    <t>LED00039894</t>
  </si>
  <si>
    <t>Đèn LED Panel P07 600x600/35W.DA 6500K (CRI90-KPK) SS</t>
  </si>
  <si>
    <t>LED00041555</t>
  </si>
  <si>
    <t>Đèn LED Panel P09 320x1280/50W.H 5700K (KC-TOP-KN)</t>
  </si>
  <si>
    <t>LED00042997</t>
  </si>
  <si>
    <t>Đèn LED Panel P07 600x600/36W.DA 6500K (KPK) SS</t>
  </si>
  <si>
    <t>LED00082747</t>
  </si>
  <si>
    <t>Đèn LED chiếu pha CP07 1200W 5000K (90 độ)</t>
  </si>
  <si>
    <t>LED00084701</t>
  </si>
  <si>
    <t>Đèn LED HighBay HB05 250/80W AC 3000K-OSRAM</t>
  </si>
  <si>
    <t>LED00001292</t>
  </si>
  <si>
    <t>Đèn LED Downlight đổi màu AT08 110/9W SS</t>
  </si>
  <si>
    <t>LED00001780</t>
  </si>
  <si>
    <t>Đèn LED Panel đổi màu D PT05L 135/12W</t>
  </si>
  <si>
    <t>LED00005261</t>
  </si>
  <si>
    <t>Đèn Led Downlight AT03 110/7W 3000K</t>
  </si>
  <si>
    <t>LED00005277</t>
  </si>
  <si>
    <t>Đèn Led Downlight AT02 160/16W 3500K</t>
  </si>
  <si>
    <t>LED00005461</t>
  </si>
  <si>
    <t>Đèn LED Panel PT01 180/8W 5000K</t>
  </si>
  <si>
    <t>LED00013927</t>
  </si>
  <si>
    <t>Đèn LED Panel PT03 135/12W 3000K</t>
  </si>
  <si>
    <t>LED00016380</t>
  </si>
  <si>
    <t>Đèn LED Downlight AT06 110/7W 3000K SS</t>
  </si>
  <si>
    <t>LED00018553</t>
  </si>
  <si>
    <t>Đèn LED Downlight AT10 90/7W 3000K SS</t>
  </si>
  <si>
    <t>LED00019576</t>
  </si>
  <si>
    <t>Đèn LED Downlight AT04 90/7W.DA 4000K SS</t>
  </si>
  <si>
    <t>LED00020817</t>
  </si>
  <si>
    <t>Đèn LED Downlight AT12 90/7W 6500K SS</t>
  </si>
  <si>
    <t>LED00020905</t>
  </si>
  <si>
    <t>Đèn LED downlight AT04 160/15W 3000K</t>
  </si>
  <si>
    <t>LED00023857</t>
  </si>
  <si>
    <t>Đèn LED Panel PT04 90/6W 3000K SS</t>
  </si>
  <si>
    <t>LED00024933</t>
  </si>
  <si>
    <t>Đèn LED Downlight đổi màu AT10 110/12W SS</t>
  </si>
  <si>
    <t>LED00025763</t>
  </si>
  <si>
    <t>Đèn LED Downlight AT04 90/7W.DA 3000K SS</t>
  </si>
  <si>
    <t>LED00025779</t>
  </si>
  <si>
    <t>Đèn LED Downlight AT12 240x125/9Wx2.DA 4000K</t>
  </si>
  <si>
    <t>LED00026907</t>
  </si>
  <si>
    <t>Đèn LED Downlight AT16 90/9W.DA 4000K SS</t>
  </si>
  <si>
    <t>LED00029439</t>
  </si>
  <si>
    <t>Đèn LED Downlight AT04 200/40W 4000K SS</t>
  </si>
  <si>
    <t>LED00032236</t>
  </si>
  <si>
    <t>Đèn LED Panel PT04 90/7W 3000K</t>
  </si>
  <si>
    <t>LED00040175</t>
  </si>
  <si>
    <t>Đèn LED Downlight AT10 110/9W 6500K (G)</t>
  </si>
  <si>
    <t>LED00042307</t>
  </si>
  <si>
    <t>Đèn LED Panel PT04.V2 90/7W 6500K</t>
  </si>
  <si>
    <t>LED00045272</t>
  </si>
  <si>
    <t>Đèn LED Downlight AT04 155/20W.DA 4000K</t>
  </si>
  <si>
    <t>LED00048421</t>
  </si>
  <si>
    <t>Đèn LED Downlight đổi màu AT02 90/9W-CTT</t>
  </si>
  <si>
    <t>LED00048429</t>
  </si>
  <si>
    <t>Đèn LED Downlight đổi màu AT10 110/12W-CTT</t>
  </si>
  <si>
    <t>LED00049212</t>
  </si>
  <si>
    <t>Đèn LED Downlight AT10 90/7W 6500K-TC</t>
  </si>
  <si>
    <t>LED00049219</t>
  </si>
  <si>
    <t>Đèn LED Downlight đổi màu AT02 110/9W-TC</t>
  </si>
  <si>
    <t>LED00049223</t>
  </si>
  <si>
    <t>Đèn LED Downlight đổi màu AT10 90/9W (G)-TC</t>
  </si>
  <si>
    <t>LED00050154</t>
  </si>
  <si>
    <t>Đèn LED Downlight nổi trần NT01 110/15W 4000K</t>
  </si>
  <si>
    <t>LED00051984</t>
  </si>
  <si>
    <t>Đèn LED Downlight AT24 90/10W.PLUS 6500K</t>
  </si>
  <si>
    <t>LED00052998</t>
  </si>
  <si>
    <t>Đèn LED Panel PT04.V2 110/9W 3000K</t>
  </si>
  <si>
    <t>LED00054889</t>
  </si>
  <si>
    <t>Đèn LED Downlight AT24 110/10W.PLUS 4000K</t>
  </si>
  <si>
    <t>LED00055259</t>
  </si>
  <si>
    <t>Đèn LED Downlight AT27 76/8W 6000K (KC)</t>
  </si>
  <si>
    <t>LED00055323</t>
  </si>
  <si>
    <t>Đèn LED Panel đổi màu PT04.V2 90/7W-CT</t>
  </si>
  <si>
    <t>LED00055328</t>
  </si>
  <si>
    <t>Đèn LED Panel PT05 135/12W 6500K (G)-CT</t>
  </si>
  <si>
    <t>LED00057231</t>
  </si>
  <si>
    <t>Đèn LED Downlight AT05 90/10W 4000K (XK)</t>
  </si>
  <si>
    <t>LED00057234</t>
  </si>
  <si>
    <t>Đèn LED Downlight AT05 110/12W 4000K (XK)</t>
  </si>
  <si>
    <t>LED00060547</t>
  </si>
  <si>
    <t>Đèn LED Downlight đổi màu LD13T90-S Voltex (XK Úc)</t>
  </si>
  <si>
    <t>LED00060549</t>
  </si>
  <si>
    <t>Đèn LED Downlight đổi màu LD9T90-S Voltex (XK Úc)</t>
  </si>
  <si>
    <t>LED00061335</t>
  </si>
  <si>
    <t>Đèn LED Downlight AT35.UGR 120/12W 4000K</t>
  </si>
  <si>
    <t>LED00066336</t>
  </si>
  <si>
    <t>Đèn LED Downlight xoay góc đổi màu AT40 95/12W</t>
  </si>
  <si>
    <t>LED00067741</t>
  </si>
  <si>
    <t>Đèn LED Ốp trần đổi màu MXL1096 L28K9027N (Niken,Yankon)</t>
  </si>
  <si>
    <t>LED00069127</t>
  </si>
  <si>
    <t>Đèn LED Ốp trần đổi màu MXL1070 L20K9027G (Đồng,Yankon)</t>
  </si>
  <si>
    <t>LED00069134</t>
  </si>
  <si>
    <t>Đèn LED Ốp trần đổi màu MXL1096 L28K9027B (Đen,Yankon)</t>
  </si>
  <si>
    <t>LED00069140</t>
  </si>
  <si>
    <t>Đèn LED Ốp trần đổi màu MXL1138-L28K9027B (Đồng,Yankon)</t>
  </si>
  <si>
    <t>LED00064165</t>
  </si>
  <si>
    <t>Đèn LED Downlight AT04 110/9W 6500K-IP54</t>
  </si>
  <si>
    <t>LED00065006</t>
  </si>
  <si>
    <t>Đèn LED Downlight AT20.DIM 90/9W 4000K</t>
  </si>
  <si>
    <t>LED00067265</t>
  </si>
  <si>
    <t>Đèn LED Downlight đổi màu AT26 110/12W (G)-CT</t>
  </si>
  <si>
    <t>LED00067739</t>
  </si>
  <si>
    <t>Đèn LED Downlight  MQTL1218 9W L58K9027S (Yankon) trùng tên</t>
  </si>
  <si>
    <t>LED00067755</t>
  </si>
  <si>
    <t>Đèn LED Ốp trần đổi màu MXL1072A LED18K9027 (Trắng,Yankon)</t>
  </si>
  <si>
    <t>LED00072563</t>
  </si>
  <si>
    <t>Đèn LED Downlight MQTL1237-4in 6W/7W/8W (Yankon)</t>
  </si>
  <si>
    <t>LED00072797</t>
  </si>
  <si>
    <t>Đèn LED Downlight MQTL1238-8in_5W/8W/11W (Yankon)</t>
  </si>
  <si>
    <t>LED00073027</t>
  </si>
  <si>
    <t>Đèn LED Downlight AT05.V3 110/12W 4000K (XK)</t>
  </si>
  <si>
    <t>LED00077840</t>
  </si>
  <si>
    <t>Đèn LED Downlight AT06.V3 90/7W 3000K</t>
  </si>
  <si>
    <t>LED00078644</t>
  </si>
  <si>
    <t>Đèn LED Downlight AT56 110/12W 6500K (G)</t>
  </si>
  <si>
    <t>LED00081269</t>
  </si>
  <si>
    <t>Đèn LED Panel PT05 135/10W 6500K (G)</t>
  </si>
  <si>
    <t>LED00081351</t>
  </si>
  <si>
    <t>Vành LED Downlight LDF140-W (Voltex - White)</t>
  </si>
  <si>
    <t>LED00081387</t>
  </si>
  <si>
    <t>Đèn LED Downlight đổi màu AT26 90/8W (G)-CT</t>
  </si>
  <si>
    <t>LED00081678</t>
  </si>
  <si>
    <t>Đèn LED Panel đổi màu PT05 110/10W</t>
  </si>
  <si>
    <t>LED00082020</t>
  </si>
  <si>
    <t>Đèn LED Downlight AT04 155/16W.PLUS 4000K</t>
  </si>
  <si>
    <t>LED00005340</t>
  </si>
  <si>
    <t>Đèn LED ốp trần LN05 160/9W 6500K SS</t>
  </si>
  <si>
    <t>LED00005342</t>
  </si>
  <si>
    <t>Đèn LED ốp trần LN05 220/14W 6500K SS</t>
  </si>
  <si>
    <t>LED00005987</t>
  </si>
  <si>
    <t>Đèn LED ốp trần LN08 300x300/24W 3000K (Black) SS</t>
  </si>
  <si>
    <t>LED00012132</t>
  </si>
  <si>
    <t>Đèn LED ốp trần LN09 172/12W 3000K (Black) SS</t>
  </si>
  <si>
    <t>LED00031837</t>
  </si>
  <si>
    <t>Đèn LED ốp tường LN12 70x160/5W 6500K SS</t>
  </si>
  <si>
    <t>LED00035959</t>
  </si>
  <si>
    <t>Đèn LED ốp trần đổi màu LN12 170x170/15W SS</t>
  </si>
  <si>
    <t>LED00035976</t>
  </si>
  <si>
    <t>Đèn LED ốp trần LN12 220x220/22W 6500K SS</t>
  </si>
  <si>
    <t>LED00037939</t>
  </si>
  <si>
    <t>Đèn LED ốp trần đổi màu LN12 220/12W SS</t>
  </si>
  <si>
    <t>LED00047559</t>
  </si>
  <si>
    <t>Đèn LED Panel PT04.V2 135/9W 4000K</t>
  </si>
  <si>
    <t>LED00048158</t>
  </si>
  <si>
    <t>Đèn LED Downlight nổi trần NT01 110/12W 6500K</t>
  </si>
  <si>
    <t>LED00048181</t>
  </si>
  <si>
    <t>Đèn LED downlight x/góc AT18 100/9W 5000K</t>
  </si>
  <si>
    <t>LED00048415</t>
  </si>
  <si>
    <t>Đèn LED Downlight AT04 110/9W 6500K-CTT</t>
  </si>
  <si>
    <t>LED00048423</t>
  </si>
  <si>
    <t>Đèn LED Downlight đổi màu AT10 90/7W-CTT</t>
  </si>
  <si>
    <t>LED00048652</t>
  </si>
  <si>
    <t>Đèn LED Downlight AT05 155/15W 5700K (XK)</t>
  </si>
  <si>
    <t>LED00049228</t>
  </si>
  <si>
    <t>Đèn LED Downlight đổi màu AT20 90/8W (G)-TC</t>
  </si>
  <si>
    <t>LED00049230</t>
  </si>
  <si>
    <t>Đèn LED Downlight đổi màu AT20 110/10W (G)-TC</t>
  </si>
  <si>
    <t>LED00050144</t>
  </si>
  <si>
    <t>Đèn LED Downlight nổi trần NT01 90/10W 4000K</t>
  </si>
  <si>
    <t>LED00054890</t>
  </si>
  <si>
    <t>Đèn LED downlight AT25 80x160/10Wx2.PLUS 3000K</t>
  </si>
  <si>
    <t>LED00056437</t>
  </si>
  <si>
    <t>Đèn LED Downlight AT28 110/12W 6500K</t>
  </si>
  <si>
    <t>LED00058342</t>
  </si>
  <si>
    <t>Đèn LED Downlight đổi màu AT26 90/8W (G)</t>
  </si>
  <si>
    <t>LED00061212</t>
  </si>
  <si>
    <t>Đèn LED Downlight AT32 76/12W 4000K</t>
  </si>
  <si>
    <t>LED00061213</t>
  </si>
  <si>
    <t>Đèn LED Downlight AT33 100/16W 4000K</t>
  </si>
  <si>
    <t>LED00061741</t>
  </si>
  <si>
    <t>Đèn LED Downlight đổi màu MQTL1173 17W (Yankon)-CT</t>
  </si>
  <si>
    <t>LED00062370</t>
  </si>
  <si>
    <t>Đèn LED Downlight đổi màu IDL9T90-W Monaco (XK Úc)-Hộp quà</t>
  </si>
  <si>
    <t>LED00063234</t>
  </si>
  <si>
    <t>Đèn spotlight âm trần AT39 57/5W.GOV 4000K</t>
  </si>
  <si>
    <t>LED00063435</t>
  </si>
  <si>
    <t>Đèn LED Downlight AT05.V3 90/10W 4000K</t>
  </si>
  <si>
    <t>LED00065011</t>
  </si>
  <si>
    <t>Đèn LED downlight x/góc AT18.DIM 100/9W 5000K</t>
  </si>
  <si>
    <t>LED00068501</t>
  </si>
  <si>
    <t>Đèn LED Downlight AT04 110/12W 3000K-CT</t>
  </si>
  <si>
    <t>LED00068504</t>
  </si>
  <si>
    <t>Đèn LED Downlight đổi màu LD13T90-W Voltex (XK Úc)-CT</t>
  </si>
  <si>
    <t>LED00072565</t>
  </si>
  <si>
    <t>Đèn LED Downlight MQTL1237-6in 10W/18W/23W (Yankon)</t>
  </si>
  <si>
    <t>LED00076138</t>
  </si>
  <si>
    <t>Đèn LED chiếu cây 12V -11W sylon(SL1104UA-9)</t>
  </si>
  <si>
    <t>LED00077962</t>
  </si>
  <si>
    <t>Đèn LED chiếu sáng đường NLMT CSD08.SL 150W 4000K</t>
  </si>
  <si>
    <t>LED00080219</t>
  </si>
  <si>
    <t>Đèn LED Chiếu pha CP12 200W 6500K</t>
  </si>
  <si>
    <t>LED00082854</t>
  </si>
  <si>
    <t>Đèn LED chiếu pha CP07 100W.NEMA 5000K (90 độ)</t>
  </si>
  <si>
    <t>LED00084703</t>
  </si>
  <si>
    <t>Đèn LED HighBay HB05 300/120W AC 3000K-OSRAM</t>
  </si>
  <si>
    <t>LED00005240</t>
  </si>
  <si>
    <t>Đèn LED Downlight AT03 76/3W 3000K</t>
  </si>
  <si>
    <t>LED00005268</t>
  </si>
  <si>
    <t>Đèn Led Downlight AT03 120/9W 3000K</t>
  </si>
  <si>
    <t>LED00005273</t>
  </si>
  <si>
    <t>Đèn Led Downlight AT02 160/14W 6500K</t>
  </si>
  <si>
    <t>LED00005285</t>
  </si>
  <si>
    <t>Đèn LED Downlight AT04 90/7W 6500K SS</t>
  </si>
  <si>
    <t>LED00005304</t>
  </si>
  <si>
    <t>Đèn LED Downlight AT04 110/7W 3000K SS</t>
  </si>
  <si>
    <t>LED00005475</t>
  </si>
  <si>
    <t>Đèn LED Panel PT02 130/5W 3000K</t>
  </si>
  <si>
    <t>LED00012962</t>
  </si>
  <si>
    <t>Đèn Led Downlight AT05 76/3W 6500K SS</t>
  </si>
  <si>
    <t>LED00015339</t>
  </si>
  <si>
    <t>Đèn Led Downlight AT06 110/5W 6500K SS</t>
  </si>
  <si>
    <t>LED00017614</t>
  </si>
  <si>
    <t>Đèn LED Downlight AT02XG 76/6.5W.DA 4000K</t>
  </si>
  <si>
    <t>LED00020812</t>
  </si>
  <si>
    <t>Đèn LED downlight AT12 360x125/9wx3.DA 4000K</t>
  </si>
  <si>
    <t>LED00023856</t>
  </si>
  <si>
    <t>Đèn LED Panel PT04 90/6W 6500K SS</t>
  </si>
  <si>
    <t>LED00025782</t>
  </si>
  <si>
    <t>Đèn LED Panel PT03 90/6W 3000K SS</t>
  </si>
  <si>
    <t>LED00029440</t>
  </si>
  <si>
    <t>Đèn LED Downlight AT04 200/40W 5000K SS</t>
  </si>
  <si>
    <t>LED00032235</t>
  </si>
  <si>
    <t>Đèn LED Panel PT04 135/9W 6500K</t>
  </si>
  <si>
    <t>LED00035174</t>
  </si>
  <si>
    <t>Đèn LED Downlight AT01 200/40W 5700K (XK)</t>
  </si>
  <si>
    <t>LED00039080</t>
  </si>
  <si>
    <t>Đèn LED Downlight nổi trần NT01 115x150/30W 4000K SS</t>
  </si>
  <si>
    <t>LED00039985</t>
  </si>
  <si>
    <t>Đèn LED Downlight AT10 90/7W 6500K</t>
  </si>
  <si>
    <t>LED00040174</t>
  </si>
  <si>
    <t>Đèn LED Downlight AT10 110/9W 3000K (G)</t>
  </si>
  <si>
    <t>LED00071715</t>
  </si>
  <si>
    <t>Đèn LED thanh âm đất ADT01.DMX.RGBW 100W</t>
  </si>
  <si>
    <t>LED00071963</t>
  </si>
  <si>
    <t>Đèn LED High Bay HB05 300/150W DC 5700K - Cách ly</t>
  </si>
  <si>
    <t>LED00072885</t>
  </si>
  <si>
    <t>Đèn LED chiếu sáng đường CSD08 100W.VN 4000K</t>
  </si>
  <si>
    <t>LED00073304</t>
  </si>
  <si>
    <t>Đèn LED Highbay GDXL1074 3FT 320W 5000K (Yankon)</t>
  </si>
  <si>
    <t>LED00073306</t>
  </si>
  <si>
    <t>Đèn LED Highbay GDXL1074 1FT 155W 3CCT (Yankon)</t>
  </si>
  <si>
    <t>LED00073606</t>
  </si>
  <si>
    <t>Tấm Solar Poly - crystalline CP03.SL.RAD 100W.V2</t>
  </si>
  <si>
    <t>LED00073636</t>
  </si>
  <si>
    <t>Đèn LED chiếu sáng đường CSD10 85W.NEMA 4000K</t>
  </si>
  <si>
    <t>LED00074331</t>
  </si>
  <si>
    <t>Tấm Solar Poly crystalline CP03.SL.RAD 500W.V2 (TP)</t>
  </si>
  <si>
    <t>LED00076028</t>
  </si>
  <si>
    <t>Đèn LED chiếu cây LAD 01.20W 12V 3000K</t>
  </si>
  <si>
    <t>LED00076087</t>
  </si>
  <si>
    <t>Đèn LED Chiếu pha CP06 50W 5000K SS</t>
  </si>
  <si>
    <t>LED00076139</t>
  </si>
  <si>
    <t>Đèn LED chiếu cây 12V -20W sylon (SL1104UB-9)</t>
  </si>
  <si>
    <t>LED00080075</t>
  </si>
  <si>
    <t>Đèn LED chiếu pha vuông CPV05 60W.APG (12D) 3000K</t>
  </si>
  <si>
    <t>LED00080086</t>
  </si>
  <si>
    <t>Đèn LED chiếu pha vuông CPV02 25W.APG (12D) 3000K</t>
  </si>
  <si>
    <t>LED00080421</t>
  </si>
  <si>
    <t>Đèn LED chiếu sáng đường CSD10 150W.NEMA 4000K</t>
  </si>
  <si>
    <t>LED00081540</t>
  </si>
  <si>
    <t>Đèn LED chiếu sáng đường CSD12 120W.NEMA 4000K</t>
  </si>
  <si>
    <t>LED00083162</t>
  </si>
  <si>
    <t>Đèn LED Chiếu pha CPT02 6W.APG 3000K (6D)</t>
  </si>
  <si>
    <t>LED00001437</t>
  </si>
  <si>
    <t>Đèn LED Downlight AT02XG 76/4.5W.DA 3000K</t>
  </si>
  <si>
    <t>LED00005302</t>
  </si>
  <si>
    <t>Đèn LED Downlight AT04 110/7W 6500K SS</t>
  </si>
  <si>
    <t>LED00005456</t>
  </si>
  <si>
    <t>Đèn LED Panel PT02 135/8W 6500K</t>
  </si>
  <si>
    <t>LED00013895</t>
  </si>
  <si>
    <t>Đèn LED Downlight AT06 90/5W 6500K SS</t>
  </si>
  <si>
    <t>LED00013923</t>
  </si>
  <si>
    <t>Đèn LED Panel PT03 110/9W 6500K SS</t>
  </si>
  <si>
    <t>LED00017615</t>
  </si>
  <si>
    <t>Đèn LED Downlight AT02XG 76/6.5W.DA 6500K</t>
  </si>
  <si>
    <t>LED00020816</t>
  </si>
  <si>
    <t>Đèn LED Downlight AT12 90/7W 3000K SS</t>
  </si>
  <si>
    <t>LED00062555</t>
  </si>
  <si>
    <t>Đèn LED Downlight xoay góc AT40 95/12W 4000K</t>
  </si>
  <si>
    <t>LED00064700</t>
  </si>
  <si>
    <t>Đèn LED Downlight x/góc AT22.DIM 60/12W 4000K</t>
  </si>
  <si>
    <t>LED00065012</t>
  </si>
  <si>
    <t>Đèn LED downlight x/góc AT18.DIM 100/9W 6500K</t>
  </si>
  <si>
    <t>LED00067758</t>
  </si>
  <si>
    <t>Đèn LED Ốp trần đổi màu MXL1138-L28K9027N (Niken,Yankon)</t>
  </si>
  <si>
    <t>LED00071620</t>
  </si>
  <si>
    <t>Đèn LED Downlight AT04 110/12W 6500K IP54</t>
  </si>
  <si>
    <t>LED00072564</t>
  </si>
  <si>
    <t>Đèn LED Downlight MQTL1237-6in 6W/7W/8W (Yankon)</t>
  </si>
  <si>
    <t>LED00072567</t>
  </si>
  <si>
    <t>Đèn LED Downlight MQTL1237-8in 18W/27W/34W (Yankon)</t>
  </si>
  <si>
    <t>LED00074606</t>
  </si>
  <si>
    <t>Đèn LED Downlight AT05.V3 90/13W 4000K (XK)</t>
  </si>
  <si>
    <t>LED00076020</t>
  </si>
  <si>
    <t>Bộ đèn LED Batten đổi màu BT01.DIM 1200/40W</t>
  </si>
  <si>
    <t>LED00076109</t>
  </si>
  <si>
    <t>Đèn LED Downlight AT01 200/30W 5700K (XK-KN)</t>
  </si>
  <si>
    <t>LED00076262</t>
  </si>
  <si>
    <t>Đèn LED Downlight đổi màu AT48 110/12W</t>
  </si>
  <si>
    <t>LED00077088</t>
  </si>
  <si>
    <t>Đèn LED Downlight AT04 90/10W 4000K</t>
  </si>
  <si>
    <t>LED00077834</t>
  </si>
  <si>
    <t>Đèn LED Downlight AT56 90/10W 4000K</t>
  </si>
  <si>
    <t>LED00080814</t>
  </si>
  <si>
    <t>Đèn LED ốp trần MXL1224-16inch_24/21/18W_5CCT (Yankon)</t>
  </si>
  <si>
    <t>LED00081228</t>
  </si>
  <si>
    <t>Đèn LED Downlight AT10 90/8W 6500K-CT</t>
  </si>
  <si>
    <t>LED00084409</t>
  </si>
  <si>
    <t>Đèn LED downlight chống ẩm AT24 90/6W.PLUS (IP) 4000K</t>
  </si>
  <si>
    <t>00000218</t>
  </si>
  <si>
    <t>Bộ đèn ốp trần LED (LED CL-01) 8W-Trắng</t>
  </si>
  <si>
    <t>LED00005339</t>
  </si>
  <si>
    <t>Đèn LED ốp trần LN05 160/9W 3000K SS</t>
  </si>
  <si>
    <t>LED00030244</t>
  </si>
  <si>
    <t>Đèn LED ốp trần LN09 225/18W.DA 3000K SS</t>
  </si>
  <si>
    <t>LED00035974</t>
  </si>
  <si>
    <t>Đèn LED ốp trần LN12 220/22W 6500K SS</t>
  </si>
  <si>
    <t>LED00035986</t>
  </si>
  <si>
    <t>Đèn LED ốp trần đổi màu LN12N 170x170/12W SS</t>
  </si>
  <si>
    <t>LED00035991</t>
  </si>
  <si>
    <t>Đèn LED ốp trần LN12N 300/24W 6500K SS</t>
  </si>
  <si>
    <t>LED00037940</t>
  </si>
  <si>
    <t>Đèn LED ốp trần đổi màu LN12 220/18W SS</t>
  </si>
  <si>
    <t>LED00083639</t>
  </si>
  <si>
    <t>Đèn LED Downlight AT60 90/10W 6500K</t>
  </si>
  <si>
    <t>00000220</t>
  </si>
  <si>
    <t>Đèn LED ốp trần LN.CB02 12W</t>
  </si>
  <si>
    <t>00000224</t>
  </si>
  <si>
    <t>Đèn LED ốp trần D ĐM- Loa 380/25W</t>
  </si>
  <si>
    <t>LED00005325</t>
  </si>
  <si>
    <t>Đèn LED ốp trần LN03 320/14W 3000K</t>
  </si>
  <si>
    <t>LED00019123</t>
  </si>
  <si>
    <t>Đèn LED Ốp trần LN10 220x220/18W 6500K</t>
  </si>
  <si>
    <t>LED00025798</t>
  </si>
  <si>
    <t>Đèn LED ốp trần LN09 172/12W.DA 6500K SS</t>
  </si>
  <si>
    <t>LED00035981</t>
  </si>
  <si>
    <t>Đèn LED ốp trần đổi màu LN12 300/30W SS</t>
  </si>
  <si>
    <t>LED00035983</t>
  </si>
  <si>
    <t>Đèn LED ốp trần LN12N 170/12W 6500K SS</t>
  </si>
  <si>
    <t>LED00035984</t>
  </si>
  <si>
    <t>Đèn LED ốp trần LN12N 170x170/12W 6500K SS</t>
  </si>
  <si>
    <t>LED00045440</t>
  </si>
  <si>
    <t>Đèn LED ốp trần LN12 220x220/22W 6500K SS-CT</t>
  </si>
  <si>
    <t>LED00049161</t>
  </si>
  <si>
    <t>Đèn LED ốp trần LN09 225/18W 4000K SS</t>
  </si>
  <si>
    <t>LED00051409</t>
  </si>
  <si>
    <t>Đèn LED ốp trần LN12 300x300/30W 6500K-TC</t>
  </si>
  <si>
    <t>LED00051412</t>
  </si>
  <si>
    <t>Đèn LED ốp trần LN12N 220/18W 6500K-TC</t>
  </si>
  <si>
    <t>LED00051413</t>
  </si>
  <si>
    <t>Đèn LED ốp trần LN12N 220x220/18W 6500K-TC</t>
  </si>
  <si>
    <t>LED00055436</t>
  </si>
  <si>
    <t>Đèn LED ốp trần đổi màu MXL1143 33W (Yankon)</t>
  </si>
  <si>
    <t>LED00066962</t>
  </si>
  <si>
    <t>Đèn LED ốp trần LN08 220x220/22W 3000K</t>
  </si>
  <si>
    <t>LED00074355</t>
  </si>
  <si>
    <t>Đèn LED ốp trần LN30N 220x220/18W 6500K</t>
  </si>
  <si>
    <t>LED00083653</t>
  </si>
  <si>
    <t>Đèn LED ốp trần LN12N 300/24W 4000K</t>
  </si>
  <si>
    <t>LED00083668</t>
  </si>
  <si>
    <t>Đèn LED ốp trần LN12 170x170/15W 6500K</t>
  </si>
  <si>
    <t>LED00005423</t>
  </si>
  <si>
    <t>Đèn LED Panel P02 600x600/36W 3000K KPK</t>
  </si>
  <si>
    <t>LED00019603</t>
  </si>
  <si>
    <t>Đèn LED Panel P01 150x1200/28W 4000K (KPK) SS</t>
  </si>
  <si>
    <t>LED00023031</t>
  </si>
  <si>
    <t>Bộ đèn LED M15 600x1200/70W.DA 4000K SS</t>
  </si>
  <si>
    <t>LED00024012</t>
  </si>
  <si>
    <t>Đèn LED Panel P07 300x600/24W.DA 6500K (KPK) SS</t>
  </si>
  <si>
    <t>LED00026241</t>
  </si>
  <si>
    <t>Đèn LED Panel P06 300x1200/54W 6500K (IP54-KPK) SS</t>
  </si>
  <si>
    <t>LED00027941</t>
  </si>
  <si>
    <t>Đèn LED Panel P01 300x1200/50W-6500K (KPK) SS</t>
  </si>
  <si>
    <t>LED00054511</t>
  </si>
  <si>
    <t>Đèn LED Panel PT04.V2 110/9W 4000K</t>
  </si>
  <si>
    <t>LED00054888</t>
  </si>
  <si>
    <t>Đèn LED Downlight AT24 90/10W.PLUS 4000K</t>
  </si>
  <si>
    <t>LED00056196</t>
  </si>
  <si>
    <t>Đèn LED Panel PT06 200/18W 6500K</t>
  </si>
  <si>
    <t>LED00059928</t>
  </si>
  <si>
    <t>Đèn LED Downlight đổi màu AT26 90/10W</t>
  </si>
  <si>
    <t>LED00061218</t>
  </si>
  <si>
    <t>Đèn LED Downlight AT35.UGR 120/15W 4000K</t>
  </si>
  <si>
    <t>LED00063257</t>
  </si>
  <si>
    <t>Đèn Led downlight AT39 76/12W.GOV 6500K</t>
  </si>
  <si>
    <t>LED00067753</t>
  </si>
  <si>
    <t>Đèn LED Ốp trần đổi màu MXL1070 L20K9027B (Đen,Yankon)</t>
  </si>
  <si>
    <t>LED00069107</t>
  </si>
  <si>
    <t>Đèn LED Ốp trần đổi màu MXL1137 L24K9027B (Đồng,Yankon)</t>
  </si>
  <si>
    <t>LED00069123</t>
  </si>
  <si>
    <t>Đèn LED Ốp trần đổi màu MXL1069 L18.5K9027B (Đen,Yankon)</t>
  </si>
  <si>
    <t>LED00069471</t>
  </si>
  <si>
    <t>Đèn LED Downlight nổi trần đổi màu NT03 120/10W (Trắng)</t>
  </si>
  <si>
    <t>LED00069472</t>
  </si>
  <si>
    <t>Đèn LED Downlight nổi trần đổi màu NT03 120/10W (Đen)</t>
  </si>
  <si>
    <t>LED00072459</t>
  </si>
  <si>
    <t>Đèn LED Downlight AT30 155/20W 4000K</t>
  </si>
  <si>
    <t>LED00075377</t>
  </si>
  <si>
    <t>Đèn LED Downlight AT04 90/5W 6500K</t>
  </si>
  <si>
    <t>LED00075504</t>
  </si>
  <si>
    <t>Đèn LED Downlight AT04 90/8W 6500K</t>
  </si>
  <si>
    <t>LED00075902</t>
  </si>
  <si>
    <t>Đèn LED Downlight AT56 90/8W 6500K</t>
  </si>
  <si>
    <t>LED00075931</t>
  </si>
  <si>
    <t>Đèn LED Downlight đổi màu AT56 110/12W</t>
  </si>
  <si>
    <t>LED00077039</t>
  </si>
  <si>
    <t>Đèn LED Downlight AT45 72/15W 4000K-(Đen bóng)</t>
  </si>
  <si>
    <t>LED00077095</t>
  </si>
  <si>
    <t>Đèn LED Downlight AT10 90/10W 4000K</t>
  </si>
  <si>
    <t>LED00077835</t>
  </si>
  <si>
    <t>Đèn LED Downlight AT56 110/10W 4000K</t>
  </si>
  <si>
    <t>LED00077836</t>
  </si>
  <si>
    <t>Đèn LED Downlight AT56 110/12W 4000K</t>
  </si>
  <si>
    <t>LED00077842</t>
  </si>
  <si>
    <t>Đèn LED Downlight AT06.V3 110/9W 3000K</t>
  </si>
  <si>
    <t>LED00080498</t>
  </si>
  <si>
    <t>Đèn LED nổi trần NT01 115/20W.GOV.V2.DIM 6500K</t>
  </si>
  <si>
    <t>LED00035973</t>
  </si>
  <si>
    <t>Đèn LED ốp trần đổi màu LN12 220x220/22W SS</t>
  </si>
  <si>
    <t>LED00046355</t>
  </si>
  <si>
    <t>Đèn LED ốp trần đổi màu LN12N 220/18W SS-CT</t>
  </si>
  <si>
    <t>LED00051143</t>
  </si>
  <si>
    <t>Đèn LED ốp trần LN08 300x300/24W 6500K-CTT</t>
  </si>
  <si>
    <t>LED00066960</t>
  </si>
  <si>
    <t>Đèn LED ốp trần LN08 170x170/15W 3000K</t>
  </si>
  <si>
    <t>LED00080047</t>
  </si>
  <si>
    <t>Đèn LED ốp trần LN09 225/20W.GOV.V2 4000K</t>
  </si>
  <si>
    <t>LED00083660</t>
  </si>
  <si>
    <t>Đèn LED ốp trần LN12N 220/18W 3000K</t>
  </si>
  <si>
    <t>LED00083679</t>
  </si>
  <si>
    <t>Đèn LED ốp trần LN12 300/30W 6500K</t>
  </si>
  <si>
    <t>LED00005433</t>
  </si>
  <si>
    <t>Đèn LED Panel P01 300x1200 50W 3000K (KPK)</t>
  </si>
  <si>
    <t>LED00016550</t>
  </si>
  <si>
    <t>Bộ đèn LED M15 600x1200/54W 6500K SS</t>
  </si>
  <si>
    <t>LED00018208</t>
  </si>
  <si>
    <t>Đèn LED Panel P04 TR01 600x600/40W 6500K SS</t>
  </si>
  <si>
    <t>LED00024906</t>
  </si>
  <si>
    <t>Đèn LED Panel P02 600x600 35W 5000K (CRI90)</t>
  </si>
  <si>
    <t>LED00029401</t>
  </si>
  <si>
    <t>Đèn LED Panel P01 180x640/25W 5700K (KC-LG-KN) SS</t>
  </si>
  <si>
    <t>LED00031183</t>
  </si>
  <si>
    <t>Đèn LED Panel P07 300x300/24W.DA 6500K (KPK) SS</t>
  </si>
  <si>
    <t>LED00035312</t>
  </si>
  <si>
    <t>Đèn LED Panel P07 600x600/48W.DA 6500K (KPK) SS</t>
  </si>
  <si>
    <t>LED00038509</t>
  </si>
  <si>
    <t>Đèn LED Panel P07 600x600/48W.DA 4000K (KPK) SS</t>
  </si>
  <si>
    <t>LED00040511</t>
  </si>
  <si>
    <t>Đèn LED Panel đổi màu P07.BLE 150x1200/28W</t>
  </si>
  <si>
    <t>LED00049129</t>
  </si>
  <si>
    <t>Đèn LED Panel P07 600x600/50W.DA 5700K (KPK) SS</t>
  </si>
  <si>
    <t>LED00052799</t>
  </si>
  <si>
    <t>Đèn LED Panel P06 320x640/25W M-bar Direct 5700K TOP KN</t>
  </si>
  <si>
    <t>LED00060859</t>
  </si>
  <si>
    <t>Đèn LED Panel P07 600x600/38W.GOV 6500K (UGR)</t>
  </si>
  <si>
    <t>LED00061109</t>
  </si>
  <si>
    <t>Đèn LED Panel P09.HCL 640x640/40W 5700K (KC-TOP-KN)</t>
  </si>
  <si>
    <t>LED00061110</t>
  </si>
  <si>
    <t>Đèn LED Panel P09.HCL 320x1280/40W 5700K (KC-TOP-KN)</t>
  </si>
  <si>
    <t>LED00064232</t>
  </si>
  <si>
    <t>Đèn LED Panel P06 T640X640/40W.2 Mbar direct 5700K GB</t>
  </si>
  <si>
    <t>LED00065499</t>
  </si>
  <si>
    <t>Đèn LED Panel P06 T640X640/50W.2 Mbar direct 5700K GB KN</t>
  </si>
  <si>
    <t>LED00044038</t>
  </si>
  <si>
    <t>Đèn LED Downlight AT04 110/12W 3000K</t>
  </si>
  <si>
    <t>LED00045424</t>
  </si>
  <si>
    <t>Đèn LED Downlight AT06.V2 110/9W 6500K-CT</t>
  </si>
  <si>
    <t>LED00045940</t>
  </si>
  <si>
    <t>Đèn LED downlight NT02 108x108/10Wx1.PLUS 6500K</t>
  </si>
  <si>
    <t>LED00045943</t>
  </si>
  <si>
    <t>Đèn LED downlight NT02 202x202/10Wx4.PLUS 6500K</t>
  </si>
  <si>
    <t>LED00046325</t>
  </si>
  <si>
    <t>Đèn LED Downlight đổi màu AT02 90/7W-CT</t>
  </si>
  <si>
    <t>LED00046326</t>
  </si>
  <si>
    <t>Đèn LED Downlight đổi màu AT02 90/9W-CT</t>
  </si>
  <si>
    <t>LED00046339</t>
  </si>
  <si>
    <t>Đèn LED Downlight đổi màu AT10 110/12W (G)-CT</t>
  </si>
  <si>
    <t>LED00046343</t>
  </si>
  <si>
    <t>Đèn LED Downlight đổi màu AT20 110/10W (G)-CT</t>
  </si>
  <si>
    <t>LED00047964</t>
  </si>
  <si>
    <t>Đèn LED Downlight đổi màu AT02 90/7W</t>
  </si>
  <si>
    <t>LED00048168</t>
  </si>
  <si>
    <t>Đèn LED Downlight AT04 155/25W 6500K</t>
  </si>
  <si>
    <t>LED00048419</t>
  </si>
  <si>
    <t>Đèn LED Downlight AT10 110/9W 6500K (G)-CTT</t>
  </si>
  <si>
    <t>LED00048434</t>
  </si>
  <si>
    <t>Đèn LED Downlight đổi màu AT20 110/10W (G)-CTT</t>
  </si>
  <si>
    <t>LED00048650</t>
  </si>
  <si>
    <t>Đèn LED Downlight AT05 155/10.1W 5700K (XK)</t>
  </si>
  <si>
    <t>LED00049204</t>
  </si>
  <si>
    <t>Đèn LED Downlight AT06.V2 90/5W 6500K-TC</t>
  </si>
  <si>
    <t>LED00049809</t>
  </si>
  <si>
    <t>Đèn LED Downlight AT16 110/7W.DA 6500K(IP54)</t>
  </si>
  <si>
    <t>LED00052324</t>
  </si>
  <si>
    <t>Đèn LED Downlight x/góc AT22 60/12W 4000K</t>
  </si>
  <si>
    <t>LED00052540</t>
  </si>
  <si>
    <t>Đèn LED Downlight AT04 155/25W.PLUS 6500K</t>
  </si>
  <si>
    <t>LED00054510</t>
  </si>
  <si>
    <t>Đèn LED downlight AT25 80x80/10Wx1.PLUS 3000K</t>
  </si>
  <si>
    <t>LED00054878</t>
  </si>
  <si>
    <t>Đèn LED downlight AT25 80x160/10Wx2.PLUS 4000K</t>
  </si>
  <si>
    <t>LED00055257</t>
  </si>
  <si>
    <t>Đèn LED Panel PT04.V2 135/9W 3000K</t>
  </si>
  <si>
    <t>LED00055322</t>
  </si>
  <si>
    <t>Đèn LED Panel đổi màu PT04.V2 135/12W-CT</t>
  </si>
  <si>
    <t>LED00060546</t>
  </si>
  <si>
    <t>Đèn LED Downlight đổi màu LD13T90-W Voltex (XK Úc)</t>
  </si>
  <si>
    <t>LED00046607</t>
  </si>
  <si>
    <t>Đèn LED Panel P01 320x1280/50W.H 5700K (KC-TOP) SS</t>
  </si>
  <si>
    <t>LED00048208</t>
  </si>
  <si>
    <t>Đèn LED Panel P07 600x1200/75W.PLUS 6500K (KPK) SS</t>
  </si>
  <si>
    <t>LED00049299</t>
  </si>
  <si>
    <t>Đèn LED Panel P08 300x1200/40W 4000K (KPK) SS</t>
  </si>
  <si>
    <t>LED00050822</t>
  </si>
  <si>
    <t>Đèn LED Panel P07 300x1200/48W.UGR.PLUS 6500K (KPK) SS</t>
  </si>
  <si>
    <t>LED00052774</t>
  </si>
  <si>
    <t>Đèn LED Panel P07 300x300/24W.PLUS 4000K (KPK) SS</t>
  </si>
  <si>
    <t>LED00053108</t>
  </si>
  <si>
    <t>Đèn LED Panel đổi màu P10 180x1280/40W (KC-TOP) SS</t>
  </si>
  <si>
    <t>LED00053112</t>
  </si>
  <si>
    <t>Đèn LED Panel đổi màu P10 320x640/25W (KC-TOP) SS</t>
  </si>
  <si>
    <t>LED00053321</t>
  </si>
  <si>
    <t>Đèn LED Panel P10 320x640/25W 4000K (KC-TOP) SS</t>
  </si>
  <si>
    <t>LED00055690</t>
  </si>
  <si>
    <t>Đèn LED Panel P06 M320x1280/50W.2 Mbar 5700K HB</t>
  </si>
  <si>
    <t>LED00060858</t>
  </si>
  <si>
    <t>Đèn LED Panel P07 1200x300/40W.GOV 6500K (UGR)</t>
  </si>
  <si>
    <t>LED00061108</t>
  </si>
  <si>
    <t>Đèn LED Panel P09.HCL 320x640/25W 5700K (KC-TOP-KN)</t>
  </si>
  <si>
    <t>LED00061609</t>
  </si>
  <si>
    <t>Đèn LED Panel P06 593x593/40W Tbar 5700K (XK)</t>
  </si>
  <si>
    <t>LED00061983</t>
  </si>
  <si>
    <t>Đèn LED Panel P07 600x600/50W.PLUS 4000K (KPK)</t>
  </si>
  <si>
    <t>LED00062840</t>
  </si>
  <si>
    <t>Đèn LED Panel đổi màu P01 640x640/50W (KC-TOP-KN)</t>
  </si>
  <si>
    <t>LED00063072</t>
  </si>
  <si>
    <t>Đèn LED Panel P01 170x615/25W 5700K (KC-TOP) SS</t>
  </si>
  <si>
    <t>LED00063073</t>
  </si>
  <si>
    <t>Đèn LED Panel P01 315x615/25W 5700K (KC-TOP) SS</t>
  </si>
  <si>
    <t>LED00067454</t>
  </si>
  <si>
    <t>Đèn LED Panel P07 150x1200/36W.PLUS 6500K (KPK) SS</t>
  </si>
  <si>
    <t>LED00068182</t>
  </si>
  <si>
    <t>Đèn LED Panel P09.HCL 640x640/40W 5700K (KC-KN)</t>
  </si>
  <si>
    <t>LED00071134</t>
  </si>
  <si>
    <t>Đèn LED Panel P07 300x300/24W.PLUS 3000K (KPK)</t>
  </si>
  <si>
    <t>LED00073276</t>
  </si>
  <si>
    <t>Đèn LED Panel P07 300x1200/35W.PLUS 6500K (KPK)</t>
  </si>
  <si>
    <t>LED00075000</t>
  </si>
  <si>
    <t>Đèn LED Panel P07 150x1200/24W.PLUS 6500K (KPK) SS</t>
  </si>
  <si>
    <t>LED00075010</t>
  </si>
  <si>
    <t>Đèn LED Panel P07 600x1200/72W.PLUS 6500K (KPK) SS</t>
  </si>
  <si>
    <t>LED00072795</t>
  </si>
  <si>
    <t>Đèn LED Downlight MQTL1238-6inch-6/7/8w (Yankon)</t>
  </si>
  <si>
    <t>LED00075566</t>
  </si>
  <si>
    <t>Đèn LED Downlight AT05 105/9W.GOV.V2 6500K</t>
  </si>
  <si>
    <t>LED00078788</t>
  </si>
  <si>
    <t>Đèn LED Downlight đổi màu AT46 90/10W (G)</t>
  </si>
  <si>
    <t>LED00078804</t>
  </si>
  <si>
    <t>Đèn LED Downlight xoay góc AT40 95/12W IP54 4000K</t>
  </si>
  <si>
    <t>LED00080878</t>
  </si>
  <si>
    <t>Đèn LED Panel đổi màu PT04.V2 90/8W</t>
  </si>
  <si>
    <t>LED00081260</t>
  </si>
  <si>
    <t>Đèn LED Panel đổi màu PT04.V2 135/10W</t>
  </si>
  <si>
    <t>LED00083968</t>
  </si>
  <si>
    <t>Đèn LED panel P59 7inch/12W 5CCT (YOURZOR)</t>
  </si>
  <si>
    <t>LED00005329</t>
  </si>
  <si>
    <t>Đèn LED ốp trần LN03 375/18W 3000K</t>
  </si>
  <si>
    <t>LED00005345</t>
  </si>
  <si>
    <t>Đèn LED ốp trần LN03 270/9W 6500K SS</t>
  </si>
  <si>
    <t>LED00012392</t>
  </si>
  <si>
    <t>Đèn LED ốptrần LN08 300x300/24W 6500K (Black) SS</t>
  </si>
  <si>
    <t>LED00025803</t>
  </si>
  <si>
    <t>Đèn LED ốp trần LN08 300x300/24W 3000K SS</t>
  </si>
  <si>
    <t>LED00032871</t>
  </si>
  <si>
    <t>Đèn LED ốp trần đổi màu LN12 300x300/24W SS</t>
  </si>
  <si>
    <t>LED00035992</t>
  </si>
  <si>
    <t>Đèn LED ốp trần LN12N 300x300/24W 6500K SS</t>
  </si>
  <si>
    <t>LED00035994</t>
  </si>
  <si>
    <t>Đèn LED ốp trần đổi màu LN12N 300x300/24W SS</t>
  </si>
  <si>
    <t>LED00041296</t>
  </si>
  <si>
    <t>Đèn LED ốp trần LN.CB03 260/18W.EV 6500K SS</t>
  </si>
  <si>
    <t>LED00049707</t>
  </si>
  <si>
    <t>Đèn LED ốp trần LN12N 170/12W 3000K SS</t>
  </si>
  <si>
    <t>LED00049711</t>
  </si>
  <si>
    <t>Đèn LED ốp trần LN12N 300x300/24W 3000K SS</t>
  </si>
  <si>
    <t>LED00050869</t>
  </si>
  <si>
    <t>Đèn LED ốp trần LN09 172/12W 3000K SS-CT</t>
  </si>
  <si>
    <t>LED00050879</t>
  </si>
  <si>
    <t>Đèn LED ốp trần đổi màu LN12 300x300/30W SS-CT</t>
  </si>
  <si>
    <t>LED00057158</t>
  </si>
  <si>
    <t>Đèn LED ốp trần đổi màu LN26 360/36W</t>
  </si>
  <si>
    <t>LED00061509</t>
  </si>
  <si>
    <t>Đèn LED ốp trần LN12 170/12W.GOV 6500K</t>
  </si>
  <si>
    <t>LED00073138</t>
  </si>
  <si>
    <t>Đèn LED ốp trần LN12N.KC 240/20W 5700K (XK)</t>
  </si>
  <si>
    <t>LED00073139</t>
  </si>
  <si>
    <t>Đèn LED ốp trần LN12N.PIR 240/20W 5700K (XK)</t>
  </si>
  <si>
    <t>LED00073726</t>
  </si>
  <si>
    <t>Đèn LED ốp trần LN29N 220/18W 6500K</t>
  </si>
  <si>
    <t>LED00048914</t>
  </si>
  <si>
    <t>Đèn LED chiếu pha CPT03 36W.QT 10D 4000K (IP65)</t>
  </si>
  <si>
    <t>LED00057455</t>
  </si>
  <si>
    <t>Đèn LED High Bay HB03 400/200W AC 5700K</t>
  </si>
  <si>
    <t>LED00058241</t>
  </si>
  <si>
    <t>Đèn LED High Bay HB03R 280/100W AC 5700K</t>
  </si>
  <si>
    <t>LED00062281</t>
  </si>
  <si>
    <t>Đèn LED chiếu sáng đường CSD02 30W.DA 4000K</t>
  </si>
  <si>
    <t>LED00062910</t>
  </si>
  <si>
    <t>Đèn LED chiếu pha CPV01 32W 3000K (15D, IP66)</t>
  </si>
  <si>
    <t>LED00065344</t>
  </si>
  <si>
    <t>Đèn LED âm đất tròn ADT01 115/10W.APG 3000K (IP67, 24V)</t>
  </si>
  <si>
    <t>LED00065345</t>
  </si>
  <si>
    <t>Đèn LED chiếu pha CPT05 40W.APG 3000K (IP66, 24V)</t>
  </si>
  <si>
    <t>LED00066377</t>
  </si>
  <si>
    <t>Đèn LED chiếu sáng đường CSD02 150W 5000K SS</t>
  </si>
  <si>
    <t>LED00072225</t>
  </si>
  <si>
    <t>Đèn LED Highbay HB03 350/120W.PLUS 6500K</t>
  </si>
  <si>
    <t>LED00072424</t>
  </si>
  <si>
    <t>Đèn LED chiếu sáng đường CSD10 200W.BH 4000K</t>
  </si>
  <si>
    <t>LED00075168</t>
  </si>
  <si>
    <t>Đèn LED chiếu sáng đường CSD08 150W.NEMA PLUS 5000K</t>
  </si>
  <si>
    <t>LED00075284</t>
  </si>
  <si>
    <t>Đèn LED NLMT NX.SL.RAD 300W 6500K (KSL)</t>
  </si>
  <si>
    <t>LED00075363</t>
  </si>
  <si>
    <t>Đèn LED HighBay HB05 300/200W AC 5700K</t>
  </si>
  <si>
    <t>LED00075590</t>
  </si>
  <si>
    <t>Đèn LED chiếu sáng đường CSD08 150W-I.NEMA BT 4000K</t>
  </si>
  <si>
    <t>LED00075778</t>
  </si>
  <si>
    <t>Đèn LED UFO GDXL1065 Black finish 150W CCT (YK)</t>
  </si>
  <si>
    <t>LED00076003</t>
  </si>
  <si>
    <t>Đèn LED chiếu cây LAD 01.10W 12V 3000K</t>
  </si>
  <si>
    <t>LED00076207</t>
  </si>
  <si>
    <t>Đèn LED HighBay HB03 290/100W.PLUS 5000K</t>
  </si>
  <si>
    <t>LED00079891</t>
  </si>
  <si>
    <t>Đèn LED UFO GDXL1065 Energetic Brand 150W CCT (YK)</t>
  </si>
  <si>
    <t>LED00080218</t>
  </si>
  <si>
    <t>Đèn LED Chiếu pha CP12 150W 6500K</t>
  </si>
  <si>
    <t>LED00084698</t>
  </si>
  <si>
    <t>Đèn LED HighBay HB05 300/120W AC 5700K-OSRAM</t>
  </si>
  <si>
    <t>LED00001463</t>
  </si>
  <si>
    <t>Đèn LED Downlight AT02XG 76/6.5W.DA 3000K</t>
  </si>
  <si>
    <t>LED00005274</t>
  </si>
  <si>
    <t>Đèn Led Downlight AT04 160/16W 3000K</t>
  </si>
  <si>
    <t>LED00005290</t>
  </si>
  <si>
    <t>Đèn Led Downlight AT02 208/25W 3500K</t>
  </si>
  <si>
    <t>LED00046347</t>
  </si>
  <si>
    <t>Đèn LED ốp trần LN08 230x230/18W 6500K SS-CT</t>
  </si>
  <si>
    <t>LED00051074</t>
  </si>
  <si>
    <t>Đèn LED ốp trần LN12 220/22W 6500K-CTT</t>
  </si>
  <si>
    <t>LED00051076</t>
  </si>
  <si>
    <t>Đèn LED ốp trần LN12 300/30W 6500K-CTT</t>
  </si>
  <si>
    <t>LED00051402</t>
  </si>
  <si>
    <t>Đèn LED Ốp trần LN10 220x220/18W 6500K-TC</t>
  </si>
  <si>
    <t>LED00051403</t>
  </si>
  <si>
    <t>Đèn LED ốp trần LN11 220/18W 6500K-TC</t>
  </si>
  <si>
    <t>LED00051404</t>
  </si>
  <si>
    <t>Đèn LED ốp trần LN12 170/15W 6500K-TC</t>
  </si>
  <si>
    <t>LED00051406</t>
  </si>
  <si>
    <t>Đèn LED ốp trần LN12 220/22W 6500K-TC</t>
  </si>
  <si>
    <t>LED00051410</t>
  </si>
  <si>
    <t>Đèn LED ốp trần LN12N 170/12W 6500K-TC</t>
  </si>
  <si>
    <t>LED00055435</t>
  </si>
  <si>
    <t>Đèn LED ốp trần đổi màu MXL1142 24W (Yankon)</t>
  </si>
  <si>
    <t>LED00060407</t>
  </si>
  <si>
    <t>Đèn LED Ốp trần LN27N 240/15W 5700K (XK-KN-KCV)</t>
  </si>
  <si>
    <t>LED00073736</t>
  </si>
  <si>
    <t>Đèn LED ốp trần LN12N 300x300/24W 4000K SS</t>
  </si>
  <si>
    <t>LED00077498</t>
  </si>
  <si>
    <t>Đèn LED ốp trần đổi màu LN32 450/40W</t>
  </si>
  <si>
    <t>LED00078983</t>
  </si>
  <si>
    <t>Đèn LED ốp trần LN29N 220x220/18W 6500K (B)</t>
  </si>
  <si>
    <t>LED00083562</t>
  </si>
  <si>
    <t>Đèn LED ốp trần LN08 300x300/30W.PLUS 6500K</t>
  </si>
  <si>
    <t>LED00083657</t>
  </si>
  <si>
    <t>Đèn LED ốp trần LN12N 300x300/24W 6500K</t>
  </si>
  <si>
    <t>LED00083666</t>
  </si>
  <si>
    <t>Đèn LED ốp trần LN12 170/15W 6500K</t>
  </si>
  <si>
    <t>LED00005425</t>
  </si>
  <si>
    <t>Đèn LED Panel P02 300x1200/35W.DA 6500K KPK</t>
  </si>
  <si>
    <t>LED00016725</t>
  </si>
  <si>
    <t>Đèn LED Panel P02 600x600/36W-6500K (có LĐ)</t>
  </si>
  <si>
    <t>LED00029398</t>
  </si>
  <si>
    <t>Đèn LED Panel P01 220x900/30W 5700K (KC-LG-KN) SS</t>
  </si>
  <si>
    <t>LED00030328</t>
  </si>
  <si>
    <t>Đèn LED Panel 3CCT P04 180x640/25W (TOP H-BR) SS</t>
  </si>
  <si>
    <t>LED00030330</t>
  </si>
  <si>
    <t>Đèn LED Panel P05 520x520/40W 5700K (TOP E) SS</t>
  </si>
  <si>
    <t>LED00031026</t>
  </si>
  <si>
    <t>Đèn LED Panel P07 150x600/24W.DA 3000K SS</t>
  </si>
  <si>
    <t>LED00032705</t>
  </si>
  <si>
    <t>Đèn LED Panel P04 640x640/50W 5700K (TOP H-BR) SS</t>
  </si>
  <si>
    <t>LED00036201</t>
  </si>
  <si>
    <t>Đèn LED Panel P07 600x600/50W.DA 4000K (KPK) SS</t>
  </si>
  <si>
    <t>LED00069473</t>
  </si>
  <si>
    <t>Đèn LED Downlight nổi trần đổi màu NT03 120/12W (Trắng)</t>
  </si>
  <si>
    <t>LED00073025</t>
  </si>
  <si>
    <t>Đèn LED Downlight AT05.V3 70/8W 4000K (XK)</t>
  </si>
  <si>
    <t>LED00075386</t>
  </si>
  <si>
    <t>Đèn LED Downlight AT04 155/25W 6500K-CT</t>
  </si>
  <si>
    <t>LED00075532</t>
  </si>
  <si>
    <t>Đèn LED Downlight đổi màu AT10 110/10W</t>
  </si>
  <si>
    <t>LED00077018</t>
  </si>
  <si>
    <t>Đèn LED Downlight AT45 65/12W 4000K</t>
  </si>
  <si>
    <t>LED00077100</t>
  </si>
  <si>
    <t>Đèn LED Downlight AT10 110/10W 4000K</t>
  </si>
  <si>
    <t>LED00078645</t>
  </si>
  <si>
    <t>Đèn LED Downlight đổi màu AT56 90/8W (G)</t>
  </si>
  <si>
    <t>LED00078810</t>
  </si>
  <si>
    <t>Đèn LED Downlight đổi màu AT48 90/8W (G)</t>
  </si>
  <si>
    <t>LED00080520</t>
  </si>
  <si>
    <t>Đèn LED downlight AT40 95/12W.GOV.V2 4000K</t>
  </si>
  <si>
    <t>LED00080541</t>
  </si>
  <si>
    <t>Đèn LED Panel MXL1190 6inch/12W 5CCT (Yankon)</t>
  </si>
  <si>
    <t>LED00080879</t>
  </si>
  <si>
    <t>Đèn LED Panel đổi màu PT05 90/8W (G)</t>
  </si>
  <si>
    <t>LED00081384</t>
  </si>
  <si>
    <t>Đèn LED Downlight AT10 110/10W 6500K (G)</t>
  </si>
  <si>
    <t>LED00083633</t>
  </si>
  <si>
    <t>Đèn LED Downlight AT60 90/8W 6500K (G)</t>
  </si>
  <si>
    <t>LED00005312</t>
  </si>
  <si>
    <t>Đèn LED ốp trần LN04 7W 6500K</t>
  </si>
  <si>
    <t>LED00005322</t>
  </si>
  <si>
    <t>Đèn LED ốp trần LN.CB02 280/12W 6500K</t>
  </si>
  <si>
    <t>LED00011801</t>
  </si>
  <si>
    <t>Đèn LED ốp trần LN09 172/12W 3000K SS</t>
  </si>
  <si>
    <t>LED00012892</t>
  </si>
  <si>
    <t>Đèn LED ốp trần LN08 300x300/24W 6500K</t>
  </si>
  <si>
    <t>LED00025793</t>
  </si>
  <si>
    <t>Đèn LED ốp trần LN03 270/9W.DA 6500K SS</t>
  </si>
  <si>
    <t>LED00032852</t>
  </si>
  <si>
    <t>Đèn LED ốp trần LN12 170/12W 6500K SS</t>
  </si>
  <si>
    <t>LED00033394</t>
  </si>
  <si>
    <t>Đèn LED ốp trần LN09 225/18W 6500K</t>
  </si>
  <si>
    <t>LED00046349</t>
  </si>
  <si>
    <t>Đèn LED Ốp trần LN10 220x220/18W 6500K-CT</t>
  </si>
  <si>
    <t>LED00051071</t>
  </si>
  <si>
    <t>Đèn LED ốp trần LN09 172/12W 6500K-CTT</t>
  </si>
  <si>
    <t>LED00051083</t>
  </si>
  <si>
    <t>Đèn LED ốp trần LN12N 300x300/24W 6500K-CTT</t>
  </si>
  <si>
    <t>LED00072799</t>
  </si>
  <si>
    <t>Đèn LED Downlight MQTL1238-10in_28W/35W/42W (Yankon)</t>
  </si>
  <si>
    <t>LED00075525</t>
  </si>
  <si>
    <t>Đèn LED Downlight đổi màu AT10 90/8W</t>
  </si>
  <si>
    <t>LED00075547</t>
  </si>
  <si>
    <t>Đèn LED Downlight AT05 105/12W.GOV.V2 6500K</t>
  </si>
  <si>
    <t>LED00075715</t>
  </si>
  <si>
    <t>Đèn LED Downlight AT24 110/12W.PLUS 3000K</t>
  </si>
  <si>
    <t>LED00077833</t>
  </si>
  <si>
    <t>Đèn LED Downlight AT56 90/8W 4000K</t>
  </si>
  <si>
    <t>LED00077839</t>
  </si>
  <si>
    <t>Đèn LED Downlight AT06.V3 90/7W 4000K</t>
  </si>
  <si>
    <t>LED00078792</t>
  </si>
  <si>
    <t>Đèn LED Downlight đổi màu AT46 110/12W (G)</t>
  </si>
  <si>
    <t>LED00079724</t>
  </si>
  <si>
    <t>Đèn LED Downlight AT24 90/8W.PLUS 6500K (IP44, HPF)</t>
  </si>
  <si>
    <t>LED00080539</t>
  </si>
  <si>
    <t>Đèn LED Panel MXL1190 4inch/10W 5CCT (Yankon)</t>
  </si>
  <si>
    <t>LED00082012</t>
  </si>
  <si>
    <t>Đèn LED Downlight AT04 110/12W.PLUS 4000K</t>
  </si>
  <si>
    <t>00000221</t>
  </si>
  <si>
    <t>Đèn LED ốp trần LN03 375/18W.GO 5000K</t>
  </si>
  <si>
    <t>LED00011794</t>
  </si>
  <si>
    <t>Đèn LED ốp trần LN08 170x170/12W 3000K</t>
  </si>
  <si>
    <t>LED00012747</t>
  </si>
  <si>
    <t>Đèn LED ốp trần LN03 230/7W 6500K SS</t>
  </si>
  <si>
    <t>LED00012845</t>
  </si>
  <si>
    <t>Đèn LED ốp trần LN09 300/24W 6500K SS</t>
  </si>
  <si>
    <t>LED00019124</t>
  </si>
  <si>
    <t>Đèn LED ốp trần LN10 220x220/18W 3000K</t>
  </si>
  <si>
    <t>LED00027611</t>
  </si>
  <si>
    <t>Đèn LED Ốp trần MXL 306 32W 4000K (Yankon)</t>
  </si>
  <si>
    <t>LED00032412</t>
  </si>
  <si>
    <t>Đèn LED ốp trần LN03 270/9W 6500K</t>
  </si>
  <si>
    <t>LED00039859</t>
  </si>
  <si>
    <t>Đèn LED ốp trần LN05 160/9W.DA 6500K SS</t>
  </si>
  <si>
    <t>LED00045436</t>
  </si>
  <si>
    <t>Đèn LED ốp trần LN09 225/18W 6500K SS-CT</t>
  </si>
  <si>
    <t>LED00051401</t>
  </si>
  <si>
    <t>Đèn LED ốp trần LN09 300/24W 6500K-TC</t>
  </si>
  <si>
    <t>LED00051414</t>
  </si>
  <si>
    <t>Đèn LED ốp trần LN12N 300/24W 6500K-TC</t>
  </si>
  <si>
    <t>LED00056242</t>
  </si>
  <si>
    <t>Đèn LED ốp trần đổi màu LN12N 220x220/18W SS-CT</t>
  </si>
  <si>
    <t>LED00061663</t>
  </si>
  <si>
    <t>Đèn LED ốp trần đổi màu LN12 220x220/22W SS-CT</t>
  </si>
  <si>
    <t>LED00073792</t>
  </si>
  <si>
    <t>Đèn LED ốp trần đổi màu LN29N 220/18W</t>
  </si>
  <si>
    <t>LED00068220</t>
  </si>
  <si>
    <t>Đèn LED Panel P01 320x1280/40W 5700K (KC-TOP-KN) SS</t>
  </si>
  <si>
    <t>LED00068509</t>
  </si>
  <si>
    <t>Đèn LED Panel P08 300x1200/50W 6500K (KPK) SS-CT</t>
  </si>
  <si>
    <t>LED00070204</t>
  </si>
  <si>
    <t>Đèn LED Panel P01 180x640/25W 5700K (KC-TOP)</t>
  </si>
  <si>
    <t>LED00070227</t>
  </si>
  <si>
    <t>Đèn LED Panel P01 520x520/40W 5700K (KC-TOP)</t>
  </si>
  <si>
    <t>LED00070370</t>
  </si>
  <si>
    <t>Đèn LED Panel P06 T320x1280/50W.2 Mbar direct 4000K GB</t>
  </si>
  <si>
    <t>LED00074387</t>
  </si>
  <si>
    <t>Đèn LED Panel P06 300x1200/50W T-bar 5700K KN-LME</t>
  </si>
  <si>
    <t>LED00077758</t>
  </si>
  <si>
    <t>Đèn LED Panel P06 320x1280/50W trắng S (Nổi trần)</t>
  </si>
  <si>
    <t>LED00079348</t>
  </si>
  <si>
    <t>Đèn LED Panel P07 300x300/28W.PLUS 6500K (KPK)</t>
  </si>
  <si>
    <t>LED00079511</t>
  </si>
  <si>
    <t>Đèn LED Panel P06 640x640/50W 5700K(Nổi trần)</t>
  </si>
  <si>
    <t>LED00079824</t>
  </si>
  <si>
    <t>Đèn LED Panel P07 150x150/9W.PLUS 4000K (KPK)</t>
  </si>
  <si>
    <t>LED00080116</t>
  </si>
  <si>
    <t>Đèn LED Panel P07 1200x300/50W.GOV.V2 4000K (KPK)</t>
  </si>
  <si>
    <t>LED00080166</t>
  </si>
  <si>
    <t>Đèn LED Panel P07 300x300/12W.PLUS 4000K (KPK) SS</t>
  </si>
  <si>
    <t>LED00080946</t>
  </si>
  <si>
    <t>Đèn LED Panel P07 1200x300/38W.GOV.V2 4000K (KPK)</t>
  </si>
  <si>
    <t>LED00082744</t>
  </si>
  <si>
    <t>Đèn LED Panel P07 300x2400/75W.PLUS 6500K (KPK)</t>
  </si>
  <si>
    <t>LED trang trí</t>
  </si>
  <si>
    <t>00000018</t>
  </si>
  <si>
    <t>Đèn LED thả quầy DTQ 01L 200/9W-4000K</t>
  </si>
  <si>
    <t>00000469</t>
  </si>
  <si>
    <t>Đèn LED Liên quang D L.Q03L/5W 220V-in 1 mặt</t>
  </si>
  <si>
    <t>LED00025156</t>
  </si>
  <si>
    <t>Đèn LED Gắn tường GT05 T/5W 5000K</t>
  </si>
  <si>
    <t>LED00048343</t>
  </si>
  <si>
    <t>Đèn LED âm nước AN01 6W.QT 30D 4000K (IP68)</t>
  </si>
  <si>
    <t>LED00050864</t>
  </si>
  <si>
    <t>Đèn LED gắn tường GT05 T/2.5W E14-CT</t>
  </si>
  <si>
    <t>LED00061540</t>
  </si>
  <si>
    <t>Đèn LED chiếu hắt DCH01 15W 6500K</t>
  </si>
  <si>
    <t>LED Tube</t>
  </si>
  <si>
    <t>LED00005095</t>
  </si>
  <si>
    <t>Bóng LED Tube 1200/22W 3000K</t>
  </si>
  <si>
    <t>LED00034139</t>
  </si>
  <si>
    <t>Bóng LED Tube T8 TT01 1200/18W (Hayne) 6500K</t>
  </si>
  <si>
    <t>LED00038704</t>
  </si>
  <si>
    <t>Bóng LED Tube T8 1200/18W.DA 5000K SS</t>
  </si>
  <si>
    <t>LED00014504</t>
  </si>
  <si>
    <t>Đèn LED Downlight AT06 90/7W 3000K SS</t>
  </si>
  <si>
    <t>LED00020818</t>
  </si>
  <si>
    <t>Đèn LED Downlight AT12 110/9W 6500K SS</t>
  </si>
  <si>
    <t>LED00024932</t>
  </si>
  <si>
    <t>Đèn LED Downlight đổi màu AT10 110/12W (G) SS</t>
  </si>
  <si>
    <t>LED00025767</t>
  </si>
  <si>
    <t>Đèn LED Downlight AT04 110/9W.DA 3000K SS</t>
  </si>
  <si>
    <t>LED00025778</t>
  </si>
  <si>
    <t>Đèn LED Downlight AT12 125x125/9Wx1.DA 4000K</t>
  </si>
  <si>
    <t>LED00025783</t>
  </si>
  <si>
    <t>Đèn LED Panel PT03 135/9W.DA 4000K</t>
  </si>
  <si>
    <t>LED00030565</t>
  </si>
  <si>
    <t>Đèn LED Downlight MQTL1081 6inch 13W CCT (Yankon)</t>
  </si>
  <si>
    <t>LED00032234</t>
  </si>
  <si>
    <t>Đèn LED Panel PT04 135/9W 3000K</t>
  </si>
  <si>
    <t>LED00044411</t>
  </si>
  <si>
    <t>Đèn LED Downlight AT05.V2 155/10.1W 5700K (XK)</t>
  </si>
  <si>
    <t>LED00045474</t>
  </si>
  <si>
    <t>Đèn LED Panel PT04 135/12W 6500K-CT</t>
  </si>
  <si>
    <t>LED00045477</t>
  </si>
  <si>
    <t>Đèn LED Panel đổi màu PT05 110/9W-CT</t>
  </si>
  <si>
    <t>LED00045934</t>
  </si>
  <si>
    <t>Đèn LED downlight AT25 80x160/10Wx2.PLUS 6500K</t>
  </si>
  <si>
    <t>LED00046099</t>
  </si>
  <si>
    <t>Đèn LED Panel đổi màu PT04.V2 135/12W</t>
  </si>
  <si>
    <t>LED00046519</t>
  </si>
  <si>
    <t>Đèn LED Downlight AT06.V2 90/5W 3000K</t>
  </si>
  <si>
    <t>LED00047407</t>
  </si>
  <si>
    <t>Đèn LED Downlight AT24 110/12W.PLUS 6500K</t>
  </si>
  <si>
    <t>LED00047838</t>
  </si>
  <si>
    <t>Đèn LED downlight AT05 200/30W 4000K (242x94)</t>
  </si>
  <si>
    <t>LED00047839</t>
  </si>
  <si>
    <t>Đèn LED downlight AT05 200/30W 5000K (242x94)</t>
  </si>
  <si>
    <t>LED00048050</t>
  </si>
  <si>
    <t>Đèn LED downlight x/góc AT18 100/9W 3000K</t>
  </si>
  <si>
    <t>LED00048126</t>
  </si>
  <si>
    <t>Đèn LED Downlight nổi trần NT01 90/10W 6500K</t>
  </si>
  <si>
    <t>LED00048417</t>
  </si>
  <si>
    <t>Đèn LED Downlight AT10 90/7W 6500K-CTT</t>
  </si>
  <si>
    <t>LED00048422</t>
  </si>
  <si>
    <t>Đèn LED Downlight đổi màu AT02 110/9W-CTT</t>
  </si>
  <si>
    <t>LED00048605</t>
  </si>
  <si>
    <t>Đèn LED downlight AT25 80x240/10Wx3.QT 3000K</t>
  </si>
  <si>
    <t>LED00020906</t>
  </si>
  <si>
    <t>Đèn LED Downlight AT04 160/15W.DA 4000K</t>
  </si>
  <si>
    <t>LED00023238</t>
  </si>
  <si>
    <t>Đèn LED Panel đổi màu PT04 90/6W SS</t>
  </si>
  <si>
    <t>LED00023962</t>
  </si>
  <si>
    <t>Đèn LED Downlight AT16 90/9W.DA 6500K SS</t>
  </si>
  <si>
    <t>LED00023966</t>
  </si>
  <si>
    <t>Đèn LED Downlight đổi màu AT16 90/7W.DA SS</t>
  </si>
  <si>
    <t>LED00026908</t>
  </si>
  <si>
    <t>Đèn LED Downlight AT16 90/9W.DA 3000K SS</t>
  </si>
  <si>
    <t>LED00028953</t>
  </si>
  <si>
    <t>Đèn LED Panel đổi màu D PT05L 90/6W</t>
  </si>
  <si>
    <t>LED00028955</t>
  </si>
  <si>
    <t>Đèn LED Panel đổi màu D PT05L 110/6W (G)</t>
  </si>
  <si>
    <t>LED00031132</t>
  </si>
  <si>
    <t>Đèn Led Downlight AT04 110/7W.DA 4000K SS</t>
  </si>
  <si>
    <t>LED00032231</t>
  </si>
  <si>
    <t>Đèn LED Panel PT04 110/9W 6500K</t>
  </si>
  <si>
    <t>LED00039647</t>
  </si>
  <si>
    <t>Đèn LED ốp trần GX53s 90/9W 6500K</t>
  </si>
  <si>
    <t>LED00042897</t>
  </si>
  <si>
    <t>Đèn LED Downlight MQTL1101 8inch 19W CCT (Yankon)</t>
  </si>
  <si>
    <t>LED00045422</t>
  </si>
  <si>
    <t>Đèn LED Downlight AT06 90/7W 6500K SS-CT</t>
  </si>
  <si>
    <t>LED00046115</t>
  </si>
  <si>
    <t>Đèn LED Panel PT05 135/12W 6500K (G)</t>
  </si>
  <si>
    <t>LED00046510</t>
  </si>
  <si>
    <t>Đèn LED Downlight AT04 110/12W 4000K</t>
  </si>
  <si>
    <t>LED00046900</t>
  </si>
  <si>
    <t>Đèn LED Downlight đổi màu IDL7T90-W Monaco (XK Úc)</t>
  </si>
  <si>
    <t>LED00048430</t>
  </si>
  <si>
    <t>Đèn LED Downlight đổi màu AT10 110/12W (G)-CTT</t>
  </si>
  <si>
    <t>LED00048432</t>
  </si>
  <si>
    <t>Đèn LED Downlight đổi màu AT20 90/8W (G)-CTT</t>
  </si>
  <si>
    <t>LED00049226</t>
  </si>
  <si>
    <t>Đèn LED Downlight đổi màu AT10 110/12W-TC</t>
  </si>
  <si>
    <t>LED00055341</t>
  </si>
  <si>
    <t>Đèn LED Downlight đổi màu AT10 110/12W-CT</t>
  </si>
  <si>
    <t>LED00056178</t>
  </si>
  <si>
    <t>Đèn LED Downlight nổi trần NT03 120/10W 6500K (Trắng)</t>
  </si>
  <si>
    <t>LED00057554</t>
  </si>
  <si>
    <t>Đèn LED Downlight AT04 90/9W.DA 6500K</t>
  </si>
  <si>
    <t>LED00058344</t>
  </si>
  <si>
    <t>Đèn LED Downlight đổi màu AT26 110/12W (G)</t>
  </si>
  <si>
    <t>LED00045273</t>
  </si>
  <si>
    <t>Đèn LED Downlight AT04 155/20W.DA 6500K</t>
  </si>
  <si>
    <t>LED00045904</t>
  </si>
  <si>
    <t>Đèn LED Downlight AT16 110/9W.DA 6500K HPF</t>
  </si>
  <si>
    <t>LED00048145</t>
  </si>
  <si>
    <t>Đèn LED Downlight nổi trần NT01 110/15W 6500K</t>
  </si>
  <si>
    <t>LED00048405</t>
  </si>
  <si>
    <t>Đèn LED Downlight AT06 76/3W 6500K SS-CTT</t>
  </si>
  <si>
    <t>LED00048651</t>
  </si>
  <si>
    <t>Đèn LED Downlight AT05 155/12W 5700K (XK)</t>
  </si>
  <si>
    <t>LED00049206</t>
  </si>
  <si>
    <t>Đèn LED Downlight AT06.V2 90/7W 6500K-TC</t>
  </si>
  <si>
    <t>LED00049214</t>
  </si>
  <si>
    <t>Đèn LED Downlight AT10 110/9W 6500K (G)-TC</t>
  </si>
  <si>
    <t>LED00049221</t>
  </si>
  <si>
    <t>Đèn LED Downlight đổi màu AT10 90/7W (G)-TC</t>
  </si>
  <si>
    <t>LED00049225</t>
  </si>
  <si>
    <t>Đèn LED Downlight đổi màu AT10 110/9W (G)-TC</t>
  </si>
  <si>
    <t>LED00050862</t>
  </si>
  <si>
    <t>Đèn LED Downlight đổi màu AT10 60/3W SS-CT</t>
  </si>
  <si>
    <t>LED00054887</t>
  </si>
  <si>
    <t>Đèn LED Downlight AT24 90/8W.PLUS 4000K</t>
  </si>
  <si>
    <t>LED00058705</t>
  </si>
  <si>
    <t>Đèn LED Downlight MQTL1128 6inch (Yankon)</t>
  </si>
  <si>
    <t>LED00061944</t>
  </si>
  <si>
    <t>Đèn LED Downlight AT38 110/12W 6500K</t>
  </si>
  <si>
    <t>LED00062849</t>
  </si>
  <si>
    <t>Đèn LED Downlight đổi màu GYB10T90 Voltex (XK Úc)</t>
  </si>
  <si>
    <t>LED00065501</t>
  </si>
  <si>
    <t>Đèn LED Downlight AT33 100/9W 4000K</t>
  </si>
  <si>
    <t>LED00071094</t>
  </si>
  <si>
    <t>Đèn LED Downlight AT04 90/9W 6500K IP54</t>
  </si>
  <si>
    <t>LED00074401</t>
  </si>
  <si>
    <t>Đèn LED Downlight AT05 155/20W 5700K (XK-KN)</t>
  </si>
  <si>
    <t>LED00076063</t>
  </si>
  <si>
    <t>Đèn LED Downlight AT10 90/10W 3000K</t>
  </si>
  <si>
    <t>LED00076227</t>
  </si>
  <si>
    <t>Đèn LED Downlight đổi màu AT46 110/10W</t>
  </si>
  <si>
    <t>LED00077019</t>
  </si>
  <si>
    <t>Đèn LED Downlight AT45 75/15W 4000K</t>
  </si>
  <si>
    <t>LED00077075</t>
  </si>
  <si>
    <t>Đèn LED Downlight AT04 90/8W 4000K</t>
  </si>
  <si>
    <t>LED00078809</t>
  </si>
  <si>
    <t>Đèn LED Downlight đổi màu AT48 90/10W (G)</t>
  </si>
  <si>
    <t>LED00080016</t>
  </si>
  <si>
    <t>Đèn LED Downlight AT05 105/12W.GOV.V2 4000K</t>
  </si>
  <si>
    <t>LED00029906</t>
  </si>
  <si>
    <t>Đèn LED Panel đổi màu 320x1280/50W (TOP-E) SS</t>
  </si>
  <si>
    <t>LED00031489</t>
  </si>
  <si>
    <t>Đèn LED Panel P07 300x1600/60W.DA 6500K (KPK) SS</t>
  </si>
  <si>
    <t>LED00033412</t>
  </si>
  <si>
    <t>LED panel ĐM 1280x180xH25 40W</t>
  </si>
  <si>
    <t>LED00040308</t>
  </si>
  <si>
    <t>Đèn LED Panel P01 320x640/25W 5700K (KC-TOP) SS</t>
  </si>
  <si>
    <t>LED00044722</t>
  </si>
  <si>
    <t>Đèn LED đọc phim X-Quang DF01 47x41/12W 6500K</t>
  </si>
  <si>
    <t>LED00045342</t>
  </si>
  <si>
    <t>Đèn LED Panel P06 320x640/25W T-bar 4000K KN-PER</t>
  </si>
  <si>
    <t>LED00048203</t>
  </si>
  <si>
    <t>Đèn LED Panel P07 600x600/35W.UGR.PLUS 6500K (KPK) SS</t>
  </si>
  <si>
    <t>LED00050005</t>
  </si>
  <si>
    <t>Đèn LED Panel P01 320x640/25W 5700K (KC-PER) SS</t>
  </si>
  <si>
    <t>LED00050224</t>
  </si>
  <si>
    <t>Đèn LED Panel P01 320x1280/50W.V2 4000K (KC-PER) SS</t>
  </si>
  <si>
    <t>LED00051827</t>
  </si>
  <si>
    <t>Đèn LED Panel P07 600x600/35W.PLUS 6500K (KPK) SS</t>
  </si>
  <si>
    <t>LED00052541</t>
  </si>
  <si>
    <t>Đèn LED Panel P07 600x600/50W.PLUS 6500K (KPK)</t>
  </si>
  <si>
    <t>LED00052795</t>
  </si>
  <si>
    <t>Đèn LED Panel P06 640x640/50W M-bar Direct 5700K TOP KN</t>
  </si>
  <si>
    <t>LED00053485</t>
  </si>
  <si>
    <t>Đèn LED Panel P10 180x1280/40W 4000K (KC-TOP) SS</t>
  </si>
  <si>
    <t>LED00054552</t>
  </si>
  <si>
    <t>Đèn LED Panel P07 300x1200/48W.PLUS 4000K (KPK) SS</t>
  </si>
  <si>
    <t>LED00055808</t>
  </si>
  <si>
    <t>Đèn LED Panel P07 300x300/18W.PLUS 6500K (KPK) SS</t>
  </si>
  <si>
    <t>LED00064146</t>
  </si>
  <si>
    <t>Đèn LED Panel P06 600x600/50W 4000K</t>
  </si>
  <si>
    <t>LED00065181</t>
  </si>
  <si>
    <t>Đèn LED Panel P07 300x300/24W.PLUS 6500K (KPK)</t>
  </si>
  <si>
    <t>LED00069525</t>
  </si>
  <si>
    <t>Đèn LED Panel P06 T320x1280/40W.2H Mbar direct 5700K GB KN</t>
  </si>
  <si>
    <t>LED00075503</t>
  </si>
  <si>
    <t>Đèn LED Panel P06 T1280x180/40W.2 Mbar direct 5700K GB</t>
  </si>
  <si>
    <t>LED00077491</t>
  </si>
  <si>
    <t>Đèn LED Panel P01 320x1280/40W.2 5700K (KC-TOP) SS</t>
  </si>
  <si>
    <t>LED00077492</t>
  </si>
  <si>
    <t>Đèn LED Panel P01 640x640/50W.2 5700K (KC-TOP) SS</t>
  </si>
  <si>
    <t>LED00078590</t>
  </si>
  <si>
    <t>Đèn LED Panel P07 600x600/48W.PLUS 6500K (KPK)</t>
  </si>
  <si>
    <t>LED00078749</t>
  </si>
  <si>
    <t>Đèn LED Panel P07 600x600/36W.PLUS 4000K (KPK)</t>
  </si>
  <si>
    <t>LED00039017</t>
  </si>
  <si>
    <t>Đèn LED ốp trần MXL 1072 18W (Yankon)</t>
  </si>
  <si>
    <t>LED00046348</t>
  </si>
  <si>
    <t>Đèn LED ốp trần LN08 300x300/24W 6500K SS-CT</t>
  </si>
  <si>
    <t>LED00051066</t>
  </si>
  <si>
    <t>Đèn LED Ốp trần LN10 220x220/18W 6500K-CTT</t>
  </si>
  <si>
    <t>LED00051072</t>
  </si>
  <si>
    <t>Đèn LED ốp trần LN12 170/15W 6500K-CTT</t>
  </si>
  <si>
    <t>LED00051073</t>
  </si>
  <si>
    <t>Đèn LED ốp trần LN12 170x170/15W 6500K-CTT</t>
  </si>
  <si>
    <t>LED00055331</t>
  </si>
  <si>
    <t>Đèn LED ốp trần đổi màu LN12 170/15W SS-CT</t>
  </si>
  <si>
    <t>LED00059076</t>
  </si>
  <si>
    <t>Đèn LED ốp trần LN08 300x300/24W.PLUS 4000K SS</t>
  </si>
  <si>
    <t>LED00077827</t>
  </si>
  <si>
    <t>Đèn LED ốp trần LN12N 300/24W 4000K SS</t>
  </si>
  <si>
    <t>LED00078040</t>
  </si>
  <si>
    <t>Đèn LED ốp trần LN30N 300x300/24W 6500K</t>
  </si>
  <si>
    <t>LED00005440</t>
  </si>
  <si>
    <t>Đèn LED Panel P01 600x600/48W.DA 6500K (CRI90) KPK</t>
  </si>
  <si>
    <t>LED00016249</t>
  </si>
  <si>
    <t>Đèn LED Panel P01 600x600/50W 6500K (KPK) SS</t>
  </si>
  <si>
    <t>LED00020409</t>
  </si>
  <si>
    <t>Bộ đèn LED M15 600x600/35W 5000K SS</t>
  </si>
  <si>
    <t>LED00021639</t>
  </si>
  <si>
    <t>Bộ đèn LED M15 600x600/35W.DA 3000K SS</t>
  </si>
  <si>
    <t>LED00023249</t>
  </si>
  <si>
    <t>Đèn LED Panel P01 320x640/25W 5700K (KC-TOP-KN) SS</t>
  </si>
  <si>
    <t>LED00024256</t>
  </si>
  <si>
    <t>Đèn LED Panel P04 600x600/40W.DA 6500K (KPK) SS</t>
  </si>
  <si>
    <t>LED00026328</t>
  </si>
  <si>
    <t>Đèn LED Panel P07 600x1200/75W.DA 6500K (KPK) SS</t>
  </si>
  <si>
    <t>LED00028098</t>
  </si>
  <si>
    <t>Đèn LED Panel P01 320x1280/40W 5700K (KC-TOP) SS</t>
  </si>
  <si>
    <t>LED00030326</t>
  </si>
  <si>
    <t>Đèn LED Panel 3CCT P04 180x950/30W (TOP H-BR) SS</t>
  </si>
  <si>
    <t>LED00031708</t>
  </si>
  <si>
    <t>Đèn LED Panel P01 180x1280/40W 6500K (KC-PER) SS</t>
  </si>
  <si>
    <t>LED00044542</t>
  </si>
  <si>
    <t>Đèn LED Panel P07 150x1200/28W.DA 4000K (KPK) SS</t>
  </si>
  <si>
    <t>LED00044724</t>
  </si>
  <si>
    <t>Đèn LED đọc phim X-Quang DF01 47x112/35W 6500K</t>
  </si>
  <si>
    <t>LED00046367</t>
  </si>
  <si>
    <t>Đèn LED Panel P06 300x1200/40W 6500K (KPK) SS-CT</t>
  </si>
  <si>
    <t>LED00050094</t>
  </si>
  <si>
    <t>Đèn LED Panel P01 320x640/25W 4000K (KC-PER) SS</t>
  </si>
  <si>
    <t>LED00083648</t>
  </si>
  <si>
    <t>Đèn LED ốp trần LN12N 220x220/18W 3000K</t>
  </si>
  <si>
    <t>LED00083663</t>
  </si>
  <si>
    <t>Đèn LED ốp trần LN12N 170/12W 4000K</t>
  </si>
  <si>
    <t>LED00021454</t>
  </si>
  <si>
    <t>Đèn LED Panel P04 600x1200/80W 6500K (KPK) SS</t>
  </si>
  <si>
    <t>LED00022698</t>
  </si>
  <si>
    <t>Đèn LED Panel P05 600x600/35W.DA 6500K (KPK) SS</t>
  </si>
  <si>
    <t>LED00023248</t>
  </si>
  <si>
    <t>Đèn LED Panel P01 640x640/50W 5700K (KC-TOP-KN) SS</t>
  </si>
  <si>
    <t>LED00023448</t>
  </si>
  <si>
    <t>Đèn LED Panel P07 600x600/35W.DA 6500K (KPK) SS</t>
  </si>
  <si>
    <t>LED00024914</t>
  </si>
  <si>
    <t>Đèn LED Panel P07 300x1200/35W.DA 6500K (KPK) SS</t>
  </si>
  <si>
    <t>LED00032165</t>
  </si>
  <si>
    <t>Đèn LED Panel MQL 1046 2x4 36W 5000K (Yankon)</t>
  </si>
  <si>
    <t>LED00035918</t>
  </si>
  <si>
    <t>Đèn LED Panel P07 600x1200/75W.DA 3000K (KPK) SS</t>
  </si>
  <si>
    <t>LED00043258</t>
  </si>
  <si>
    <t>Đèn LED Panel P05 520x520/40W 5700K (KC-TOP-KN) SS</t>
  </si>
  <si>
    <t>LED00045498</t>
  </si>
  <si>
    <t>Đèn LED Panel P08 600x600/40W 6500K (KPK) SS-CT</t>
  </si>
  <si>
    <t>LED00045877</t>
  </si>
  <si>
    <t>Đèn LED Panel P07 300x300/24W.DA 4000K (KPK) SS</t>
  </si>
  <si>
    <t>LED00048207</t>
  </si>
  <si>
    <t>Đèn LED Panel P07 300x1200/35W.PLUS 6500K (KPK) SS</t>
  </si>
  <si>
    <t>LED00049881</t>
  </si>
  <si>
    <t>Khung đèn panel P06 640x640 Mbar direct (PER)</t>
  </si>
  <si>
    <t>LED00051374</t>
  </si>
  <si>
    <t>Đèn LED Panel P05 300x1200/50W.PLUS 6500K SS</t>
  </si>
  <si>
    <t>LED00051959</t>
  </si>
  <si>
    <t>Đèn LED Panel P06 600x600/40W T-bar 5700K TOP</t>
  </si>
  <si>
    <t>LED00055694</t>
  </si>
  <si>
    <t>Đèn LED Panel P06 T640X640/50W.2 Mbar direct 5700K HP</t>
  </si>
  <si>
    <t>LED00055695</t>
  </si>
  <si>
    <t>Đèn LED Panel P06 T640X640/50W.2 Mbar direct 5700K HB</t>
  </si>
  <si>
    <t>LED00056922</t>
  </si>
  <si>
    <t>Đèn LED Panel P06 320x1280/50W 6500K (Nổi trần)</t>
  </si>
  <si>
    <t>LED00063070</t>
  </si>
  <si>
    <t>Đèn LED Panel P01 315x1215/50W 5700K (KC-TOP) SS</t>
  </si>
  <si>
    <t>LED00068510</t>
  </si>
  <si>
    <t>Đèn LED Panel P08 600x600/50W 6500K (KPK) SS-CT</t>
  </si>
  <si>
    <t>LED00069305</t>
  </si>
  <si>
    <t>Đèn LED Panel P06 M320x1280/40W.2 Mbar 5700K HB (bracket)</t>
  </si>
  <si>
    <t>LED00082230</t>
  </si>
  <si>
    <t>Đèn LED Panel P06 T320x1280/40W.2 Mbar direct 5700K GB KN</t>
  </si>
  <si>
    <t>LED00079826</t>
  </si>
  <si>
    <t>Đèn LED Panel P07 300x1800/50W.PLUS 4000K (KPK)</t>
  </si>
  <si>
    <t>LED00084398</t>
  </si>
  <si>
    <t>Tán xạ MQL 1064 1x4 PC SKD (CURRENT) TP</t>
  </si>
  <si>
    <t>00000010</t>
  </si>
  <si>
    <t>Đèn LED Gắn tường GT07 5W.DA 3000K</t>
  </si>
  <si>
    <t>00000015</t>
  </si>
  <si>
    <t>Đèn LED Gắn tường GT06 CD/5W 5000K</t>
  </si>
  <si>
    <t>00000019</t>
  </si>
  <si>
    <t>Đèn LED âm trần D700 DAT 01L 600/50W-4000K</t>
  </si>
  <si>
    <t>LED00038544</t>
  </si>
  <si>
    <t>Đèn LED Gắn tường GT12/5W.DA 3000K</t>
  </si>
  <si>
    <t>LED00040066</t>
  </si>
  <si>
    <t>Đèn LED ốp tường đổi màu LN18 83x60/6W (đen) SS</t>
  </si>
  <si>
    <t>LED00005126</t>
  </si>
  <si>
    <t>Bóng LED Tube T8 600/12W 6500K (ĐX) SS</t>
  </si>
  <si>
    <t>LED00005129</t>
  </si>
  <si>
    <t>Bóng LED Tube T8 1200/18W 6500K ĐX (Looksy)</t>
  </si>
  <si>
    <t>LED00014772</t>
  </si>
  <si>
    <t>Bóng đèn LED Tube T5 600/8W.DA 6500K (CRI 80)</t>
  </si>
  <si>
    <t>LED00033583</t>
  </si>
  <si>
    <t>Bóng LED Tube 1200/14W 6500K</t>
  </si>
  <si>
    <t>LED00035191</t>
  </si>
  <si>
    <t>Bóng LED Tube T8 1200/16W.DA 5000K SS</t>
  </si>
  <si>
    <t>LED00040026</t>
  </si>
  <si>
    <t>Bóng LED Tube T8 600/10W 6500K (MM) SS</t>
  </si>
  <si>
    <t>LED00045037</t>
  </si>
  <si>
    <t>Bóng LED Tube T8 1200/36W.DA 6500K SS</t>
  </si>
  <si>
    <t>LED00045450</t>
  </si>
  <si>
    <t>Bóng LED Tube T8 1200/20W 6500K LPF SS-CT</t>
  </si>
  <si>
    <t>LED00049992</t>
  </si>
  <si>
    <t>Bóng LED Tube T8 N01 1200/22W (DC, XK) 5700K</t>
  </si>
  <si>
    <t>LED00051389</t>
  </si>
  <si>
    <t>Bóng LED Tube T8 TT01 600/10W 6500K-TC</t>
  </si>
  <si>
    <t>Máng đèn</t>
  </si>
  <si>
    <t>00000247</t>
  </si>
  <si>
    <t>Máng đèn FS-20/18x1-M8-ko nắp(lắp Led Tube)</t>
  </si>
  <si>
    <t>LED00005539</t>
  </si>
  <si>
    <t>Máng HQ âmtrầnFS20/18x3-M6-balát đ/tử</t>
  </si>
  <si>
    <t>LED00005543</t>
  </si>
  <si>
    <t>Máng HQ âmtrầnFS20/18x2-M6-balát đ/tử</t>
  </si>
  <si>
    <t>LED00005550</t>
  </si>
  <si>
    <t>Máng đèn HQ FS-40/36x1-M8 ko nắp,balát đ/tử</t>
  </si>
  <si>
    <t>LED00005564</t>
  </si>
  <si>
    <t>Máng đèn HQ-FS-40/36x2-M8 ko nắp,ko balát</t>
  </si>
  <si>
    <t>LED00005568</t>
  </si>
  <si>
    <t>Mángđèn s/mỏng20/18x1-M9 cóblát s/từ</t>
  </si>
  <si>
    <t>Nhóm SP Smart</t>
  </si>
  <si>
    <t>LED00015683</t>
  </si>
  <si>
    <t>Đèn LED Panel dự phòng PT03.DP 135/9W 6500K</t>
  </si>
  <si>
    <t>LED00016158</t>
  </si>
  <si>
    <t>Bộ đèn LED cảm biến M16.RAD 1200/36W 6500K SS</t>
  </si>
  <si>
    <t>LED00041784</t>
  </si>
  <si>
    <t>Đèn LED Downlight AT04 110/9W 4000K</t>
  </si>
  <si>
    <t>LED00042090</t>
  </si>
  <si>
    <t>Đèn LED Downlight AT05 155/10.1W 5700K (XK) SS</t>
  </si>
  <si>
    <t>LED00042293</t>
  </si>
  <si>
    <t>Đèn LED Downlight AT06.V2 110/9W 6500K</t>
  </si>
  <si>
    <t>LED00045423</t>
  </si>
  <si>
    <t>Đèn LED Downlight AT06.V2 90/7W 6500K-CT</t>
  </si>
  <si>
    <t>LED00045430</t>
  </si>
  <si>
    <t>Đèn LED Downlight đổi màu AT10 110/9W (G)-CT</t>
  </si>
  <si>
    <t>LED00046332</t>
  </si>
  <si>
    <t>Đèn LED Downlight AT04 90/7W 3000K-CT</t>
  </si>
  <si>
    <t>LED00046365</t>
  </si>
  <si>
    <t>Đèn LED Panel đổi màu PT05 135/9W (G)-CT</t>
  </si>
  <si>
    <t>LED00046409</t>
  </si>
  <si>
    <t>Đèn LED Downlight AT04 155/16W.DA 6500K</t>
  </si>
  <si>
    <t>LED00047771</t>
  </si>
  <si>
    <t>Đèn LED Panel PT04.V2 90/7W 4000K</t>
  </si>
  <si>
    <t>LED00048019</t>
  </si>
  <si>
    <t>Đèn LED Downlight đổi màu AT20 90/10W.QT</t>
  </si>
  <si>
    <t>LED00048653</t>
  </si>
  <si>
    <t>Đèn LED Downlight AT05 155/15W 4000K (XK)</t>
  </si>
  <si>
    <t>LED00049227</t>
  </si>
  <si>
    <t>Đèn LED Downlight đổi màu AT10 110/12W (G)-TC</t>
  </si>
  <si>
    <t>LED00052929</t>
  </si>
  <si>
    <t>Đèn LED Downlight nổi trần NT01 90/10W 4000K (trắng)</t>
  </si>
  <si>
    <t>LED00055326</t>
  </si>
  <si>
    <t>Đèn LED Panel PT04.V2 135/9W 4000K-CT</t>
  </si>
  <si>
    <t>LED00055342</t>
  </si>
  <si>
    <t>Đèn LED Downlight đổi màu AT10 90/9W-CT</t>
  </si>
  <si>
    <t>LED00056195</t>
  </si>
  <si>
    <t>Đèn LED Panel PT06 160/12W 6500K</t>
  </si>
  <si>
    <t>LED00056218</t>
  </si>
  <si>
    <t>Đèn LED Panel PT05 135/9W 6500K (G)-CT</t>
  </si>
  <si>
    <t>LED00056238</t>
  </si>
  <si>
    <t>Đèn LED Downlight AT10 110/9W 6500K-CT</t>
  </si>
  <si>
    <t>LED00056240</t>
  </si>
  <si>
    <t>Đèn LED Downlight AT06.V2 90/5W 6500K-CT</t>
  </si>
  <si>
    <t>LED00056466</t>
  </si>
  <si>
    <t>Đèn LED Downlight AT30 155/20W 6500K</t>
  </si>
  <si>
    <t>LED00057236</t>
  </si>
  <si>
    <t>Đèn LED Downlight AT05 200/30W 5700K (XK)</t>
  </si>
  <si>
    <t>LED00057757</t>
  </si>
  <si>
    <t>Đèn LED Downlight đổi màu MQTL1173 20W (Yankon)</t>
  </si>
  <si>
    <t>LED00059359</t>
  </si>
  <si>
    <t>Đèn LED Downlight MQTL1128 9.5inch (Yankon)</t>
  </si>
  <si>
    <t>LED00074352</t>
  </si>
  <si>
    <t>Đèn LED ốp trần đổi màu LN30N 220/18W</t>
  </si>
  <si>
    <t>LED00078982</t>
  </si>
  <si>
    <t>Đèn LED ốp trần đổi màu LN29N 220/18W (B)</t>
  </si>
  <si>
    <t>LED00079374</t>
  </si>
  <si>
    <t>Đèn LED ốp trần LN29N 220/18W 4000K (B)</t>
  </si>
  <si>
    <t>LED00083644</t>
  </si>
  <si>
    <t>Đèn LED ốp trần LN12N 170x170/12W 6500K</t>
  </si>
  <si>
    <t>LED00083647</t>
  </si>
  <si>
    <t>Đèn LED ốp trần đổi màu LN12N 220/18W</t>
  </si>
  <si>
    <t>LED00083669</t>
  </si>
  <si>
    <t>Đèn LED ốp trần đổi màu LN12 170x170/15W</t>
  </si>
  <si>
    <t>LED00005419</t>
  </si>
  <si>
    <t>Đèn LED Panel P01 150x1200/28W 3500K</t>
  </si>
  <si>
    <t>LED00005431</t>
  </si>
  <si>
    <t>Đèn LED Panel P01 300x1200/48W.DA 6500K (KPK) SS</t>
  </si>
  <si>
    <t>LED00016743</t>
  </si>
  <si>
    <t>Bộ đèn LED M15 600x1200/70W.DA 6500K SS</t>
  </si>
  <si>
    <t>LED00018077</t>
  </si>
  <si>
    <t>Đèn LED Panel P01 600x600/50W 3000K KPK</t>
  </si>
  <si>
    <t>LED00018484</t>
  </si>
  <si>
    <t>Bộ đèn LED M15 300x1200/35W 6500K SS</t>
  </si>
  <si>
    <t>LED00019040</t>
  </si>
  <si>
    <t>Đèn LED Panel P01 300x600/28W 6500K KPK</t>
  </si>
  <si>
    <t>LED00020806</t>
  </si>
  <si>
    <t>Đèn LED Panel P01 320x1280/50W 5700K (KC-PER) SS</t>
  </si>
  <si>
    <t>LED00030016</t>
  </si>
  <si>
    <t>Đèn LED Panel P07 600x1200/96W.DA 6500K (KPK) SS</t>
  </si>
  <si>
    <t>LED00036753</t>
  </si>
  <si>
    <t>Đèn LED Panel P07 600x1200/48W.DA 6500K (KPK) SS</t>
  </si>
  <si>
    <t>LED00040934</t>
  </si>
  <si>
    <t>Đèn LED Panel P07 150x1200/28W.DA 3000K (KPK) SS</t>
  </si>
  <si>
    <t>LED00043283</t>
  </si>
  <si>
    <t>Đèn LED Panel P07 600x1200/80W.DA 4000K (KPK) SS</t>
  </si>
  <si>
    <t>LED00044107</t>
  </si>
  <si>
    <t>Đèn LED Panel P07 600x600/35W.DA 3000K (KPK) SS</t>
  </si>
  <si>
    <t>LED00045039</t>
  </si>
  <si>
    <t>Đèn LED Panel P07 600x600/54W.DA 6500K (KPK) SS</t>
  </si>
  <si>
    <t>LED00045318</t>
  </si>
  <si>
    <t>Đèn LED Panel P06 320x1280/40W T-bar 4000K KN-PER</t>
  </si>
  <si>
    <t>LED00046939</t>
  </si>
  <si>
    <t>Đèn LED Panel P01 320x1280/50W.V2 5700K (KC-PER) SS</t>
  </si>
  <si>
    <t>LED00047451</t>
  </si>
  <si>
    <t>Đèn LED Panel P05 600x600/54W.DA 5000K (KPK) SS</t>
  </si>
  <si>
    <t>LED00050833</t>
  </si>
  <si>
    <t>Bộ đèn LED M15 600x600/36W 6500K SS-CT</t>
  </si>
  <si>
    <t>LED00081225</t>
  </si>
  <si>
    <t>Đèn LED Downlight đổi màu AT10 90/10W (G)-CT</t>
  </si>
  <si>
    <t>LED00081227</t>
  </si>
  <si>
    <t>Đèn LED Downlight đổi màu AT10 90/8W-CT</t>
  </si>
  <si>
    <t>LED00081675</t>
  </si>
  <si>
    <t>Đèn LED Panel PT05 135/10W 6500K</t>
  </si>
  <si>
    <t>LED00083688</t>
  </si>
  <si>
    <t>Đèn LED Downlight AT60 110/10W 6500K</t>
  </si>
  <si>
    <t>LED00083692</t>
  </si>
  <si>
    <t>Đèn LED Downlight đổi màu AT60 90/10W</t>
  </si>
  <si>
    <t>LED00083693</t>
  </si>
  <si>
    <t>Đèn LED Downlight đổi màu AT60 90/8W</t>
  </si>
  <si>
    <t>LED00005321</t>
  </si>
  <si>
    <t>Đèn LED ốp trần LN09 172/12W 6500K (Black) SS</t>
  </si>
  <si>
    <t>LED00005350</t>
  </si>
  <si>
    <t>Đèn LED ốp trần LN03 320/18W 3000K SS</t>
  </si>
  <si>
    <t>LED00011856</t>
  </si>
  <si>
    <t>Đèn LED ốp trần LN09 225/18W 3000K SS</t>
  </si>
  <si>
    <t>LED00012844</t>
  </si>
  <si>
    <t>Đèn LED ốp trần LN09 300/24W 3000K SS</t>
  </si>
  <si>
    <t>LED00020810</t>
  </si>
  <si>
    <t>Đèn LED ốp trần LN09 225/18W.DA 6500K SS</t>
  </si>
  <si>
    <t>LED00021457</t>
  </si>
  <si>
    <t>Đèn LED ốp trần LN08 230x230/18W.DA 6500K</t>
  </si>
  <si>
    <t>LED00034144</t>
  </si>
  <si>
    <t>Đèn LED ốp trần LN08 170x170/12W 6500K (Hayne) SS</t>
  </si>
  <si>
    <t>LED00034257</t>
  </si>
  <si>
    <t>Đèn LED Ốp trần MXL 1084 32W  (Yankon)</t>
  </si>
  <si>
    <t>LED00035955</t>
  </si>
  <si>
    <t>Đèn LED ốp trần LN12 170/15W 6500K SS</t>
  </si>
  <si>
    <t>LED00035988</t>
  </si>
  <si>
    <t>Đèn LED ốp trần LN12N 220x220/18W 6500K SS</t>
  </si>
  <si>
    <t>LED00035990</t>
  </si>
  <si>
    <t>Đèn LED ốp trần đổi màu LN12N 220x220/18W SS</t>
  </si>
  <si>
    <t>LED00037189</t>
  </si>
  <si>
    <t>Đèn LED ốp trần LN16 540x540/40W 6500K</t>
  </si>
  <si>
    <t>LED00046354</t>
  </si>
  <si>
    <t>Đèn LED ốp trần LN12N 220/18W 6500K SS-CT</t>
  </si>
  <si>
    <t>LED00046356</t>
  </si>
  <si>
    <t>Đèn LED ốp trần LN12N 300/24W 6500K SS-CT</t>
  </si>
  <si>
    <t>LED00051078</t>
  </si>
  <si>
    <t>Đèn LED ốp trần LN12N 170/12W 6500K-CTT</t>
  </si>
  <si>
    <t>LED00051398</t>
  </si>
  <si>
    <t>Đèn LED ốp trần LN08 300x300/24W 6500K-TC</t>
  </si>
  <si>
    <t>LED00051405</t>
  </si>
  <si>
    <t>Đèn LED ốp trần LN12 170x170/15W 6500K-TC</t>
  </si>
  <si>
    <t>LED00066964</t>
  </si>
  <si>
    <t>Đèn LED ốp trần LN08 300x300/30W 3000K</t>
  </si>
  <si>
    <t>LED00061214</t>
  </si>
  <si>
    <t>Đèn LED Downlight AT33 115/25W 4000K</t>
  </si>
  <si>
    <t>LED00061668</t>
  </si>
  <si>
    <t>Đèn LED Downlight MQTL1128 8inch (Yankon)-CT</t>
  </si>
  <si>
    <t>LED00061941</t>
  </si>
  <si>
    <t>Đèn LED Downlight AT28 90/10W 6500K</t>
  </si>
  <si>
    <t>LED00072796</t>
  </si>
  <si>
    <t>Đèn LED Downlight MQTL1238-6inch_10W/18W/23W (Yankon)</t>
  </si>
  <si>
    <t>LED00075915</t>
  </si>
  <si>
    <t>Đèn LED Downlight đổi màu AT56 90/8W</t>
  </si>
  <si>
    <t>LED00076200</t>
  </si>
  <si>
    <t>Đèn LED Downlight đổi màu AT46 90/8W</t>
  </si>
  <si>
    <t>LED00077079</t>
  </si>
  <si>
    <t>Đèn LED Downlight AT04 90/8W 3000K</t>
  </si>
  <si>
    <t>LED00077082</t>
  </si>
  <si>
    <t>Đèn LED Downlight AT10 90/8W 4000K</t>
  </si>
  <si>
    <t>LED00077485</t>
  </si>
  <si>
    <t>Đèn LED Downlight đổi màu AT10 90/8W (G)</t>
  </si>
  <si>
    <t>LED00078642</t>
  </si>
  <si>
    <t>Đèn LED Downlight AT56 110/10W 6500K (G)</t>
  </si>
  <si>
    <t>LED00080874</t>
  </si>
  <si>
    <t>Đèn LED Panel PT04.V2 90/8W 6500K</t>
  </si>
  <si>
    <t>LED00080875</t>
  </si>
  <si>
    <t>Đèn LED Panel PT04.V2 110/8W 6500K</t>
  </si>
  <si>
    <t>LED00081239</t>
  </si>
  <si>
    <t>Đèn LED Panel PT04.V2 110/10W 6500K</t>
  </si>
  <si>
    <t>LED00081273</t>
  </si>
  <si>
    <t>Đèn LED Panel đổi màu PT05 135/10W (G)</t>
  </si>
  <si>
    <t>LED00083375</t>
  </si>
  <si>
    <t>Đèn LED Downlight AT05 155/20W.PLUS 6500K</t>
  </si>
  <si>
    <t>LED00083967</t>
  </si>
  <si>
    <t>Đèn LED panel P59 5inch/8W 5CCT (YOURZOR)</t>
  </si>
  <si>
    <t>LED00012391</t>
  </si>
  <si>
    <t>Đèn LED ốp trần LN09 300/24W 6500K (black) SS</t>
  </si>
  <si>
    <t>LED00025794</t>
  </si>
  <si>
    <t>Đèn LED ốp trần LN03 270/14W 4000K SS</t>
  </si>
  <si>
    <t>LED00034041</t>
  </si>
  <si>
    <t>Đèn LED ốp trần LN08 230x230/18W 6500K (Hayne) SS</t>
  </si>
  <si>
    <t>LED00037977</t>
  </si>
  <si>
    <t>Đèn LED ốp trần LN.CB03 260/12W 6500K SS</t>
  </si>
  <si>
    <t>LED00038025</t>
  </si>
  <si>
    <t>Đèn LED ốp trần LN16 480/60W SS</t>
  </si>
  <si>
    <t>LED00049708</t>
  </si>
  <si>
    <t>Đèn LED ốp trần LN12N 170x170/12W 3000K SS</t>
  </si>
  <si>
    <t>LED00056749</t>
  </si>
  <si>
    <t>Driver OT LN08-09.V2 24W TC trùng tên</t>
  </si>
  <si>
    <t>LED00048179</t>
  </si>
  <si>
    <t>Đèn LED Panel P06 640x320/25W M-bar Direct 5700K TOP</t>
  </si>
  <si>
    <t>LED00049395</t>
  </si>
  <si>
    <t>Đèn LED Panel P06 320x1280/40W M-bar 5700K KN-PER</t>
  </si>
  <si>
    <t>LED00050386</t>
  </si>
  <si>
    <t>Đèn LED Panel P06 917x667/50W T-Bar 4000K KC-BPC</t>
  </si>
  <si>
    <t>LED00050823</t>
  </si>
  <si>
    <t>Đèn LED Panel P07 300x1200/35W.UGR.PLUS 6500K (KPK) SS</t>
  </si>
  <si>
    <t>LED00050884</t>
  </si>
  <si>
    <t>Đèn LED Panel P01 320x640/25W 5700K (KC-PER) SS-CT</t>
  </si>
  <si>
    <t>LED00050885</t>
  </si>
  <si>
    <t>Đèn LED Panel P01 640x640/50W 4000K (KC-PER) SS-CT</t>
  </si>
  <si>
    <t>LED00052785</t>
  </si>
  <si>
    <t>Đèn LED Panel P06 640x320/25W M-bar Direct 4000K TOP</t>
  </si>
  <si>
    <t>LED00053114</t>
  </si>
  <si>
    <t>Đèn LED Panel đổi màu P10 300x300/25W (KC-TOP) SS</t>
  </si>
  <si>
    <t>LED00056429</t>
  </si>
  <si>
    <t>Đèn LED Panel P06 T320x1280/40W.2 Mbar direct 5700K GB</t>
  </si>
  <si>
    <t>LED00063362</t>
  </si>
  <si>
    <t>Đèn LED Panel P07 600x600/40W.UGR.PLUS 4000K (KPK) SS</t>
  </si>
  <si>
    <t>LED00067771</t>
  </si>
  <si>
    <t>Đèn LED Panel P07 600x600/46W.PLUS 6500K (KPK)</t>
  </si>
  <si>
    <t>LED00069388</t>
  </si>
  <si>
    <t>Đèn LED Panel P06 M320x1280/50W.2 Mbar 4000K HB (bracket)</t>
  </si>
  <si>
    <t>LED00070309</t>
  </si>
  <si>
    <t>Đèn LED Panel P06 640x640/50W trắng S (Nổi trần)</t>
  </si>
  <si>
    <t>LED00070577</t>
  </si>
  <si>
    <t>Đèn LED Panel P08 600x1200/100W 6500K (KPK)</t>
  </si>
  <si>
    <t>LED00071068</t>
  </si>
  <si>
    <t>Đèn LED Panel P07 300x1800/48W.PLUS 3000K (KPK)</t>
  </si>
  <si>
    <t>LED00073997</t>
  </si>
  <si>
    <t>Đèn LED Panel P07 300x1800/50W.PLUS 4000K (KPK) SS</t>
  </si>
  <si>
    <t>LED00077490</t>
  </si>
  <si>
    <t>Đèn LED Panel P01 320x1280/50W.2 5700K (KC-TOP) SS</t>
  </si>
  <si>
    <t>LED00081204</t>
  </si>
  <si>
    <t>Đèn LED Panel P08 600x1200/100W 6500K (KPK)-CT</t>
  </si>
  <si>
    <t>LED00084344</t>
  </si>
  <si>
    <t>Bộ chiếu sáng MQL 1064 2x4 CBT 90C30K SKD (Current)</t>
  </si>
  <si>
    <t>LED00084353</t>
  </si>
  <si>
    <t>Bộ chiếu sáng MQL 1064 2x4 CBT 90C50K SKD (Current)</t>
  </si>
  <si>
    <t>LED00084399</t>
  </si>
  <si>
    <t>Tán xạ MQL 1064 2x2 PC SKD (CURRENT) TP</t>
  </si>
  <si>
    <t>00000006</t>
  </si>
  <si>
    <t>Đèn LED Gắn tường  GT05 T/5W 5000K</t>
  </si>
  <si>
    <t>LED00005306</t>
  </si>
  <si>
    <t>Đèn Led Downlight DAT01 XG 95/9W-6500K</t>
  </si>
  <si>
    <t>LED00005424</t>
  </si>
  <si>
    <t>Đèn LED Panel PN04 110x110/9W 6500K SS</t>
  </si>
  <si>
    <t>LED00005473</t>
  </si>
  <si>
    <t>Đèn LED Panel PT03 160/12W 6500K (Hayne)</t>
  </si>
  <si>
    <t>LED00005886</t>
  </si>
  <si>
    <t>Đèn LED Downlight AT04 155/25W 6500K SS</t>
  </si>
  <si>
    <t>LED00011957</t>
  </si>
  <si>
    <t>Đèn LED Downlight AT04 155/16W 3000K SS</t>
  </si>
  <si>
    <t>LED00012350</t>
  </si>
  <si>
    <t>Đèn LED Downlight AT05 90/7W 6500K SS</t>
  </si>
  <si>
    <t>LED00012972</t>
  </si>
  <si>
    <t>Đèn LED Downlight AT05 110/7W 6500K SS</t>
  </si>
  <si>
    <t>LED00013101</t>
  </si>
  <si>
    <t>Đèn Led Downlight AT05 90/7W 3000K SS</t>
  </si>
  <si>
    <t>LED00014320</t>
  </si>
  <si>
    <t>Đèn Led Downlight AT03 90/7W 3000K</t>
  </si>
  <si>
    <t>LED00017289</t>
  </si>
  <si>
    <t>Đèn LED Downlight AT06 76/3W 6500K SS</t>
  </si>
  <si>
    <t>LED00017612</t>
  </si>
  <si>
    <t>Đèn LED Downlight AT02XG 76/4.5W.DA 4000K</t>
  </si>
  <si>
    <t>LED00018701</t>
  </si>
  <si>
    <t>Đèn LED Downlight AT11 90/7W 6500K SS</t>
  </si>
  <si>
    <t>LED00023963</t>
  </si>
  <si>
    <t>Đèn LED Downlight đổi màu AT16 110/9W.DA SS</t>
  </si>
  <si>
    <t>LED00029434</t>
  </si>
  <si>
    <t>Đèn LED Downlight AT04 200/15W 5000K SS</t>
  </si>
  <si>
    <t>LED00029930</t>
  </si>
  <si>
    <t>Đèn LED Downlight AT01 155/20W 5700K (XK)</t>
  </si>
  <si>
    <t>LED00030343</t>
  </si>
  <si>
    <t>Đèn LED Panel đổi màu PT05 135/12W</t>
  </si>
  <si>
    <t>LED00030562</t>
  </si>
  <si>
    <t>Đèn LED Downlight MQTL1081 8inch 18W CCT (Yankon)</t>
  </si>
  <si>
    <t>LED00032247</t>
  </si>
  <si>
    <t>Đèn LED Panel đổi màu PT05 135/9W</t>
  </si>
  <si>
    <t>LED00035220</t>
  </si>
  <si>
    <t>Đèn LED Downlight AT01 200/30W 5700K (XK)</t>
  </si>
  <si>
    <t>LED00038478</t>
  </si>
  <si>
    <t>Đèn LED Downlight AT04 155/25W.DA 5000K SS</t>
  </si>
  <si>
    <t>LED00041877</t>
  </si>
  <si>
    <t>Đèn LED Downlight AT04 155/16W 4000K</t>
  </si>
  <si>
    <t>LED00042239</t>
  </si>
  <si>
    <t>Đèn LED Downlight AT06.V2 90/7W 6500K</t>
  </si>
  <si>
    <t>LED00042308</t>
  </si>
  <si>
    <t>Đèn LED Panel PT04.V2 110/7W 6500K</t>
  </si>
  <si>
    <t>LED00057385</t>
  </si>
  <si>
    <t>Đèn LED ốp trần LN26 300/25W 6500K</t>
  </si>
  <si>
    <t>LED00060872</t>
  </si>
  <si>
    <t>Driver OT LN08 15W HC</t>
  </si>
  <si>
    <t>LED00073140</t>
  </si>
  <si>
    <t>Đèn LED ốp trần LN12N.PIR.KC 240/20W 5700K (XK)</t>
  </si>
  <si>
    <t>LED00074052</t>
  </si>
  <si>
    <t>Đèn LED ốp trần LN29N 300x300/24W 6500K</t>
  </si>
  <si>
    <t>LED00074056</t>
  </si>
  <si>
    <t>Đèn LED ốp trần đổi màu LN29N 300x300/24W</t>
  </si>
  <si>
    <t>LED00079795</t>
  </si>
  <si>
    <t>Đèn LED ốp trần F-1L005/22W 3000K (12inch)</t>
  </si>
  <si>
    <t>LED00081229</t>
  </si>
  <si>
    <t>Đèn LED ốp trần đổi màu LN12N 300/24W SS-CT</t>
  </si>
  <si>
    <t>LED00005408</t>
  </si>
  <si>
    <t>Đèn LED Panel PN03 120x120/8W 6500K SS</t>
  </si>
  <si>
    <t>LED00005410</t>
  </si>
  <si>
    <t>Đèn LED Panel PN03 160x160/12W 6500K SS</t>
  </si>
  <si>
    <t>LED00005414</t>
  </si>
  <si>
    <t>Đèn LED Panel P01 300x300/14W 6500K</t>
  </si>
  <si>
    <t>LED00005428</t>
  </si>
  <si>
    <t>Đèn LED Panel P02 600x600/36W 6500K</t>
  </si>
  <si>
    <t>LED00005479</t>
  </si>
  <si>
    <t>Bộ đèn LED M15 600x600/36W 3500K</t>
  </si>
  <si>
    <t>LED00016207</t>
  </si>
  <si>
    <t>Đèn LED Panel P01 150x1200/28W 6500K (KPK) SS</t>
  </si>
  <si>
    <t>LED00016251</t>
  </si>
  <si>
    <t>Đèn LED Panel P01 600x1200/75W 6500K KPK</t>
  </si>
  <si>
    <t>LED00019010</t>
  </si>
  <si>
    <t>Đèn LED Panel P02 600x600/48W.DA 6500K KPK</t>
  </si>
  <si>
    <t>LED00022621</t>
  </si>
  <si>
    <t>Đèn LED Panel P08 600x600/40W 6500K (KPK) SS</t>
  </si>
  <si>
    <t>LED00029399</t>
  </si>
  <si>
    <t>Đèn LED Panel P01 220x750/25W 5700K (KC-LG-KN) SS</t>
  </si>
  <si>
    <t>LED00029910</t>
  </si>
  <si>
    <t>Đèn LED Panel đổi màu 320x640/25W (TOP-E) SS</t>
  </si>
  <si>
    <t>LED00031707</t>
  </si>
  <si>
    <t>Đèn LED Panel P01 320x640/25W 6500K (KC-PER-KN) SS</t>
  </si>
  <si>
    <t>LED00040307</t>
  </si>
  <si>
    <t>Đèn LED Panel P01 640x640/40W 5700K (KC-TOP) SS</t>
  </si>
  <si>
    <t>LED00041228</t>
  </si>
  <si>
    <t>Đèn LED Panel P10 603x603-50W-5700K-KC</t>
  </si>
  <si>
    <t>LED00043442</t>
  </si>
  <si>
    <t>Đèn LED Panel P06 600x600/40W 6500K (IP54-KPK) SS</t>
  </si>
  <si>
    <t>LED00044732</t>
  </si>
  <si>
    <t>Đèn LED Panel P06 320x1280/40W T-bar 5700K KN-PER</t>
  </si>
  <si>
    <t>LED00046608</t>
  </si>
  <si>
    <t>Đèn LED Panel P01 320x1280/50W.H 5700K (KC-TOP-KN) SS</t>
  </si>
  <si>
    <t>LED00061625</t>
  </si>
  <si>
    <t>Đèn LED chiếu sáng đường NLMT CSD08.SL.HB 120W.CT 5000K</t>
  </si>
  <si>
    <t>LED00062911</t>
  </si>
  <si>
    <t>Đèn LED Highbay HB03 290/85W.PLUS 6500K SS</t>
  </si>
  <si>
    <t>LED00065174</t>
  </si>
  <si>
    <t>Đèn LED Chiếu pha CP10 70W 3000K SS</t>
  </si>
  <si>
    <t>LED00065349</t>
  </si>
  <si>
    <t>Đèn LED chiếu pha CPT05 12W.APG 3000K (IP66, 24V)</t>
  </si>
  <si>
    <t>LED00065444</t>
  </si>
  <si>
    <t>Đèn LED chiếu pha Floody ECO CP11 100W 4000K (XK)</t>
  </si>
  <si>
    <t>LED00067361</t>
  </si>
  <si>
    <t>Đèn LED chiếu sáng đường CSD10 150W 5000K</t>
  </si>
  <si>
    <t>LED00071397</t>
  </si>
  <si>
    <t>Đèn LED chiếu sáng đường CSD10 150W 4000K</t>
  </si>
  <si>
    <t>LED00072238</t>
  </si>
  <si>
    <t>Đèn LED chiếu sáng đường NLMT CSD05.SL.RF 200W.V2 6500K</t>
  </si>
  <si>
    <t>LED00072365</t>
  </si>
  <si>
    <t>Đèn LED chiếu sáng đường NLMT CSD08.SL 80W.QN</t>
  </si>
  <si>
    <t>LED00075365</t>
  </si>
  <si>
    <t>Đèn LED HighBay HB05 300/200W DC 5700K -Không cách ly</t>
  </si>
  <si>
    <t>LED00076206</t>
  </si>
  <si>
    <t>Đèn LED HighBay HB03 350/150W.PLUS 5000K</t>
  </si>
  <si>
    <t>LED00079083</t>
  </si>
  <si>
    <t>Đèn LED chiếu sáng đường NLMT CSD08.SL 70W.ĐA 4000K</t>
  </si>
  <si>
    <t>LED00079605</t>
  </si>
  <si>
    <t>Đèn LED Chiếu pha CP12 20W 6500K</t>
  </si>
  <si>
    <t>LED00079671</t>
  </si>
  <si>
    <t>Đèn LED High Bay HB03 280/101W AC KH 5700K</t>
  </si>
  <si>
    <t>LED00080231</t>
  </si>
  <si>
    <t>Đèn LED High Bay HB06 300/200W 4000K MKV (XK)</t>
  </si>
  <si>
    <t>LED00080232</t>
  </si>
  <si>
    <t>Đèn LED High Bay HB06 300/150W 4000K MKV (XK)</t>
  </si>
  <si>
    <t>LED00082919</t>
  </si>
  <si>
    <t>Tấm Solar Monocrystalline CP03.SL.RAD 100W.V2 (TP)</t>
  </si>
  <si>
    <t>LED00001260</t>
  </si>
  <si>
    <t>Đèn LED Downlight đổi màu AT08 90/7W SS</t>
  </si>
  <si>
    <t>LED00005255</t>
  </si>
  <si>
    <t>Đèn Led Downlight AT03 120/10W 3000K</t>
  </si>
  <si>
    <t>LED00005264</t>
  </si>
  <si>
    <t>Đèn Led Downlight AT03 110/7W 3500K</t>
  </si>
  <si>
    <t>LED00005296</t>
  </si>
  <si>
    <t>Đèn LED Downlight AT04 110/9W 3000K SS</t>
  </si>
  <si>
    <t>LED00005450</t>
  </si>
  <si>
    <t>Đèn LED Panel PT01 140/5W 3000K</t>
  </si>
  <si>
    <t>LED00005452</t>
  </si>
  <si>
    <t>Đèn LED Panel PT01 140/5W 6000K</t>
  </si>
  <si>
    <t>LED00074347</t>
  </si>
  <si>
    <t>Đèn LED ốp trần LN30N 220/18W 6500K</t>
  </si>
  <si>
    <t>LED00078041</t>
  </si>
  <si>
    <t>Đèn LED ốp trần đổi màu LN30N 300x300/24W</t>
  </si>
  <si>
    <t>LED00080435</t>
  </si>
  <si>
    <t>Đèn LED ốp trần LN09 220/18W.GOV.V2 6500K</t>
  </si>
  <si>
    <t>LED00083560</t>
  </si>
  <si>
    <t>Đèn LED ốp trần LN09 300/30W.PLUS 6500K</t>
  </si>
  <si>
    <t>LED00083655</t>
  </si>
  <si>
    <t>Đèn LED ốp trần đổi màu LN12N 300/24W</t>
  </si>
  <si>
    <t>LED00083656</t>
  </si>
  <si>
    <t>Đèn LED ốp trần LN12N 300x300/24W 3000K</t>
  </si>
  <si>
    <t>LED00083659</t>
  </si>
  <si>
    <t>Đèn LED ốp trần đổi màu LN12N 300x300/24W</t>
  </si>
  <si>
    <t>LED00083670</t>
  </si>
  <si>
    <t>Đèn LED ốp trần LN12 220/22W 6500K</t>
  </si>
  <si>
    <t>LED00084474</t>
  </si>
  <si>
    <t>Đèn LED ốp trần LN12 170/15W 3000K</t>
  </si>
  <si>
    <t>LED00005429</t>
  </si>
  <si>
    <t>Đèn LED Panel P02 300x1200/36W 3000K KPK</t>
  </si>
  <si>
    <t>LED00005439</t>
  </si>
  <si>
    <t>Đèn LED Panel P01 600x600/50W 5000K</t>
  </si>
  <si>
    <t>LED00005443</t>
  </si>
  <si>
    <t>Đèn LED Panel P01 MT 600x1200/75W 6500K</t>
  </si>
  <si>
    <t>LED00005478</t>
  </si>
  <si>
    <t>Bộ đèn LED M15 600x600/36W 3000K SS</t>
  </si>
  <si>
    <t>LED00017307</t>
  </si>
  <si>
    <t>Đèn LED Panel P02 TTR01 600x600 36W 6500K SS</t>
  </si>
  <si>
    <t>LED00017852</t>
  </si>
  <si>
    <t>Đèn LED Panel P02 600x600/35W.DA 3000K (KPK) SS</t>
  </si>
  <si>
    <t>LED00017854</t>
  </si>
  <si>
    <t>Đèn LED Panel P02 300x1200/36W 6500K</t>
  </si>
  <si>
    <t>LED00029905</t>
  </si>
  <si>
    <t>Đèn LED Panel đổi màu P01 180x1280/40W (TOP-E) SS</t>
  </si>
  <si>
    <t>LED00030348</t>
  </si>
  <si>
    <t>Đèn LED Panel P04 180x640/25W 4000K (TOP H-BR) SS</t>
  </si>
  <si>
    <t>LED00030709</t>
  </si>
  <si>
    <t>Đèn LED Panel P01 600x600/48W.DA 4000K (KPK) SS</t>
  </si>
  <si>
    <t>LED00031214</t>
  </si>
  <si>
    <t>Đèn LED Panel P07 300x600/28W.DA 6500K (KPK) SS</t>
  </si>
  <si>
    <t>LED00036660</t>
  </si>
  <si>
    <t>Đèn LED Panel P05 320x1280/50W.DA 5700K SS</t>
  </si>
  <si>
    <t>LED00036932</t>
  </si>
  <si>
    <t>Đèn LED Panel P06 600x600/40W 3000K (KPK)</t>
  </si>
  <si>
    <t>LED00037306</t>
  </si>
  <si>
    <t>Đèn LED Panel P08 600x600/40W 5700K (KPK) SS</t>
  </si>
  <si>
    <t>LED00037317</t>
  </si>
  <si>
    <t>Đèn LED Panel P07 300x1200/35W.DA 3000K (KPK) SS</t>
  </si>
  <si>
    <t>LED00040031</t>
  </si>
  <si>
    <t>Bóng LED Tube T8 N01 600/9W 6500K (AICAP)</t>
  </si>
  <si>
    <t>LED00041492</t>
  </si>
  <si>
    <t>Bóng LED Tube T8 1200/20W 5000K LPF SS</t>
  </si>
  <si>
    <t>LED00046386</t>
  </si>
  <si>
    <t>Bóng LED Tube T8 N02 1200/20W 6500K-CT</t>
  </si>
  <si>
    <t>LED00051063</t>
  </si>
  <si>
    <t>Bóng LED Tube T8 600/10W 6500K-CTT</t>
  </si>
  <si>
    <t>00000243</t>
  </si>
  <si>
    <t>Máng HQ âmtrầnFS20/18x2-M6-balát đ/từ</t>
  </si>
  <si>
    <t>00000556</t>
  </si>
  <si>
    <t>Máng đèn HQ-FS-20/18x1-M8 ko nắp,balát đ/từ</t>
  </si>
  <si>
    <t>LED00005540</t>
  </si>
  <si>
    <t>Máng HQ-FS 40/36*2 M8,Ko nắp,Ko ballat (PK rời)</t>
  </si>
  <si>
    <t>LED00005559</t>
  </si>
  <si>
    <t>Máng đèn HQ FS-40/36x2-M8 ko nắp,balát đ/tử</t>
  </si>
  <si>
    <t>LED00005566</t>
  </si>
  <si>
    <t>Máng đèn FS-40/36x2-M8-ko nắp(lắp Led Tube)</t>
  </si>
  <si>
    <t>LED00005578</t>
  </si>
  <si>
    <t>Máng đèn FS40/36x2-M9-koBL,ko nắp(lắp Led Tube)</t>
  </si>
  <si>
    <t>LED00005595</t>
  </si>
  <si>
    <t>Bộ CMĐ STĐ1,2mFS40/36x1 CM1*EH có bóng</t>
  </si>
  <si>
    <t>LED00029235</t>
  </si>
  <si>
    <t>Máng LED âmtrầnFS40/36x4-M6</t>
  </si>
  <si>
    <t>LED00040575</t>
  </si>
  <si>
    <t>Bộ máng M21x1 1.2m ( không đèn )</t>
  </si>
  <si>
    <t>00000271</t>
  </si>
  <si>
    <t>Bộ điều khiển trung tâm (GXI-3104-T-CE-WH)</t>
  </si>
  <si>
    <t>LED00001359</t>
  </si>
  <si>
    <t>Đèn LED Downlight cảm biến AT04.PIR 90/7W 3000K SS</t>
  </si>
  <si>
    <t>LED00016111</t>
  </si>
  <si>
    <t>Bộ đèn LED cảm biến M18.RAD 1200/36W 6500K SS</t>
  </si>
  <si>
    <t>LED00016241</t>
  </si>
  <si>
    <t>Bóng LED Bulb đổi màu A60/7W E27</t>
  </si>
  <si>
    <t>LED00025828</t>
  </si>
  <si>
    <t>Bộ đèn LED Tube dự phòng T8.DP M11/20Wx2 6500K SS</t>
  </si>
  <si>
    <t>LED00033878</t>
  </si>
  <si>
    <t>Đèn LED Panel đổi màu PT04.BLE 135/9W</t>
  </si>
  <si>
    <t>LED00034196</t>
  </si>
  <si>
    <t>Đèn LED Tracklight đổi màu TRL04.BLE 25W</t>
  </si>
  <si>
    <t>LED00034296</t>
  </si>
  <si>
    <t>Bảng điều khiển cảnh âm tường RD-SC04 (AC)</t>
  </si>
  <si>
    <t>LED00035741</t>
  </si>
  <si>
    <t>Công tắc cảm ứng RD-SW.02.BLE</t>
  </si>
  <si>
    <t>LED00036276</t>
  </si>
  <si>
    <t>Đèn LED Downlight đổi màu AT19.BLE 65/7W (A24)</t>
  </si>
  <si>
    <t>LED00037381</t>
  </si>
  <si>
    <t>Đèn LED Panel D P07 60x120/75W.BLE.EVT SS (KPK)</t>
  </si>
  <si>
    <t>LED00038116</t>
  </si>
  <si>
    <t>Đui đèn cảm biến ĐCB01.PIR E27/300W</t>
  </si>
  <si>
    <t>LED00049208</t>
  </si>
  <si>
    <t>Đèn LED Downlight AT04 90/7W 6500K-TC</t>
  </si>
  <si>
    <t>LED00049808</t>
  </si>
  <si>
    <t>Đèn LED Downlight AT16 110/12W.DA 6500K</t>
  </si>
  <si>
    <t>LED00054891</t>
  </si>
  <si>
    <t>Vành LED Downlight DL9T10-10MM-FS (mạ Niken)</t>
  </si>
  <si>
    <t>LED00055347</t>
  </si>
  <si>
    <t>Đèn LED Panel đổi màu PT04.V2 135/9W-CT</t>
  </si>
  <si>
    <t>LED00060909</t>
  </si>
  <si>
    <t>Đèn LED Downlight đổi màu AT38 170/24W (YEMEN)</t>
  </si>
  <si>
    <t>LED00064705</t>
  </si>
  <si>
    <t>Đèn LED downlight x/góc AT18.DIM 100/9W 3000K</t>
  </si>
  <si>
    <t>LED00064794</t>
  </si>
  <si>
    <t>Đèn LED Downlight AT04L 155/35W 3000K</t>
  </si>
  <si>
    <t>LED00065008</t>
  </si>
  <si>
    <t>Đèn LED Downlight x/góc AT22.DIM 60/12W 6500K</t>
  </si>
  <si>
    <t>LED00065752</t>
  </si>
  <si>
    <t>Đèn LED downlight AT25 80x240/9Wx3.PLUS 6500K</t>
  </si>
  <si>
    <t>LED00067263</t>
  </si>
  <si>
    <t>Đèn LED Downlight đổi màu AT26 110/10W-CT</t>
  </si>
  <si>
    <t>LED00067740</t>
  </si>
  <si>
    <t>Đèn LED Downlight đổi màu MQTL1217-L85K9027  (1c/h,Yankon)</t>
  </si>
  <si>
    <t>LED00067786</t>
  </si>
  <si>
    <t>Đèn LED Downlight đổi màu MQTL1217 12W L85K9027S (Yankon)</t>
  </si>
  <si>
    <t>LED00068503</t>
  </si>
  <si>
    <t>Đèn LED Downlight đổi màu LD13T90-S Voltex (XK Úc)-CT</t>
  </si>
  <si>
    <t>LED00068506</t>
  </si>
  <si>
    <t>Đèn LED Panel PT04.V2 90/7W 4000K-CT</t>
  </si>
  <si>
    <t>LED00073819</t>
  </si>
  <si>
    <t>Đèn LED Panel PN04 160x160/12W 4000K SS</t>
  </si>
  <si>
    <t>LED00075923</t>
  </si>
  <si>
    <t>Đèn LED Downlight đổi màu AT56 110/10W</t>
  </si>
  <si>
    <t>LED00077038</t>
  </si>
  <si>
    <t>Đèn LED Downlight AT45 62/12W 4000K-(Đen bóng)</t>
  </si>
  <si>
    <t>LED00077385</t>
  </si>
  <si>
    <t>Đèn LED Downlight AT30 200/30W.GOV.V4 6500K</t>
  </si>
  <si>
    <t>LED00078807</t>
  </si>
  <si>
    <t>Đèn LED Downlight đổi màu AT48 110/12W (G)</t>
  </si>
  <si>
    <t>LED00081640</t>
  </si>
  <si>
    <t>Đèn LED Downlight AT10 90/10W 4000K (G)</t>
  </si>
  <si>
    <t>LED00083117</t>
  </si>
  <si>
    <t>Đèn LED Downlight AT05 105/9W.GOV.V2 4000K</t>
  </si>
  <si>
    <t>LED00083377</t>
  </si>
  <si>
    <t>Đèn LED Downlight AT24 90/8W.PLUS 6500K (HPF)</t>
  </si>
  <si>
    <t>LED00081226</t>
  </si>
  <si>
    <t>Đèn LED Downlight đổi màu AT10 90/10W-CT</t>
  </si>
  <si>
    <t>LED00081249</t>
  </si>
  <si>
    <t>Đèn LED Panel PT04.V2 135/10W 6500K</t>
  </si>
  <si>
    <t>LED00081386</t>
  </si>
  <si>
    <t>Đèn LED Downlight đổi màu AT10 110/10W (G)-CT</t>
  </si>
  <si>
    <t>LED00083971</t>
  </si>
  <si>
    <t>Đèn LED panel P59 15inch/36W 5CCT (YOURZOR)</t>
  </si>
  <si>
    <t>LED00012431</t>
  </si>
  <si>
    <t>Đèn LED ốptrần LN08 172x172/12W 6500K (Black) SS</t>
  </si>
  <si>
    <t>LED00018523</t>
  </si>
  <si>
    <t>Đèn LED ốp trần LN03 270/14W 3000K SS</t>
  </si>
  <si>
    <t>LED00025802</t>
  </si>
  <si>
    <t>Đèn LED ốp trần LN08 230x230/18W.DA 3000K</t>
  </si>
  <si>
    <t>LED00025804</t>
  </si>
  <si>
    <t>Đèn LED ốp trần LN08 300x300/24W 6500K SS</t>
  </si>
  <si>
    <t>LED00030245</t>
  </si>
  <si>
    <t>Đèn LED ốp trần LN09 300/24W.DA 3000K SS</t>
  </si>
  <si>
    <t>LED00032856</t>
  </si>
  <si>
    <t>Đèn LED ốp trần LN12 170x170/12W 6500K SS</t>
  </si>
  <si>
    <t>LED00035979</t>
  </si>
  <si>
    <t>Đèn LED ốp trần LN12 300/30W 6500K SS</t>
  </si>
  <si>
    <t>LED00035982</t>
  </si>
  <si>
    <t>Đèn LED ốp trần đổi màu LN12 300x300/30W SS</t>
  </si>
  <si>
    <t>LED00037938</t>
  </si>
  <si>
    <t>Đèn LED ốp trần LN12 220x220/12W 6500K SS</t>
  </si>
  <si>
    <t>LED00045441</t>
  </si>
  <si>
    <t>Đèn LED ốp trần LN12N 300x300/24W 6500K SS-CT</t>
  </si>
  <si>
    <t>LED00046353</t>
  </si>
  <si>
    <t>Đèn LED ốp trần LN12 300/30W 6500K SS-CT</t>
  </si>
  <si>
    <t>LED00046357</t>
  </si>
  <si>
    <t>Đèn LED ốp trần LN12N 170/12W 6500K SS-CT</t>
  </si>
  <si>
    <t>LED00049709</t>
  </si>
  <si>
    <t>Đèn LED ốp trần LN12N 220/18W 3000K SS</t>
  </si>
  <si>
    <t>LED00050867</t>
  </si>
  <si>
    <t>Đèn LED ốp trần LN08 170x170/12W 6500K SS-CT</t>
  </si>
  <si>
    <t>LED00050870</t>
  </si>
  <si>
    <t>Đèn LED ốp trần LN09 225/18W 3000K SS-CT</t>
  </si>
  <si>
    <t>LED00051068</t>
  </si>
  <si>
    <t>Đèn LED ốp trần LN11 220/18W 6500K-CTT</t>
  </si>
  <si>
    <t>LED00051397</t>
  </si>
  <si>
    <t>Đèn LED ốp trần LN08 230x230/18W 6500K-TC</t>
  </si>
  <si>
    <t>LED00056748</t>
  </si>
  <si>
    <t>Driver OT LN08-09 22-30W TC</t>
  </si>
  <si>
    <t>LED00056751</t>
  </si>
  <si>
    <t>Driver OT LN08-09 15W TC</t>
  </si>
  <si>
    <t>LED00073682</t>
  </si>
  <si>
    <t>Đèn LED ốp trần đổi màu LN29N 170x170/12W</t>
  </si>
  <si>
    <t>LED00061334</t>
  </si>
  <si>
    <t>Đèn LED Downlight AT35.UGR 120/3W 4000K</t>
  </si>
  <si>
    <t>LED00061748</t>
  </si>
  <si>
    <t>Đèn LED Downlight xoay góc AT39 76/12W 4000K</t>
  </si>
  <si>
    <t>LED00063256</t>
  </si>
  <si>
    <t>Đèn Led nổi trần NT01 110/10W.GOV 4000K</t>
  </si>
  <si>
    <t>LED00065965</t>
  </si>
  <si>
    <t>Đèn Led downlight AT39 76/12W.GOV 3000K</t>
  </si>
  <si>
    <t>LED00069098</t>
  </si>
  <si>
    <t>Đèn LED Ốp trần đổi màu MXL1141 L28K9027H (Đen,Yankon)</t>
  </si>
  <si>
    <t>LED00069219</t>
  </si>
  <si>
    <t>Đèn LED Downlight MQTL1217-L85K9027 (6c/h,Yankon) trùng tên</t>
  </si>
  <si>
    <t>LED00075375</t>
  </si>
  <si>
    <t>Đèn LED downlight AT25 108x108/12Wx1.PLUS 6500K</t>
  </si>
  <si>
    <t>LED00075551</t>
  </si>
  <si>
    <t>Đèn LED Downlight AT05 105/9W.GOV.V2 (IP) 6500K</t>
  </si>
  <si>
    <t>LED00076232</t>
  </si>
  <si>
    <t>Đèn LED Downlight đổi màu AT46 110/12W</t>
  </si>
  <si>
    <t>LED00076248</t>
  </si>
  <si>
    <t>Đèn LED Downlight đổi màu AT48 90/10W</t>
  </si>
  <si>
    <t>LED00076425</t>
  </si>
  <si>
    <t>Đèn LED Downlight AT04 110/12W IP44 4000K</t>
  </si>
  <si>
    <t>LED00077410</t>
  </si>
  <si>
    <t>Đèn LED Downlight AT06 110/10W.GOV.V4 (IP) 6500K</t>
  </si>
  <si>
    <t>LED00080542</t>
  </si>
  <si>
    <t>Đèn LED Panel MXL1190 9inch/15W 5CCT (Yankon)</t>
  </si>
  <si>
    <t>LED00080745</t>
  </si>
  <si>
    <t>Đèn LED ốp trần MXL1225-13inch_22/18/15W_5CCT (Yankon)</t>
  </si>
  <si>
    <t>LED00080747</t>
  </si>
  <si>
    <t>Đèn LED ốp trần MXL1225-15inch_24/21/18W_5CCT (Yankon)</t>
  </si>
  <si>
    <t>LED00083379</t>
  </si>
  <si>
    <t>Đèn LED Downlight AT24 110/10W.PLUS 6500K (HPF)</t>
  </si>
  <si>
    <t>LED00083690</t>
  </si>
  <si>
    <t>Đèn LED Downlight đổi màu AT60 110/12W</t>
  </si>
  <si>
    <t>LED00005315</t>
  </si>
  <si>
    <t>Đèn LED ốp trần LN03 9W 6500K (XK)</t>
  </si>
  <si>
    <t>LED00005330</t>
  </si>
  <si>
    <t>Đèn LED ốp trần LN03 375/18W 6500K</t>
  </si>
  <si>
    <t>LED00005346</t>
  </si>
  <si>
    <t>Đèn LED ốptrần LN09 250x250/9W 6500K SS</t>
  </si>
  <si>
    <t>LED00025795</t>
  </si>
  <si>
    <t>Đèn LED ốp trần LN03 270/14W.DA 6500K SS</t>
  </si>
  <si>
    <t>LED00027848</t>
  </si>
  <si>
    <t>Đèn LED ốp trần đổi màu LN24 247x247/24W</t>
  </si>
  <si>
    <t>LED00035871</t>
  </si>
  <si>
    <t>Đèn LED ốp trần đổi màu LN16 480/40W SS</t>
  </si>
  <si>
    <t>LED00050206</t>
  </si>
  <si>
    <t>Đèn LED Panel P01 180x1280/50W 5700K (KC-PER) SS</t>
  </si>
  <si>
    <t>LED00050886</t>
  </si>
  <si>
    <t>Đèn LED Panel P01 180x1280/50W 5700K (KC-PER) SS-CT</t>
  </si>
  <si>
    <t>LED00050888</t>
  </si>
  <si>
    <t>Đèn LED Panel P01 320x1280/50W.V2 4000K (KC-PER) SS-CT</t>
  </si>
  <si>
    <t>LED00050962</t>
  </si>
  <si>
    <t>Đèn LED Panel P01 320x640/25W 4000K (KC-PER) SS-CT</t>
  </si>
  <si>
    <t>LED00051617</t>
  </si>
  <si>
    <t>Đèn LED Panel P06 320x640/20W M-bar Direct 5700K PER</t>
  </si>
  <si>
    <t>LED00052537</t>
  </si>
  <si>
    <t>Đèn LED Panel P07 600x600/35W.PLUS 4000K (KPK) SS</t>
  </si>
  <si>
    <t>LED00052777</t>
  </si>
  <si>
    <t>Đèn LED Panel P07 300x600/28W.PLUS 4000K (KPK) SS</t>
  </si>
  <si>
    <t>LED00052786</t>
  </si>
  <si>
    <t>Đèn LED Panel P06 320x1280/50W M-bar Direct 5700K KN</t>
  </si>
  <si>
    <t>LED00052887</t>
  </si>
  <si>
    <t>Đèn LED Panel P07 300x300/14W.PLUS 4000K (KPK) SS</t>
  </si>
  <si>
    <t>LED00053078</t>
  </si>
  <si>
    <t>Đèn LED Panel P05 600x600/50W.PLUS 6500K (KPK) SS</t>
  </si>
  <si>
    <t>LED00053110</t>
  </si>
  <si>
    <t>Đèn LED Panel đổi màu P10 640x640/50W (KC-TOP) SS</t>
  </si>
  <si>
    <t>LED00053313</t>
  </si>
  <si>
    <t>Đèn LED Panel P10 640x640/50W 4000K (KC-TOP) SS</t>
  </si>
  <si>
    <t>LED00055696</t>
  </si>
  <si>
    <t>Đèn LED Panel P06 T640X640/50W.2 Mbar direct 5700K GB</t>
  </si>
  <si>
    <t>LED00057465</t>
  </si>
  <si>
    <t>Đèn LED Panel P08 600x600/50W 6500K (KPK) SS</t>
  </si>
  <si>
    <t>LED00058359</t>
  </si>
  <si>
    <t>Đèn LED Panel P01 300x1200/50W Tbar 5700K (KC-KN) SS</t>
  </si>
  <si>
    <t>LED00062656</t>
  </si>
  <si>
    <t>Bộ khung Panel P06 320x1280 M-bar direct GB (LME)</t>
  </si>
  <si>
    <t>LED00063255</t>
  </si>
  <si>
    <t>Đèn Led downlight vuông PN03 156x156/12W.GOV 4000K</t>
  </si>
  <si>
    <t>LED00064845</t>
  </si>
  <si>
    <t>Đèn LED Panel chống chói P06.UGR19.T 600x600/50W 6500K</t>
  </si>
  <si>
    <t>LED00075194</t>
  </si>
  <si>
    <t>Đèn LED Panel P08 300x1200/50W 6500K (KPK)-CT</t>
  </si>
  <si>
    <t>LED00075502</t>
  </si>
  <si>
    <t>Đèn LED Panel P06 T520x520/40W.2 Mbar direct 5700K GB</t>
  </si>
  <si>
    <t>LED00075569</t>
  </si>
  <si>
    <t>Đèn Led downlight vuông PN03 156x156/12W.GOV 6500K</t>
  </si>
  <si>
    <t>LED00082227</t>
  </si>
  <si>
    <t>Đèn LED Panel P07 300x1200/40W.PLUS 4000K (KPK)</t>
  </si>
  <si>
    <t>LED00079718</t>
  </si>
  <si>
    <t>Đèn LED Panel P07 600x1200/45W.UGR.PLUS 6500K (KPK)</t>
  </si>
  <si>
    <t>LED00082223</t>
  </si>
  <si>
    <t>Đèn LED Panel P01 640x640/40W 5700K (KC-TOP)</t>
  </si>
  <si>
    <t>LED00083381</t>
  </si>
  <si>
    <t>Đèn LED Panel P06.UGR 300x1200/48W. PLUS 6500K</t>
  </si>
  <si>
    <t>LED00083874</t>
  </si>
  <si>
    <t>Bộ chiếu sáng MQL 1064 2x4 CBT 80C30K SKD (Current)</t>
  </si>
  <si>
    <t>LED00083938</t>
  </si>
  <si>
    <t>Đèn LED Panel P07 300x300/14W.PLUS 6500K (KPK)</t>
  </si>
  <si>
    <t>LED00084302</t>
  </si>
  <si>
    <t>Bộ chiếu sáng MQL 1064 2x2 CBT 90C40K SKD (Current)</t>
  </si>
  <si>
    <t>LED00084407</t>
  </si>
  <si>
    <t>Bộ vỏ hộp nguồn panel MQL 1064 ENCL-DRVR NBT SKD(Current)</t>
  </si>
  <si>
    <t>00000020</t>
  </si>
  <si>
    <t>Đèn LED âm trần D1000 DAT 01L 900/100W-4000K</t>
  </si>
  <si>
    <t>00000026</t>
  </si>
  <si>
    <t>Bộ đèn LED thả trần BD TT03L 90 7w OPA vàng</t>
  </si>
  <si>
    <t>00000291</t>
  </si>
  <si>
    <t>Đèn LED Kim tinh D K.T 06L/28W 6500K</t>
  </si>
  <si>
    <t>00000294</t>
  </si>
  <si>
    <t>Đèn LED Mỹ quang D M.Q04L/10W 220V-5000K</t>
  </si>
  <si>
    <t>00000486</t>
  </si>
  <si>
    <t>Đèn bàn Led mỹ nghệ D TL 03 MN/5W vàng</t>
  </si>
  <si>
    <t>LED00083186</t>
  </si>
  <si>
    <t>Đèn LED Ram đốc âm tường RDT01 5W.APG 3000k</t>
  </si>
  <si>
    <t>LED00005096</t>
  </si>
  <si>
    <t>Bóng LED Tube 1200/22W 5000K</t>
  </si>
  <si>
    <t>LED00005125</t>
  </si>
  <si>
    <t>Bóng LED Tube T8 600/10W 6500K (ĐX)</t>
  </si>
  <si>
    <t>LED00005518</t>
  </si>
  <si>
    <t>Bóng LED Tube T8 1200/18W 6500K (ĐX) SS</t>
  </si>
  <si>
    <t>LED00017897</t>
  </si>
  <si>
    <t>Bóng LED Tube T8 N01 1200/18W 3000K SS</t>
  </si>
  <si>
    <t>LED00018442</t>
  </si>
  <si>
    <t>Bóng LED Tube T8 N02 1200/18W 6500K SS</t>
  </si>
  <si>
    <t>LED00025471</t>
  </si>
  <si>
    <t>Bóng LED Tube T8 N02 1200/18W 6500K</t>
  </si>
  <si>
    <t>LED00036194</t>
  </si>
  <si>
    <t>Bóng LED Tube T8 TT01 1200/20W 6500K-CTT</t>
  </si>
  <si>
    <t>LED00036267</t>
  </si>
  <si>
    <t>Bóng LED Tube T8 1200/20W.DA 4000K SS</t>
  </si>
  <si>
    <t>00000227</t>
  </si>
  <si>
    <t>Máng đèn HQ 0,6mđơn caocấp K/Ch.lưu</t>
  </si>
  <si>
    <t>00000228</t>
  </si>
  <si>
    <t>Máng đèn HQ 1,2mđôi caocấp cóCh.lưu</t>
  </si>
  <si>
    <t>LED00005548</t>
  </si>
  <si>
    <t>Máng đèn âm trần FS40/36x3-M6 (lắp Led Tube)</t>
  </si>
  <si>
    <t>LED00005574</t>
  </si>
  <si>
    <t>Máng đèn FS-40/36x1-M9-k/balát(lắp Led Tube)</t>
  </si>
  <si>
    <t>LED00083864</t>
  </si>
  <si>
    <t>Bộ chiếu sáng MQL 1064 1x4 CBT 80C30K SKD (Current)</t>
  </si>
  <si>
    <t>LED00084249</t>
  </si>
  <si>
    <t>Bộ chiếu sáng MQL 1064 1x4 CBT 90C30K SKD (Current)</t>
  </si>
  <si>
    <t>LED00061618</t>
  </si>
  <si>
    <t>Đèn LED chiếu pha CPT02 18W 3000K (25D, IP66)</t>
  </si>
  <si>
    <t>LED00062250</t>
  </si>
  <si>
    <t>Đèn LED gắn tường GT20.2P 25W 6500K</t>
  </si>
  <si>
    <t>LED00075888</t>
  </si>
  <si>
    <t>Đèn LED gắn tường GT20.2P 30W 3000K</t>
  </si>
  <si>
    <t>LED00078759</t>
  </si>
  <si>
    <t>Bộ đèn LED Luna BL One 1500/42W 4000K (IP65-XK)</t>
  </si>
  <si>
    <t>LED00005086</t>
  </si>
  <si>
    <t>Bóng LED Tube T8 600/10W 6500K</t>
  </si>
  <si>
    <t>LED00005098</t>
  </si>
  <si>
    <t>Bóng LED Tube T8 1200/18W 3000K SS</t>
  </si>
  <si>
    <t>LED00005100</t>
  </si>
  <si>
    <t>Bóng LED Tube T5 1150/16W.DA 6500K (CRI80)</t>
  </si>
  <si>
    <t>LED00046023</t>
  </si>
  <si>
    <t>Bóng LED Tube T8 TT01 600/9W (Yemen) 8000K</t>
  </si>
  <si>
    <t>LED00047284</t>
  </si>
  <si>
    <t>Bộ đèn LED Tube T5 1200/25W Spectrum1 (XK) NS</t>
  </si>
  <si>
    <t>LED00051387</t>
  </si>
  <si>
    <t>Bóng LED Tube T8 TT01 1200/20W 6500K-TC</t>
  </si>
  <si>
    <t>LED00051501</t>
  </si>
  <si>
    <t>Bóng LED Tube T8 1200/20W 6500K 36V-AC</t>
  </si>
  <si>
    <t>LED00081917</t>
  </si>
  <si>
    <t>Bóng LED Tube T8 TT01 600/9W (Yemen) 8000K-VH-SKD</t>
  </si>
  <si>
    <t>00000252</t>
  </si>
  <si>
    <t>Máng HQ lắpnổiFS20/18x4-M10-BL đ/tử</t>
  </si>
  <si>
    <t>00000508</t>
  </si>
  <si>
    <t>Máng đèn HQ MC-FS40/36*2M2-balát đ/tử</t>
  </si>
  <si>
    <t>LED00005544</t>
  </si>
  <si>
    <t>Máng HQ âmtrầnFS40/36x2-M6-balátđ/từ THT</t>
  </si>
  <si>
    <t>LED00005580</t>
  </si>
  <si>
    <t>Máng đèn s/mỏngFS40/36x1-M9 ko nắp,balát đ/tử</t>
  </si>
  <si>
    <t>LED00005596</t>
  </si>
  <si>
    <t>Bộ CMĐ STĐ1,2mFS40/36x2 CM1*EH có bóng</t>
  </si>
  <si>
    <t>LED00015666</t>
  </si>
  <si>
    <t>Đèn LED Downlight khẩn cấp AT07.KC 90/3W 6500K</t>
  </si>
  <si>
    <t>LED00023520</t>
  </si>
  <si>
    <t>Bộ đèn LED Tube T8 CA01.DP/20Wx1.DA 6500K SS</t>
  </si>
  <si>
    <t>LED00025839</t>
  </si>
  <si>
    <t>Đèn LED ốp trần cảm biến LN09.RAD 300/24W 3000K SS</t>
  </si>
  <si>
    <t>LED00025846</t>
  </si>
  <si>
    <t>Đèn LED chiếu sáng đường CSD02.DIM 70W 5000K</t>
  </si>
  <si>
    <t>LED00027939</t>
  </si>
  <si>
    <t>Đèn LED Tracklight đổi màu TRL04.RF 25W (dimming)</t>
  </si>
  <si>
    <t>LED00054458</t>
  </si>
  <si>
    <t>Đèn LED Downlight đổi màu AT26 110/10W</t>
  </si>
  <si>
    <t>LED00054507</t>
  </si>
  <si>
    <t>Đèn LED downlight AT25 80x80/10Wx1.PLUS 4000K</t>
  </si>
  <si>
    <t>LED00055327</t>
  </si>
  <si>
    <t>Đèn LED Panel PT05 110/9W 6500K-CT</t>
  </si>
  <si>
    <t>LED00055881</t>
  </si>
  <si>
    <t>Đèn LED Panel PT04.V2 135/12W 4000K</t>
  </si>
  <si>
    <t>LED00056454</t>
  </si>
  <si>
    <t>Đèn LED downlight AT25 108x208/16Wx2.PLUS 4000K</t>
  </si>
  <si>
    <t>LED00061183</t>
  </si>
  <si>
    <t>Đèn LED Downlight AT05 200/30W 12000K (YEMEN)</t>
  </si>
  <si>
    <t>LED00061216</t>
  </si>
  <si>
    <t>Đèn LED Downlight AT36 95/15W 4000K</t>
  </si>
  <si>
    <t>LED00061217</t>
  </si>
  <si>
    <t>Đèn LED Downlight AT35.UGR 75/8W 4000K</t>
  </si>
  <si>
    <t>LED00061943</t>
  </si>
  <si>
    <t>Đèn LED Downlight AT28 110/10W 6500K</t>
  </si>
  <si>
    <t>LED00065005</t>
  </si>
  <si>
    <t>Đèn LED Downlight AT20.DIM 90/9W 6500K</t>
  </si>
  <si>
    <t>LED00069474</t>
  </si>
  <si>
    <t>Đèn LED Downlight nổi trần đổi màu NT03 120/12W (Đen)</t>
  </si>
  <si>
    <t>LED00072534</t>
  </si>
  <si>
    <t>Đèn LED Downlight AT06.V3 90/7W 6500K</t>
  </si>
  <si>
    <t>LED00075721</t>
  </si>
  <si>
    <t>Đèn LED Downlight AT24 90/8W.PLUS- IP44 3000K</t>
  </si>
  <si>
    <t>LED00075901</t>
  </si>
  <si>
    <t>MODULE HUB DIM2OFF</t>
  </si>
  <si>
    <t>LED00075906</t>
  </si>
  <si>
    <t>Đèn LED Downlight AT56 110/10W 6500K</t>
  </si>
  <si>
    <t>LED00076019</t>
  </si>
  <si>
    <t>Bộ đèn LED Batten đổi màu BT01.DIM 1500/50W</t>
  </si>
  <si>
    <t>LED00076037</t>
  </si>
  <si>
    <t>Đèn LED Downlight AT56 90/8W 3000K</t>
  </si>
  <si>
    <t>LED00077017</t>
  </si>
  <si>
    <t>Đèn LED Downlight AT45 55/12W 4000K</t>
  </si>
  <si>
    <t>LED00079808</t>
  </si>
  <si>
    <t>VÀNH LED DOWLIGHT LDF170-S ( VOLTEX-SILVER)</t>
  </si>
  <si>
    <t>LED00081266</t>
  </si>
  <si>
    <t>Đèn LED Panel PT05 110/10W 6500K (G)</t>
  </si>
  <si>
    <t>LED00081385</t>
  </si>
  <si>
    <t>Đèn LED Downlight AT10 110/10W 6500K (G)-CT</t>
  </si>
  <si>
    <t>LED00081672</t>
  </si>
  <si>
    <t>Đèn LED Panel PT05 110/10W 6500K</t>
  </si>
  <si>
    <t>LED00005319</t>
  </si>
  <si>
    <t>Đèn LED ốp trần LN08 230x230/18W 3000K (Black) SS</t>
  </si>
  <si>
    <t>LED00051896</t>
  </si>
  <si>
    <t>Đèn LED Panel P07 150x1200/28W.PLUS 6500K (KPK) SS</t>
  </si>
  <si>
    <t>LED00053109</t>
  </si>
  <si>
    <t>Đèn LED Panel đổi màu P10 400x700/50W (KC-TOP) SS</t>
  </si>
  <si>
    <t>LED00053320</t>
  </si>
  <si>
    <t>Đèn LED Panel P10 300x300/25W 5700K (KC-TOP) SS</t>
  </si>
  <si>
    <t>LED00053486</t>
  </si>
  <si>
    <t>Đèn LED Panel P10 180x1280/40W 5700K (KC-TOP) SS</t>
  </si>
  <si>
    <t>LED00057622</t>
  </si>
  <si>
    <t>Đèn LED Panel P06 300x1200/50W 6500K</t>
  </si>
  <si>
    <t>LED00058269</t>
  </si>
  <si>
    <t>Đèn LED Panel P06 593x593/50W Tbar 5700K (XK)</t>
  </si>
  <si>
    <t>LED00060584</t>
  </si>
  <si>
    <t>Đèn LED Panel P06 600x600/40W 4000K (KPK)</t>
  </si>
  <si>
    <t>LED00063074</t>
  </si>
  <si>
    <t>Đèn LED Panel P01 615x615/50W 5700K (KC-TOP) SS</t>
  </si>
  <si>
    <t>LED00063813</t>
  </si>
  <si>
    <t>Đèn LED Panel P07 600x600/50W 6500K (KPK) SS</t>
  </si>
  <si>
    <t>LED00065738</t>
  </si>
  <si>
    <t>Đèn LED Panel chống chói P06.UGR19.V 600x600/50W 6500K</t>
  </si>
  <si>
    <t>LED00065832</t>
  </si>
  <si>
    <t>Đèn LED Panel P07 300x2000/48W.PLUS 6500K (KPK) SS</t>
  </si>
  <si>
    <t>LED00066188</t>
  </si>
  <si>
    <t>Đèn LED Panel P05 1280x320/40W.GOV.V4 6500K</t>
  </si>
  <si>
    <t>LED00068286</t>
  </si>
  <si>
    <t>Đèn LED Panel P07 600x1200/55W.PLUS 6500K (KPK) SS</t>
  </si>
  <si>
    <t>LED00071067</t>
  </si>
  <si>
    <t>Đèn LED Panel P07 300x900/28W.PLUS 3000K (KPK)</t>
  </si>
  <si>
    <t>LED00071570</t>
  </si>
  <si>
    <t>Đèn LED Panel P06 T640X640/50W.2 Mbar direct 4000K GB</t>
  </si>
  <si>
    <t>LED00073380</t>
  </si>
  <si>
    <t>Đèn LED Panel P06 M320x1280/40W.2 Mbar 4000K HB (bracket)</t>
  </si>
  <si>
    <t>LED00075191</t>
  </si>
  <si>
    <t>Đèn LED Panel P07 300x600/28W.PLUS 4000K (KPK) SS-CT</t>
  </si>
  <si>
    <t>LED00075192</t>
  </si>
  <si>
    <t>Đèn LED Panel P07 300x300/24W.PLUS 4000K (KPK) SS-CT</t>
  </si>
  <si>
    <t>LED00076409</t>
  </si>
  <si>
    <t>Đèn LED Panel P08 600x600/50W 4000K (KPK)</t>
  </si>
  <si>
    <t>LED00080121</t>
  </si>
  <si>
    <t>Đèn LED Panel P07 600x600/35W.PLUS 5000K (KPK)</t>
  </si>
  <si>
    <t>LED00082225</t>
  </si>
  <si>
    <t>Đèn LED Panel P07 300x300/24W.PLUS 4000K (KPK)</t>
  </si>
  <si>
    <t>LED00082237</t>
  </si>
  <si>
    <t>Đèn LED Panel P07 300x2400/60W.PLUS 4000K (KPK)</t>
  </si>
  <si>
    <t>LED00084245</t>
  </si>
  <si>
    <t>Bộ chiếu sáng MQL 1064 1x4 CBT 80C50K SKD (Current)</t>
  </si>
  <si>
    <t>LED00065003</t>
  </si>
  <si>
    <t>Đèn LED Downlight AT20.DIM 110/12W 5000K</t>
  </si>
  <si>
    <t>LED00065009</t>
  </si>
  <si>
    <t>Đèn LED Downlight x/góc AT22.DIM 60/9W 4000K</t>
  </si>
  <si>
    <t>LED00067759</t>
  </si>
  <si>
    <t>Đèn LED Ốp trần đổi màu MXL1139-L42K9027B (Đồng,Yankon)</t>
  </si>
  <si>
    <t>LED00070501</t>
  </si>
  <si>
    <t>Đèn LED Downlight AT24 90/7W DIM.PLUS 4000K</t>
  </si>
  <si>
    <t>LED00072171</t>
  </si>
  <si>
    <t>Đèn LED Downlight AT04 155/18W.PLUS 6500K</t>
  </si>
  <si>
    <t>LED00072566</t>
  </si>
  <si>
    <t>Đèn LED Downlight MQTL1237-8in 5W/8W/11W (Yankon)</t>
  </si>
  <si>
    <t>LED00072568</t>
  </si>
  <si>
    <t>Đèn LED Downlight MQTL1237-10in 28W/35W/42W (Yankon)</t>
  </si>
  <si>
    <t>LED00075514</t>
  </si>
  <si>
    <t>Đèn LED Downlight AT04 90/10W 6500K</t>
  </si>
  <si>
    <t>LED00075711</t>
  </si>
  <si>
    <t>Đèn LED Downlight AT24 90/8W.PLUS 3000K</t>
  </si>
  <si>
    <t>LED00075919</t>
  </si>
  <si>
    <t>Đèn LED Downlight đổi màu AT56 90/10W</t>
  </si>
  <si>
    <t>LED00076051</t>
  </si>
  <si>
    <t>Đèn LED Downlight AT56 110/12W 3000K</t>
  </si>
  <si>
    <t>LED00076239</t>
  </si>
  <si>
    <t>Đèn LED Downlight đổi màu AT48 90/8W</t>
  </si>
  <si>
    <t>LED00077401</t>
  </si>
  <si>
    <t>Đèn LED Downlight AT06 110/12W.GOV.V4 6500K</t>
  </si>
  <si>
    <t>LED00077596</t>
  </si>
  <si>
    <t>Đèn LED Downlight MXTL1057 12W 5CCT (Yankon)</t>
  </si>
  <si>
    <t>LED00077837</t>
  </si>
  <si>
    <t>Đèn LED Downlight AT06.V3 90/5W 4000K</t>
  </si>
  <si>
    <t>LED00079725</t>
  </si>
  <si>
    <t>Đèn LED Downlight AT04 155/25W.PLUS 6500K (HPF)</t>
  </si>
  <si>
    <t>LED00080746</t>
  </si>
  <si>
    <t>Đèn LED ốp trần MXL1225-13in-Motion Sensor_22W_5CCT (Yankon)</t>
  </si>
  <si>
    <t>LED00080813</t>
  </si>
  <si>
    <t>Đèn LED ốp trần MXL1224-14inch_22/18/15W_5CCT (Yankon)</t>
  </si>
  <si>
    <t>LED00080815</t>
  </si>
  <si>
    <t>Đèn LED ốp trần MXL1224-14in-Motion Sensor_22W_5CCT (Yankon)</t>
  </si>
  <si>
    <t>LED00081251</t>
  </si>
  <si>
    <t>Đèn LED Panel đổi màu PT04.V2 110/10W</t>
  </si>
  <si>
    <t>LED00082017</t>
  </si>
  <si>
    <t>Đèn LED Downlight AT04 90/7W.PLUS 4000K</t>
  </si>
  <si>
    <t>LED00083380</t>
  </si>
  <si>
    <t>Đèn LED Downlight AT24 110/12W.PLUS 6500K (HPF)</t>
  </si>
  <si>
    <t>LED00077760</t>
  </si>
  <si>
    <t>Đèn LED ốp trần LN12N 170/12W 4000K SS</t>
  </si>
  <si>
    <t>LED00078039</t>
  </si>
  <si>
    <t>Đèn LED ốp trần đổi màu LN30N 300/24W</t>
  </si>
  <si>
    <t>LED00078594</t>
  </si>
  <si>
    <t>Đèn LED ốp trần đổi màu LN29N 220x220/18W (B)</t>
  </si>
  <si>
    <t>LED00083654</t>
  </si>
  <si>
    <t>Đèn LED ốp trần LN12N 220x220/18W 4000K</t>
  </si>
  <si>
    <t>LED00083685</t>
  </si>
  <si>
    <t>Đèn LED ốp trần đổi màu LN12 300x300/30W</t>
  </si>
  <si>
    <t>LED00001778</t>
  </si>
  <si>
    <t>Đèn LED Panel P03 600x600/40W 6500K</t>
  </si>
  <si>
    <t>LED00017299</t>
  </si>
  <si>
    <t>Bộ đèn LED M22 AT02 600x600/36W 6500K SS</t>
  </si>
  <si>
    <t>LED00020805</t>
  </si>
  <si>
    <t>Đèn LED Panel P02 600x600/50W.DA 6500K SS</t>
  </si>
  <si>
    <t>LED00021332</t>
  </si>
  <si>
    <t>Đèn LED Panel P05 300x1200/50W.DA 6500K SS</t>
  </si>
  <si>
    <t>LED00034232</t>
  </si>
  <si>
    <t>Đèn LED Panel PN03 160x160/12W 6000K (Hayne) SS</t>
  </si>
  <si>
    <t>LED00037141</t>
  </si>
  <si>
    <t>Đèn LED Panel P07 300x1200/50W.DA 6500K (KPK) SS</t>
  </si>
  <si>
    <t>LED00037484</t>
  </si>
  <si>
    <t>Đèn LED Panel P01 640x640/50W 4000K (KC-TOP) SS</t>
  </si>
  <si>
    <t>LED00038233</t>
  </si>
  <si>
    <t>Đèn LED Panel P05 600x600/54W.DA 4000K (KPK) SS</t>
  </si>
  <si>
    <t>LED00043282</t>
  </si>
  <si>
    <t>Đèn LED Panel P07 600x600/40W.DA 4000K (KPK) SS</t>
  </si>
  <si>
    <t>LED00043485</t>
  </si>
  <si>
    <t>Đèn LED Panel P09 640x640/50W 5700K (KC-TOP-KN)</t>
  </si>
  <si>
    <t>LED00050882</t>
  </si>
  <si>
    <t>Đèn LED Panel P01 180x640/25W 5700K (KC-PER) SS-CT</t>
  </si>
  <si>
    <t>LED00051614</t>
  </si>
  <si>
    <t>Đèn LED Panel P06 320x1280/40W M-bar 5700K PER</t>
  </si>
  <si>
    <t>LED00052302</t>
  </si>
  <si>
    <t>Đèn LED Panel P06 320x1280/40W M-bar Direct 5700K XK</t>
  </si>
  <si>
    <t>LED00053317</t>
  </si>
  <si>
    <t>Đèn LED Panel P10 400x700/50W 4000K (KC-TOP) SS</t>
  </si>
  <si>
    <t>LED00053323</t>
  </si>
  <si>
    <t>Đèn LED Panel P10 180x640/25W 4000K (KC-TOP) SS</t>
  </si>
  <si>
    <t>LED00053447</t>
  </si>
  <si>
    <t>Đèn LED Panel P07 300x2000/50W.PLUS 4000K (KPK) SS</t>
  </si>
  <si>
    <t>LED00054227</t>
  </si>
  <si>
    <t>Đèn LED Panel P07 300x1200/50W.PLUS 6500K (KPK) SS</t>
  </si>
  <si>
    <t>LED00054558</t>
  </si>
  <si>
    <t>Đèn LED Panel P06 320x640/25W M-bar Direct 4000K TOP CN</t>
  </si>
  <si>
    <t>LED00060892</t>
  </si>
  <si>
    <t>Đèn LED ốp trần LN12N 220/36W 12000K (YEMEN)</t>
  </si>
  <si>
    <t>LED00063948</t>
  </si>
  <si>
    <t>Đèn LED Ốp trần Mắt cá MXTL1048 15W 3000K (Yankon)</t>
  </si>
  <si>
    <t>LED00066956</t>
  </si>
  <si>
    <t>Đèn LED ốp trần LN09 220/22W 3000K</t>
  </si>
  <si>
    <t>LED00073551</t>
  </si>
  <si>
    <t>Đèn LED ốp trần đổi màu LN29N 170/12W</t>
  </si>
  <si>
    <t>LED00073797</t>
  </si>
  <si>
    <t>Đèn LED ốp trần đổi màu LN29N 220x220/18W</t>
  </si>
  <si>
    <t>LED00078981</t>
  </si>
  <si>
    <t>Đèn LED ốp trần LN29N 220/18W 6500K (B)</t>
  </si>
  <si>
    <t>LED00079367</t>
  </si>
  <si>
    <t>Đèn LED ốp trần LN29N 220/18W 3000K (B)</t>
  </si>
  <si>
    <t>LED00083664</t>
  </si>
  <si>
    <t>Đèn LED ốp trần LN12N 170x170/12W 3000K</t>
  </si>
  <si>
    <t>LED00083672</t>
  </si>
  <si>
    <t>Đèn LED ốp trần đổi màu LN12 220/22W</t>
  </si>
  <si>
    <t>LED00005430</t>
  </si>
  <si>
    <t>Đèn LED Panel P02 300x1200/36W 5000K</t>
  </si>
  <si>
    <t>LED00005485</t>
  </si>
  <si>
    <t>Bộ đèn LED M15 600x1200/72W 6500K SS</t>
  </si>
  <si>
    <t>LED00016432</t>
  </si>
  <si>
    <t>Đèn LED Panel P01 600x910/36W 6500K (KPK) SS</t>
  </si>
  <si>
    <t>LED00016728</t>
  </si>
  <si>
    <t>Đèn LED Panel P01 600x600/48W.DA 6500K (KPK) SS</t>
  </si>
  <si>
    <t>LED00019601</t>
  </si>
  <si>
    <t>Đèn LED Panel P01 600x600/50W 5000K (KPK) SS</t>
  </si>
  <si>
    <t>LED00020605</t>
  </si>
  <si>
    <t>Đèn LED Panel P06 600x600/40W 6500K</t>
  </si>
  <si>
    <t>LED00023264</t>
  </si>
  <si>
    <t>Đèn LED Panel P08 600x600/40W 3000K (KPK) SS</t>
  </si>
  <si>
    <t>LED00023495</t>
  </si>
  <si>
    <t>Đèn LED Panel P01 640x640/50W 5700K (KC-TOP) SS</t>
  </si>
  <si>
    <t>LED00029771</t>
  </si>
  <si>
    <t>Đèn LED Panel P02 600x600/35W.DA 6500K (CRI90-KPK) SS</t>
  </si>
  <si>
    <t>LED00029907</t>
  </si>
  <si>
    <t>Đèn LED Panel đổi màu 640x640/50W (TOP-E) SS</t>
  </si>
  <si>
    <t>LED00041403</t>
  </si>
  <si>
    <t>Đèn LED Panel P07 300x1600/48W.DA 6500K (KPK) SS</t>
  </si>
  <si>
    <t>LED00046899</t>
  </si>
  <si>
    <t>Đèn LED Panel P07 300x300/18W.DA 6500K (KPK) SS</t>
  </si>
  <si>
    <t>LED00048177</t>
  </si>
  <si>
    <t>Đèn LED Panel P06 640x640/40W M-bar Direct 5700K TOP</t>
  </si>
  <si>
    <t>LED00049748</t>
  </si>
  <si>
    <t>Đèn LED Panel P07 600x600/42W.DA 6500K (KPK) SS</t>
  </si>
  <si>
    <t>LED00049892</t>
  </si>
  <si>
    <t>Đèn LED Panel P01 180x640/25W 5700K (KC-PER) SS</t>
  </si>
  <si>
    <t>LED00020448</t>
  </si>
  <si>
    <t>Đèn LED Downlight khẩn cấp AT07.KC 90/5W 6500K</t>
  </si>
  <si>
    <t>LED00023034</t>
  </si>
  <si>
    <t>Đèn LED Downlight dự phòng AT04.DP 110/12W 6500K SS</t>
  </si>
  <si>
    <t>LED00024452</t>
  </si>
  <si>
    <t>Đèn LED ốp trần đổi màu LN22.RF 500/40W</t>
  </si>
  <si>
    <t>LED00024529</t>
  </si>
  <si>
    <t>Đèn LED Downlight đổi màu AT16.WF 90/7W</t>
  </si>
  <si>
    <t>LED00025160</t>
  </si>
  <si>
    <t>Đèn LED Downlight đổi màu AT16.RF 90/7W</t>
  </si>
  <si>
    <t>LED00028878</t>
  </si>
  <si>
    <t>Đèn LED Panel dự phòng P08.DP 300x1200/40W 6500K (KPK) SS</t>
  </si>
  <si>
    <t>LED00030895</t>
  </si>
  <si>
    <t>Đèn LED Downlight đổi màu AT16.BLE 110/12W SS</t>
  </si>
  <si>
    <t>LED00034314</t>
  </si>
  <si>
    <t>Đèn LED ốp trần đổi màu LN22.BLE 500/40W</t>
  </si>
  <si>
    <t>LED00034751</t>
  </si>
  <si>
    <t>Đèn LED ốp trần LN12.RAD 220/18W (WC) 6500K</t>
  </si>
  <si>
    <t>LED00043782</t>
  </si>
  <si>
    <t>Công tắc cảm ứng chữ nhật CTCU.BLE R1.04 (trắng, FPT)</t>
  </si>
  <si>
    <t>LED00046969</t>
  </si>
  <si>
    <t>Đèn LED Chiếu pha NLMT CP02.SL.RF 30W</t>
  </si>
  <si>
    <t>LED00047250</t>
  </si>
  <si>
    <t>Đèn LED Panel dự phòng P07.DP 600x600/35W.DA 6500K KPK</t>
  </si>
  <si>
    <t>LED00047488</t>
  </si>
  <si>
    <t>Đèn LED Chiếu pha NLMT CP02.SL.RF 70W</t>
  </si>
  <si>
    <t>LED00047643</t>
  </si>
  <si>
    <t>Công tắc cảm ứng chữ nhật CTCU.BLE RL2.02(đen,FPT)</t>
  </si>
  <si>
    <t>LED00049012</t>
  </si>
  <si>
    <t>Tủ điều khiển Trung tâm NN RĐ-NN.GW01</t>
  </si>
  <si>
    <t>LED00049303</t>
  </si>
  <si>
    <t>Công tắc cảm ứng vuông CTCU.BLE S1.REM (trắng, FPT)</t>
  </si>
  <si>
    <t>LED00051455</t>
  </si>
  <si>
    <t>Đèn LED Downlight điều khiển Remote AT20.RM4 110/9W.C10</t>
  </si>
  <si>
    <t>LED00053091</t>
  </si>
  <si>
    <t>Đèn LED chiếu sáng đường CSD04 160W.NEMA 5000K</t>
  </si>
  <si>
    <t>LED00055441</t>
  </si>
  <si>
    <t>Bộ vỏ hình vuông CTCU.BLE S1.02 (đen, FPT, SGBR0114)</t>
  </si>
  <si>
    <t>LED00055753</t>
  </si>
  <si>
    <t>Công tắc cơ điện tử CTC.WF V1.01 (Ralli)</t>
  </si>
  <si>
    <t>LED00055912</t>
  </si>
  <si>
    <t>Công tắc cảm ứng chữ nhật CTCU.BLE CN.02T (Viettel)</t>
  </si>
  <si>
    <t>LED00059757</t>
  </si>
  <si>
    <t>Công tắc cảm ứng vuông CTCU.BLE V.01T MN</t>
  </si>
  <si>
    <t>LED00061738</t>
  </si>
  <si>
    <t>Đèn LED Downlight đổi màu AT41.BLE 86/12W</t>
  </si>
  <si>
    <t>LED00062521</t>
  </si>
  <si>
    <t>Công tắc cảm ứng chữ nhật CTCU.ZB CN.04T.DF</t>
  </si>
  <si>
    <t>00000023</t>
  </si>
  <si>
    <t>Đèn LED nổi trần D600 DNT 01L/50W-4000K</t>
  </si>
  <si>
    <t>LED00005628</t>
  </si>
  <si>
    <t>Đèn LED chiếu gương G02 6W 4000K</t>
  </si>
  <si>
    <t>LED00047614</t>
  </si>
  <si>
    <t>Đèn LED Chùm đài sen 150W.QT</t>
  </si>
  <si>
    <t>LED00048249</t>
  </si>
  <si>
    <t>Đèn LED chiếu pha đổi màu CP09.BLE.RGB 20W</t>
  </si>
  <si>
    <t>LED00048476</t>
  </si>
  <si>
    <t>Cọc gá đèn pha L250xH800mm</t>
  </si>
  <si>
    <t>LED00053349</t>
  </si>
  <si>
    <t>Đèn Lồng LED hình rồng 30W.DA</t>
  </si>
  <si>
    <t>LED00082100</t>
  </si>
  <si>
    <t>Đèn LED gắn tường GT21.1P 10W 4000K</t>
  </si>
  <si>
    <t>LED00082356</t>
  </si>
  <si>
    <t>Đèn LED chân cầu thang RDV01 5W.GOV.V2 4000K</t>
  </si>
  <si>
    <t>00000309</t>
  </si>
  <si>
    <t>Bóng đèn LED TUBE T8 120/16W.DA 5000K</t>
  </si>
  <si>
    <t>LED00016899</t>
  </si>
  <si>
    <t>Bóng LED Tube T5 600/8W.DA 4000K (CRI80)</t>
  </si>
  <si>
    <t>LED00019651</t>
  </si>
  <si>
    <t>Bóng LED Tube T8 N01 1200/18W 6500K SS</t>
  </si>
  <si>
    <t>LED00020306</t>
  </si>
  <si>
    <t>Bóng LED Tube T5 900/12w.DA 4000K (CRI80)</t>
  </si>
  <si>
    <t>LED00020851</t>
  </si>
  <si>
    <t>Bóng LED Tube T8 600/10W 5000K (ĐX)</t>
  </si>
  <si>
    <t>LED00025791</t>
  </si>
  <si>
    <t>Bóng LED Tube T8 600/10W.DA 6500K SS</t>
  </si>
  <si>
    <t>LED00031591</t>
  </si>
  <si>
    <t>Bóng LED Tube T8 TT01 1200/18W 3000K</t>
  </si>
  <si>
    <t>LED00037422</t>
  </si>
  <si>
    <t>Bóng LED Tube T8 TT01 1200/20W 6500K-CT</t>
  </si>
  <si>
    <t>LED00054831</t>
  </si>
  <si>
    <t>Bóng đèn LED Tube T8 N01 600/9W 6500K (XK Cepco)</t>
  </si>
  <si>
    <t>LED00054834</t>
  </si>
  <si>
    <t>Bóng đèn LED Tube T8 N01 1200/18W 4000K (XK Cepco)</t>
  </si>
  <si>
    <t>LED00005552</t>
  </si>
  <si>
    <t>Máng đèn HQ-FS-40/36x1-M8-balát THT</t>
  </si>
  <si>
    <t>LED00005553</t>
  </si>
  <si>
    <t>Máng đèn HQ-FS-40/36x1-M8 ko nắp,có balát</t>
  </si>
  <si>
    <t>LED00005556</t>
  </si>
  <si>
    <t>Máng đèn FS-40/36x1-M8-có nắp(lắp Led Tube)</t>
  </si>
  <si>
    <t>LED00056235</t>
  </si>
  <si>
    <t>Máng đèn âm trầnFS20/18x3-M6 (lắp Led Tube)-CT</t>
  </si>
  <si>
    <t>00000308</t>
  </si>
  <si>
    <t>Đèn LED thanh D T01 60/10W.RF</t>
  </si>
  <si>
    <t>LED00005344</t>
  </si>
  <si>
    <t>Đèn LED ốp trần cảm biến LN05.RAD 220/14W 6500K SS</t>
  </si>
  <si>
    <t>LED00012781</t>
  </si>
  <si>
    <t>Đèn bàn LED cảm ứng RD-RL-21 6W</t>
  </si>
  <si>
    <t>LED00021676</t>
  </si>
  <si>
    <t>Bộ đèn LED dự phòng M15.DP 600x600/36W.DA 6500K SS</t>
  </si>
  <si>
    <t>LED00049880</t>
  </si>
  <si>
    <t>Khung đèn panel P06 320x1280 Mbar direct (PER)</t>
  </si>
  <si>
    <t>LED00050211</t>
  </si>
  <si>
    <t>Đèn LED Panel P01 180x1280/50W 4000K (KC-PER) SS</t>
  </si>
  <si>
    <t>LED00051993</t>
  </si>
  <si>
    <t>Đèn LED Panel P07 600x600/35W.UGR.PLUS 4000K (KPK) SS</t>
  </si>
  <si>
    <t>LED00052739</t>
  </si>
  <si>
    <t>Đèn LED Panel P07 300x1200/48W.PLUS 6500K (KPK) SS</t>
  </si>
  <si>
    <t>LED00053322</t>
  </si>
  <si>
    <t>Đèn LED Panel P10 320x640/25W 5700K (KC-TOP) SS</t>
  </si>
  <si>
    <t>LED00053419</t>
  </si>
  <si>
    <t>Đèn LED Panel P06 640x320/25W M-bar Direct 5700K TOP KN</t>
  </si>
  <si>
    <t>LED00055684</t>
  </si>
  <si>
    <t>Đèn LED Panel P06 T320x1280/50W.2 Mbar direct 5700K HP</t>
  </si>
  <si>
    <t>LED00055693</t>
  </si>
  <si>
    <t>Đèn LED Panel P06 T640X640/50W Mbar direct 5700K GB</t>
  </si>
  <si>
    <t>LED00057871</t>
  </si>
  <si>
    <t>Đèn LED Panel P06 T320x640/25W Mbar direct 5700K GB</t>
  </si>
  <si>
    <t>LED00061770</t>
  </si>
  <si>
    <t>Đèn LED Panel P06 640x640/50W 6500K (Nổi trần)</t>
  </si>
  <si>
    <t>LED00063071</t>
  </si>
  <si>
    <t>Đèn LED Panel P01 175x1215/40W 5700K (KC-TOP) SS</t>
  </si>
  <si>
    <t>LED00063818</t>
  </si>
  <si>
    <t>Đèn LED Panel P08 600x1200/72W 6500K (KPK) SS</t>
  </si>
  <si>
    <t>LED00064880</t>
  </si>
  <si>
    <t>Đèn LED Panel P07 300x300/12W.PLUS 6500K (KPK) SS</t>
  </si>
  <si>
    <t>LED00064885</t>
  </si>
  <si>
    <t>Đèn LED Panel P07 300x1600/48W.PLUS 6500K (KPK) SS</t>
  </si>
  <si>
    <t>LED00066039</t>
  </si>
  <si>
    <t>Đèn LED Panel P07 1200x600/60W.GOV.V4 6500K (KPK)</t>
  </si>
  <si>
    <t>LED00067746</t>
  </si>
  <si>
    <t>Đèn LED Panel P07 600x600/36W.PLUS 4000K (KPK) SS</t>
  </si>
  <si>
    <t>LED00070179</t>
  </si>
  <si>
    <t>Đèn LED Panel P08 300x1200/50W 4000K (KPK) SS</t>
  </si>
  <si>
    <t>LED00071135</t>
  </si>
  <si>
    <t>Đèn LED Panel P07 300x300/14W.PLUS 3000K (KPK) SS</t>
  </si>
  <si>
    <t>LED00071630</t>
  </si>
  <si>
    <t>Đèn LED Panel P06 300x300/15W 6500K</t>
  </si>
  <si>
    <t>LED00077157</t>
  </si>
  <si>
    <t>Đèn LED Panel đổi màu P08 600x600/50W (KPK)</t>
  </si>
  <si>
    <t>LED00077493</t>
  </si>
  <si>
    <t>Đèn LED Panel P01 640x640/40W.2 5700K (KC-TOP) SS</t>
  </si>
  <si>
    <t>LED00081686</t>
  </si>
  <si>
    <t>Đèn LED Panel P07 1200x300/50W.GOV.V2.DIM 6500K (KPK)</t>
  </si>
  <si>
    <t>LED00043891</t>
  </si>
  <si>
    <t>Đèn LED Downlight AT16 110/11,5W.DA 6500K SS</t>
  </si>
  <si>
    <t>LED00044955</t>
  </si>
  <si>
    <t>Đèn LED Downlight đổi màu AT02 110/9W</t>
  </si>
  <si>
    <t>LED00045930</t>
  </si>
  <si>
    <t>Đèn LED downlight AT25 80/10Wx1.PLUS 6500K</t>
  </si>
  <si>
    <t>LED00045931</t>
  </si>
  <si>
    <t>Đèn LED downlight AT25 100/16Wx1.PLUS 6500K</t>
  </si>
  <si>
    <t>LED00046101</t>
  </si>
  <si>
    <t>Đèn LED Panel PT05 90/7W 6500K (G)</t>
  </si>
  <si>
    <t>LED00046110</t>
  </si>
  <si>
    <t>Đèn LED Panel PT05 135/9W 3000K</t>
  </si>
  <si>
    <t>LED00048414</t>
  </si>
  <si>
    <t>Đèn LED Downlight AT04 90/9W 6500K-CTT</t>
  </si>
  <si>
    <t>LED00048424</t>
  </si>
  <si>
    <t>Đèn LED Downlight đổi màu AT10 90/7W (G)-CTT</t>
  </si>
  <si>
    <t>LED00048433</t>
  </si>
  <si>
    <t>Đèn LED Downlight đổi màu AT20 90/10W (G)-CTT</t>
  </si>
  <si>
    <t>LED00048435</t>
  </si>
  <si>
    <t>Đèn LED Downlight đổi màu AT20 110/12W (G)-CTT</t>
  </si>
  <si>
    <t>LED00049224</t>
  </si>
  <si>
    <t>Đèn LED Downlight đổi màu AT10 110/9W-TC</t>
  </si>
  <si>
    <t>LED00050146</t>
  </si>
  <si>
    <t>Đèn LED Downlight nổi trần NT01 110/12W 4000K</t>
  </si>
  <si>
    <t>LED00054886</t>
  </si>
  <si>
    <t>Đèn LED Downlight AT04 155/16W 3000K</t>
  </si>
  <si>
    <t>LED00055237</t>
  </si>
  <si>
    <t>Đèn LED Downlight AT27 76/8W 4000K (KC)</t>
  </si>
  <si>
    <t>LED00061749</t>
  </si>
  <si>
    <t>Đèn LED Downlight AT41 86/12W 4000K</t>
  </si>
  <si>
    <t>LED00061940</t>
  </si>
  <si>
    <t>Đèn LED Downlight AT28 90/8W 6500K</t>
  </si>
  <si>
    <t>LED00068502</t>
  </si>
  <si>
    <t>Đèn LED Downlight đổi màu AT26 90/10W (G)-CT</t>
  </si>
  <si>
    <t>LED00069142</t>
  </si>
  <si>
    <t>Đèn LED Ốp trần đổi màu MXL1139-L42K9027N (Niken,Yankon)</t>
  </si>
  <si>
    <t>LED00072578</t>
  </si>
  <si>
    <t>Đèn LED Downlight MQTL1238-4in 6W/7W/8W (Yankon)</t>
  </si>
  <si>
    <t>LED00075719</t>
  </si>
  <si>
    <t>Đèn LED Downlight AT30 155/20W.PLUS 3000K</t>
  </si>
  <si>
    <t>LED00075912</t>
  </si>
  <si>
    <t>Đèn LED Downlight AT56 110/12W 6500K</t>
  </si>
  <si>
    <t>LED00076057</t>
  </si>
  <si>
    <t>Đèn LED Downlight AT10 110/10W 3000K</t>
  </si>
  <si>
    <t>LED00046369</t>
  </si>
  <si>
    <t>Đèn LED Panel P08 300x1200/40W 6500K (KPK) SS-CT</t>
  </si>
  <si>
    <t>LED00046922</t>
  </si>
  <si>
    <t>Đèn LED Panel P07 600x600/30W.DA 6500K (KPK) SS</t>
  </si>
  <si>
    <t>LED00049090</t>
  </si>
  <si>
    <t>Đèn LED Panel P07 600x1200/36W.DA 6500K (KPK) SS</t>
  </si>
  <si>
    <t>LED00051540</t>
  </si>
  <si>
    <t>Đèn LED Panel P07 300x300/24W.PLUS 6500K (KPK) SS</t>
  </si>
  <si>
    <t>LED00052812</t>
  </si>
  <si>
    <t>Đèn LED Panel P06 600x600/50W T-bar 5700K TOP KN</t>
  </si>
  <si>
    <t>LED00052889</t>
  </si>
  <si>
    <t>Đèn LED Panel P07 300x300/14W.PLUS 6500K (KPK) SS</t>
  </si>
  <si>
    <t>LED00057482</t>
  </si>
  <si>
    <t>Đèn LED Panel P07 300x600/24W.PLUS 6500K (KPK) SS</t>
  </si>
  <si>
    <t>LED00060860</t>
  </si>
  <si>
    <t>Đèn LED Panel P07 1200x600/72W.GOV 6500K</t>
  </si>
  <si>
    <t>LED00062841</t>
  </si>
  <si>
    <t>Đèn LED Panel đổi màu P01 320x640/25W (KC-TOP-KN)</t>
  </si>
  <si>
    <t>LED00068515</t>
  </si>
  <si>
    <t>Đèn LED Panel P07 150x1200/28W.PLUS 4000K (KPK) SS</t>
  </si>
  <si>
    <t>LED00070220</t>
  </si>
  <si>
    <t>Đèn LED Panel P01 180x1280/40W 5700K (KC-TOP)</t>
  </si>
  <si>
    <t>LED00078636</t>
  </si>
  <si>
    <t>Đèn LED Panel P07 600x1200/75W.PLUS 6500K (KPK)</t>
  </si>
  <si>
    <t>LED00084400</t>
  </si>
  <si>
    <t>Bộ tán xạ panel MQL 1064 NBT24-LENS PC SKD (Current)</t>
  </si>
  <si>
    <t>00000298</t>
  </si>
  <si>
    <t>Đèn LED treo (D T D380/20W)</t>
  </si>
  <si>
    <t>LED00036317</t>
  </si>
  <si>
    <t>Đèn LED chiếu gương G03 6W 6500K</t>
  </si>
  <si>
    <t>LED00048473</t>
  </si>
  <si>
    <t>Bích gá đèn led thanh (góc tù)</t>
  </si>
  <si>
    <t>LED00061536</t>
  </si>
  <si>
    <t>Đèn LED chiếu hắt DCH01 10W 6500K</t>
  </si>
  <si>
    <t>LED00076454</t>
  </si>
  <si>
    <t>Đèn LED gắn tường GT21.2P 15W 6500K</t>
  </si>
  <si>
    <t>LED00078760</t>
  </si>
  <si>
    <t>Bộ đèn LED Luna BL One 1500/42W 4000K (IP65-dây AC-XK)</t>
  </si>
  <si>
    <t>LED00082097</t>
  </si>
  <si>
    <t>Đèn LED gắn tường GT20.1P 20W 4000K</t>
  </si>
  <si>
    <t>LED00033296</t>
  </si>
  <si>
    <t>Bóng LED Tube T8 TT01 600/10W 6500K</t>
  </si>
  <si>
    <t>LED00035723</t>
  </si>
  <si>
    <t>Bóng LED Tube T8 TT01 1200/20W 4000K</t>
  </si>
  <si>
    <t>LED00050777</t>
  </si>
  <si>
    <t>Bóng LED Tube T8 1200/20W.PLUS 6500K</t>
  </si>
  <si>
    <t>LED00054728</t>
  </si>
  <si>
    <t>Bóng LED Tube T8 1200/15W (DC, XK) 5700K</t>
  </si>
  <si>
    <t>LED00041372</t>
  </si>
  <si>
    <t>Đèn LED ốp trần LN12.RAD 220/18W (HL) 3000K</t>
  </si>
  <si>
    <t>LED00042012</t>
  </si>
  <si>
    <t>Đèn LED gắn tường cảm biến GT16.PIR 180/15W 6500K</t>
  </si>
  <si>
    <t>LED00042547</t>
  </si>
  <si>
    <t>Đèn bàn LED cảm ứng RD-RL-36 8W.EV</t>
  </si>
  <si>
    <t>LED00042834</t>
  </si>
  <si>
    <t>Công tắc cảm ứng RD-CT.01.NL</t>
  </si>
  <si>
    <t>LED00043097</t>
  </si>
  <si>
    <t>Cảm biến bụi mịn CB05.PM2.5.BLE</t>
  </si>
  <si>
    <t>LED00043466</t>
  </si>
  <si>
    <t>Đèn LED Downlight điều khiển Remote AT20.RM 110/9W.C10</t>
  </si>
  <si>
    <t>LED00043546</t>
  </si>
  <si>
    <t>Bảng điều khiển cảnh RD-SC05 (Trắng)</t>
  </si>
  <si>
    <t>LED00043783</t>
  </si>
  <si>
    <t>Công tắc cảm ứng RD-CT.01.BLE</t>
  </si>
  <si>
    <t>LED00047072</t>
  </si>
  <si>
    <t>Công tắc cảm ứng CTCU.BLE SNL1.01</t>
  </si>
  <si>
    <t>LED00047647</t>
  </si>
  <si>
    <t>Côngtắc cảm ứng chữ nhật CTCU.BLE RL2.01(Trắng,FPT)</t>
  </si>
  <si>
    <t>LED00047965</t>
  </si>
  <si>
    <t>Đèn LED Downlight AT04.BLE 200/25W</t>
  </si>
  <si>
    <t>LED00048296</t>
  </si>
  <si>
    <t>Đèn LED Downlight đổi màu AT20.BLE 90/7W (FPT)</t>
  </si>
  <si>
    <t>LED00048402</t>
  </si>
  <si>
    <t>Đèn LED chiếu sáng đường CSD08 150W.NEMA 5000K (QB)</t>
  </si>
  <si>
    <t>LED00050295</t>
  </si>
  <si>
    <t>Bảng điều khiển cảnh RD-SC.M4</t>
  </si>
  <si>
    <t>LED00050876</t>
  </si>
  <si>
    <t>Ổ cắm đa năng USB OC02.USB 3C/5M/10A-CT</t>
  </si>
  <si>
    <t>LED00051022</t>
  </si>
  <si>
    <t>Công tắc cảm ứng vuông CTCU.BLE V.03T</t>
  </si>
  <si>
    <t>LED00051456</t>
  </si>
  <si>
    <t>Đèn LED Downlight điều khiển Remote AT20.RM4 110/9W.C8</t>
  </si>
  <si>
    <t>LED00055446</t>
  </si>
  <si>
    <t>Bộ vỏ hình vuông CTCU.BLE S1.04 (trắng, FPT, SGBR0113)</t>
  </si>
  <si>
    <t>LED00055447</t>
  </si>
  <si>
    <t>Bộ vỏ chữ nhật CTCU.BLE R1.01 (trắng, FPT, SGBR021)</t>
  </si>
  <si>
    <t>LED00059766</t>
  </si>
  <si>
    <t>Công tắc cảm ứng chữ nhật CTCU.BLE CN.REMT MN</t>
  </si>
  <si>
    <t>LED00059778</t>
  </si>
  <si>
    <t>Công tắc cảm ứng chữ nhật CTCU.WF CN.REMT MN</t>
  </si>
  <si>
    <t>LED00059978</t>
  </si>
  <si>
    <t>Chuông báo động thông minh CBĐ01.WF</t>
  </si>
  <si>
    <t>LED00060926</t>
  </si>
  <si>
    <t>Công tắc cảm ứng chữ nhật CTCU.WF CN.02T (RL-20A)</t>
  </si>
  <si>
    <t>LED00061414</t>
  </si>
  <si>
    <t>Đèn LED Downlight AT35.BLE.UGR 120/20W 4000K</t>
  </si>
  <si>
    <t>LED00005411</t>
  </si>
  <si>
    <t>Đèn LED Panel P01 300x300/14W 3000K</t>
  </si>
  <si>
    <t>LED00005412</t>
  </si>
  <si>
    <t>Đèn LED Panel P01 300x300/14W 3500K</t>
  </si>
  <si>
    <t>LED00005420</t>
  </si>
  <si>
    <t>Đèn LED Panel P01 150x1200/28W 5000K SS</t>
  </si>
  <si>
    <t>LED00014453</t>
  </si>
  <si>
    <t>Đèn LED Panel P01 600x600/50W 6500K</t>
  </si>
  <si>
    <t>LED00016742</t>
  </si>
  <si>
    <t>Đèn LED Panel P02 600x600/35W.DA 6500K (KPK) SS</t>
  </si>
  <si>
    <t>LED00020873</t>
  </si>
  <si>
    <t>Đèn LED Panel P04 600x600/40W 3000K (KPK) SS</t>
  </si>
  <si>
    <t>LED00023247</t>
  </si>
  <si>
    <t>Đèn LED Panel P01 180x1280/50W 5700K (KC-TOP-KN) SS</t>
  </si>
  <si>
    <t>LED00026530</t>
  </si>
  <si>
    <t>Đèn LED Panel P01 600x600/48W.DA 5000K (KPK) SS</t>
  </si>
  <si>
    <t>LED00029400</t>
  </si>
  <si>
    <t>Đèn LED Panel P01 320x320/20W 5700K (KC-LG-KN) SS</t>
  </si>
  <si>
    <t>LED00029402</t>
  </si>
  <si>
    <t>Đèn LED Panel P01 320x640/25W 5700K (KC-LG-KN) SS</t>
  </si>
  <si>
    <t>LED00029770</t>
  </si>
  <si>
    <t>Đèn LED Panel P01 600x600/48W.DA 6500K (CRI90-KPK)</t>
  </si>
  <si>
    <t>LED00030017</t>
  </si>
  <si>
    <t>Đèn LED Panel P07 300x1200/45W.DA 6500K (KPK) SS</t>
  </si>
  <si>
    <t>LED00032163</t>
  </si>
  <si>
    <t>Đèn LED Panel MQL 1046 2x4 36W 4000K (Yankon)</t>
  </si>
  <si>
    <t>LED00041693</t>
  </si>
  <si>
    <t>Đèn LED Panel P06 320x1280/50W T-bar 5700K XK</t>
  </si>
  <si>
    <t>LED00045053</t>
  </si>
  <si>
    <t>Đèn LED Panel P06 640x640/50W M-bar 5700K XK-KN</t>
  </si>
  <si>
    <t>LED00048178</t>
  </si>
  <si>
    <t>Đèn LED Panel P06 640x640/50W M-bar Direct 5700K TOP</t>
  </si>
  <si>
    <t>LED00048920</t>
  </si>
  <si>
    <t>Đèn LED Panel P06 320x1280/50W M-bar Direct 5700K XK</t>
  </si>
  <si>
    <t>LED00052676</t>
  </si>
  <si>
    <t>Đèn LED Panel P07 600x600/48W.PLUS 6500K (KPK) SS</t>
  </si>
  <si>
    <t>LED00055691</t>
  </si>
  <si>
    <t>Đèn LED Panel P06 T640X640/50W Mbar direct 5700K HP</t>
  </si>
  <si>
    <t>LED00059783</t>
  </si>
  <si>
    <t>Module D P07 60x60 48W 3000K V5 (LM401BA+ TX1.2mm)</t>
  </si>
  <si>
    <t>LED00059988</t>
  </si>
  <si>
    <t>Đèn LED Panel P07 600x1200/75W.PLUS 4000K (KPK) SS</t>
  </si>
  <si>
    <t>LED00066227</t>
  </si>
  <si>
    <t>Bộ đèn LED M15 600x600/35W.PLUS 5000K SS</t>
  </si>
  <si>
    <t>LED00068224</t>
  </si>
  <si>
    <t>Đèn LED Panel P08 300x1200/50W 6500K (KPK)</t>
  </si>
  <si>
    <t>LED00039418</t>
  </si>
  <si>
    <t>Đèn LED ốp trần đổi màu MXL 1099 (Yankon)</t>
  </si>
  <si>
    <t>LED00046351</t>
  </si>
  <si>
    <t>Đèn LED ốp trần đổi màu LN12 220/22W SS-CT</t>
  </si>
  <si>
    <t>LED00046352</t>
  </si>
  <si>
    <t>Đèn LED ốp trần đổi màu LN12 300/30W SS-CT</t>
  </si>
  <si>
    <t>LED00049134</t>
  </si>
  <si>
    <t>Đèn LED ốp trần LN12 220/8W 3000K</t>
  </si>
  <si>
    <t>LED00079796</t>
  </si>
  <si>
    <t>Đèn LED ốp trần F13-1L/25W 3000K (13inch)</t>
  </si>
  <si>
    <t>LED00083662</t>
  </si>
  <si>
    <t>Đèn LED ốp trần LN12N 170/12W 3000K</t>
  </si>
  <si>
    <t>LED00083665</t>
  </si>
  <si>
    <t>Đèn LED ốp trần LN12N 170x170/12W 4000K</t>
  </si>
  <si>
    <t>LED00083684</t>
  </si>
  <si>
    <t>Đèn LED ốp trần LN12 300x300/30W 6500K</t>
  </si>
  <si>
    <t>LED00005415</t>
  </si>
  <si>
    <t>Đèn LED Panel P01 300x600/28W 3500K</t>
  </si>
  <si>
    <t>LED00005436</t>
  </si>
  <si>
    <t>Đèn LED Panel P01 300x1200/50W 6500K</t>
  </si>
  <si>
    <t>LED00005482</t>
  </si>
  <si>
    <t>Bộ đèn LED M15 300x1200/36W 3000K SS</t>
  </si>
  <si>
    <t>LED00016220</t>
  </si>
  <si>
    <t>Đèn LED Panel P05 640x640/50W.DA 5700K SS</t>
  </si>
  <si>
    <t>LED00017063</t>
  </si>
  <si>
    <t>Đèn LED Panel P02 600x600/36W.DA 4000K</t>
  </si>
  <si>
    <t>LED00021470</t>
  </si>
  <si>
    <t>Đèn LED Panel P05 600x600/50W.DA 6500K (KPK) SS</t>
  </si>
  <si>
    <t>LED00025104</t>
  </si>
  <si>
    <t>Đèn LED Panel P06 300x1200/40W 6500K (KPK) SS</t>
  </si>
  <si>
    <t>LED00025516</t>
  </si>
  <si>
    <t>Đèn LED Panel P06 600x600/40W 6500K (KPK) SS</t>
  </si>
  <si>
    <t>LED00028094</t>
  </si>
  <si>
    <t>Đèn LED Panel P04 TR03 600x600/40W 3000K SS</t>
  </si>
  <si>
    <t>LED00029909</t>
  </si>
  <si>
    <t>Đèn LED Panel đổi màu 520x520/40W (TOP-E) SS</t>
  </si>
  <si>
    <t>LED00031490</t>
  </si>
  <si>
    <t>Đèn LED Panel P07 300x2400/80W.DA 6500K (KPK) SS</t>
  </si>
  <si>
    <t>LED00041294</t>
  </si>
  <si>
    <t>Đèn LED Panel P07 600x600/35W.EV 6500K (KPK) SS</t>
  </si>
  <si>
    <t>LED00042016</t>
  </si>
  <si>
    <t>Đèn LED Panel P07 300x1200/26W.DA 6500K (KPK) SS</t>
  </si>
  <si>
    <t>LED00043318</t>
  </si>
  <si>
    <t>Đèn LED Panel P06 600x600/54W-IP54 6500K SS</t>
  </si>
  <si>
    <t>LED00051618</t>
  </si>
  <si>
    <t>Đèn LED Panel P06 640x640/40W M-bar Direct 5700K PER</t>
  </si>
  <si>
    <t>LED00051872</t>
  </si>
  <si>
    <t>Đèn LED Panel P06 600x600/40W T-Bar 5700K KC-BPC</t>
  </si>
  <si>
    <t>LED00005313</t>
  </si>
  <si>
    <t>Đèn LED ốp trần LN03 270/9W 3000K</t>
  </si>
  <si>
    <t>LED00011873</t>
  </si>
  <si>
    <t>Đèn LED ốp trần LN03 320/14W 6500K SS</t>
  </si>
  <si>
    <t>LED00019126</t>
  </si>
  <si>
    <t>Đèn LED ốp trần LN11 220/18W 6500K</t>
  </si>
  <si>
    <t>LED00020292</t>
  </si>
  <si>
    <t>Đèn LED ốp trần LN09 225/18W 6500K (Black) SS</t>
  </si>
  <si>
    <t>LED00020831</t>
  </si>
  <si>
    <t>Đèn LED ốp trần LN12 220/18W 6500K</t>
  </si>
  <si>
    <t>LED00030250</t>
  </si>
  <si>
    <t>Đèn LED ốp trần LN08 300x300/24W 6500K (Black) SS</t>
  </si>
  <si>
    <t>LED00031838</t>
  </si>
  <si>
    <t>Đèn LED ốp tường LN12 90x195/10W 6500K SS</t>
  </si>
  <si>
    <t>LED00032869</t>
  </si>
  <si>
    <t>Đèn LED ốp trần LN12 300/24W 6500K SS</t>
  </si>
  <si>
    <t>LED00034039</t>
  </si>
  <si>
    <t>Đèn LED ốp trần LN09 172/12W 6500K (Hayne) SS</t>
  </si>
  <si>
    <t>LED00035972</t>
  </si>
  <si>
    <t>Đèn LED ốp trần đổi màu LN12 220/22W SS</t>
  </si>
  <si>
    <t>LED00049710</t>
  </si>
  <si>
    <t>Đèn LED ốp trần LN12N 300/24W 3000K SS</t>
  </si>
  <si>
    <t>LED00050868</t>
  </si>
  <si>
    <t>Đèn LED ốp trần LN08 230x230/18W 3000K-CT</t>
  </si>
  <si>
    <t>LED00058937</t>
  </si>
  <si>
    <t>Đèn LED ốp trần LN08 300x300/24W 4000K.PLUS SS</t>
  </si>
  <si>
    <t>LED00060641</t>
  </si>
  <si>
    <t>Đèn LED ốp trần đổi màu LN12N 300/24W SS_CT</t>
  </si>
  <si>
    <t>LED00064859</t>
  </si>
  <si>
    <t>Đèn LED ốp trần đổi màu LN28 400/40W</t>
  </si>
  <si>
    <t>LED00066955</t>
  </si>
  <si>
    <t>Đèn LED ốp trần LN09 170/15W 3000K</t>
  </si>
  <si>
    <t>LED00083650</t>
  </si>
  <si>
    <t>Đèn LED ốp trần đổi màu LN12N 220x220/18W</t>
  </si>
  <si>
    <t>LED00083658</t>
  </si>
  <si>
    <t>Đèn LED ốp trần LN12N 300x300/24W 4000K</t>
  </si>
  <si>
    <t>LED00017855</t>
  </si>
  <si>
    <t>Đèn LED Panel P01 180x1280 40W 5700K (KC-TOP-KN) SS</t>
  </si>
  <si>
    <t>LED00026329</t>
  </si>
  <si>
    <t>Đèn LED Panel P07 300x600/28W 6500K SS</t>
  </si>
  <si>
    <t>LED00027408</t>
  </si>
  <si>
    <t>Đèn LED Panel P08 600x1200/80W 3000K (KPK) SS</t>
  </si>
  <si>
    <t>LED00028351</t>
  </si>
  <si>
    <t>Đèn LED Panel P01 320x1280/50W 5700K (KC-PER-KN) SS</t>
  </si>
  <si>
    <t>LED00029403</t>
  </si>
  <si>
    <t>Đèn LED Panel P01 520x520/40W 5700K (KC-LG-KN) SS</t>
  </si>
  <si>
    <t>LED00042113</t>
  </si>
  <si>
    <t>Đèn LED Panel P08 600x600/40W 4000K (KPK) SS</t>
  </si>
  <si>
    <t>LED00084298</t>
  </si>
  <si>
    <t>Bộ chiếu sáng MQL 1064 2x2 CBT 90C35K SKD (Current)</t>
  </si>
  <si>
    <t>LED00084341</t>
  </si>
  <si>
    <t>Bộ chiếu sáng MQL 1064 2x4 CBT 80C50K SKD (Current)</t>
  </si>
  <si>
    <t>LED00084494</t>
  </si>
  <si>
    <t>Bộ đèn Troffer 600x600/40W CCT (HBS-tính giá)</t>
  </si>
  <si>
    <t>LED00084756</t>
  </si>
  <si>
    <t>Đèn LED Panel P01 320x640/25W 5700K (KC-LME-KN)</t>
  </si>
  <si>
    <t>00000004</t>
  </si>
  <si>
    <t>Đèn LED Gắn tường GT04 HG/5W 3000K</t>
  </si>
  <si>
    <t>00000007</t>
  </si>
  <si>
    <t>Đèn LED Gắn tường GT07 5W 3000K</t>
  </si>
  <si>
    <t>00000021</t>
  </si>
  <si>
    <t>Đèn LED âm trần D500 DAT 01L 400/30W-4000K</t>
  </si>
  <si>
    <t>00000022</t>
  </si>
  <si>
    <t>Đèn LED nổi trần D900 DAT 01L/100W-4000K</t>
  </si>
  <si>
    <t>00000024</t>
  </si>
  <si>
    <t>Đèn LED nổi trần D400 DNT 01L/30W-4000K</t>
  </si>
  <si>
    <t>00000289</t>
  </si>
  <si>
    <t>B/đèn LED thả trần (BDTT04L 400/9W)-Vàng S</t>
  </si>
  <si>
    <t>LED00036316</t>
  </si>
  <si>
    <t>Đèn LED chiếu gương G03 6W 3000K</t>
  </si>
  <si>
    <t>LED00048474</t>
  </si>
  <si>
    <t>Bích gá đèn led thanh (góc vuông)</t>
  </si>
  <si>
    <t>LED00057792</t>
  </si>
  <si>
    <t>Bộ nguồn + module MODLED/PCB-9W/V/27WIP65 3000K (Lioa)</t>
  </si>
  <si>
    <t>LED00057793</t>
  </si>
  <si>
    <t>Bộ nguồn + module MODLED/PCB-9W/V/27WIP65 6500K (Lioa)</t>
  </si>
  <si>
    <t>LED00059049</t>
  </si>
  <si>
    <t>Bộ nguồn 24V 60W -N51058 (Nualight)</t>
  </si>
  <si>
    <t>LED00080146</t>
  </si>
  <si>
    <t>Đèn LED chân cầu thang RDV01 5W.GOV.V2 3000K</t>
  </si>
  <si>
    <t>LED00083234</t>
  </si>
  <si>
    <t>Đèn LED thanh Spotlight TT01 300/20W.GOV.V2 4000K</t>
  </si>
  <si>
    <t>LED00005102</t>
  </si>
  <si>
    <t>Bóng LED Tube T8 600/10W 3000K SS</t>
  </si>
  <si>
    <t>LED00005105</t>
  </si>
  <si>
    <t>Bóng LED Tube T8 600/10W.DA 3000K SS</t>
  </si>
  <si>
    <t>LED00005127</t>
  </si>
  <si>
    <t>Bóng LED Tube T8 1200/18W 3000K (ĐX)</t>
  </si>
  <si>
    <t>LED00005130</t>
  </si>
  <si>
    <t>Bóng LED Tube T8 1200/22W 6500K (ĐX)</t>
  </si>
  <si>
    <t>LED00019649</t>
  </si>
  <si>
    <t>Bóng LED Tube T8 N01 600/10W 3000K SS</t>
  </si>
  <si>
    <t>LED00025470</t>
  </si>
  <si>
    <t>Bóng LED Tube T8 TT01 1200/18W 6500K</t>
  </si>
  <si>
    <t>LED00041572</t>
  </si>
  <si>
    <t>Bóng LED Tube T8 N01 1200/20.5W (DC, XK) 5700K</t>
  </si>
  <si>
    <t>LED00005594</t>
  </si>
  <si>
    <t>Bộ CMĐ STĐ1,2mFS40/36x1 CM1*EH BACS c/bóng</t>
  </si>
  <si>
    <t>LED00005625</t>
  </si>
  <si>
    <t>Máng đèn HQ chống ẩm (M LN CA/36Wx2)</t>
  </si>
  <si>
    <t>LED00054254</t>
  </si>
  <si>
    <t>BỘ VỎ ĐÈN ÂM TRẦN 600X600 LED MEDICAL 960 LIGHT BOX (XK)</t>
  </si>
  <si>
    <t>LED00078554</t>
  </si>
  <si>
    <t>Bộ máng đèn LED Base light BL Fuji 150 (XK)</t>
  </si>
  <si>
    <t>LED00001310</t>
  </si>
  <si>
    <t>Đèn LED Downlight cảm biến AT04.PIR 110/9W 6500K SS</t>
  </si>
  <si>
    <t>LED00005151</t>
  </si>
  <si>
    <t>Bóng LED bulb cảm biến TR70.RAD/15W 6500K</t>
  </si>
  <si>
    <t>LED00005724</t>
  </si>
  <si>
    <t>Bộ điều khiển không dây cầm tay RD SC.S1</t>
  </si>
  <si>
    <t>LED00005739</t>
  </si>
  <si>
    <t>Bộ điều khiển không dây gắn tường RD SC.M1</t>
  </si>
  <si>
    <t>LED00024658</t>
  </si>
  <si>
    <t>Đèn LED ốp trần đổi màu LN17.WF.IR 550/60W</t>
  </si>
  <si>
    <t>LED00025166</t>
  </si>
  <si>
    <t>Công tắc cảm ứng đơn RD SW.01.WF</t>
  </si>
  <si>
    <t>LED00025186</t>
  </si>
  <si>
    <t>Công tắc cảm ứng NL RD-SW/NL.1</t>
  </si>
  <si>
    <t>LED00026156</t>
  </si>
  <si>
    <t>Đèn LED Downlight dự phòng AT04.DP 155/25W 6500K SS</t>
  </si>
  <si>
    <t>LED00031592</t>
  </si>
  <si>
    <t>Bộ đèn LED Tube T8 CA01.DP/20Wx1 6500K SS</t>
  </si>
  <si>
    <t>LED00032790</t>
  </si>
  <si>
    <t>Đèn LED Panel đổi màu PT04.BLE 110/7W</t>
  </si>
  <si>
    <t>LED00033870</t>
  </si>
  <si>
    <t>Đèn LED Downlight đổi màu AT14.BLE 76/7W</t>
  </si>
  <si>
    <t>LED00035648</t>
  </si>
  <si>
    <t>Bộ điều khiển không dây cầm tay RD SC.S1 V2</t>
  </si>
  <si>
    <t>LED00036027</t>
  </si>
  <si>
    <t>Đèn LED ốp trần cảm biến LN09.RAD 230/18W.DA 6500K SS</t>
  </si>
  <si>
    <t>LED00037837</t>
  </si>
  <si>
    <t>Đèn LED Downlight khẩn cấp AT07.KC 90/5W 6500K-PCCC</t>
  </si>
  <si>
    <t>LED00041796</t>
  </si>
  <si>
    <t>Đèn LED Downlight điều khiển Remote AT16.RM 110/9W.C8</t>
  </si>
  <si>
    <t>LED00041797</t>
  </si>
  <si>
    <t>Đèn LED Downlight điều khiển Remote AT16.RM 110/9W.C10</t>
  </si>
  <si>
    <t>LED00043792</t>
  </si>
  <si>
    <t>Công tắc cảm ứng chữ nhật CTCU.BLE R1.NL (trắng, FPT)</t>
  </si>
  <si>
    <t>LED00044161</t>
  </si>
  <si>
    <t>Công tắc cảm ứng RD-CT.03</t>
  </si>
  <si>
    <t>LED00044162</t>
  </si>
  <si>
    <t>Công tắc cảm ứng chữ nhật CTCU.BLE R1.04 (đen, FPT)</t>
  </si>
  <si>
    <t>LED00044175</t>
  </si>
  <si>
    <t>Đèn bàn LED cảm ứng RD-RL-60 8W</t>
  </si>
  <si>
    <t>LED00028370</t>
  </si>
  <si>
    <t>Ổ cắm wifi đơn P E001/10A.WF</t>
  </si>
  <si>
    <t>LED00032011</t>
  </si>
  <si>
    <t>Đèn LED ốp trần LN12.RAD 220x220/18W (HL) 6500K</t>
  </si>
  <si>
    <t>LED00033180</t>
  </si>
  <si>
    <t>Đèn LED ốp trần cảm biến LN05.RAD 220/14W.DA 6500K SS</t>
  </si>
  <si>
    <t>LED00034330</t>
  </si>
  <si>
    <t>Bộ điều khiển trung tâm RD-HC01</t>
  </si>
  <si>
    <t>LED00034752</t>
  </si>
  <si>
    <t>Đèn LED ốp trần LN12.RAD 220x220/18W (WC) 6500K</t>
  </si>
  <si>
    <t>LED00034780</t>
  </si>
  <si>
    <t>Đèn LED Downlight đổi màu AT18.BLE 60/7W</t>
  </si>
  <si>
    <t>LED00039571</t>
  </si>
  <si>
    <t>Bóng LED Bulb cảm biến TR70/15W.RAD 6500K B22 (Yemen)</t>
  </si>
  <si>
    <t>LED00041792</t>
  </si>
  <si>
    <t>Đèn LED Downlight điều khiển Remote AT16.RM 90/7W.C8</t>
  </si>
  <si>
    <t>LED00041795</t>
  </si>
  <si>
    <t>Đèn LED Downlight điều khiển Remote AT16.RM 110/9W.C6</t>
  </si>
  <si>
    <t>LED00042287</t>
  </si>
  <si>
    <t>Ổ cắm thông minh OC02.WF 3C/3M/10A</t>
  </si>
  <si>
    <t>LED00043468</t>
  </si>
  <si>
    <t>Đèn LED Downlight điều khiển Remote AT20.RM 90/7W.C6</t>
  </si>
  <si>
    <t>LED00043525</t>
  </si>
  <si>
    <t>Bảng điều khiển cảnh RD-SC05</t>
  </si>
  <si>
    <t>LED00043786</t>
  </si>
  <si>
    <t>Công tắc cảm ứng chữ nhật CTCU.BLE R1.02 (trắng, FPT)</t>
  </si>
  <si>
    <t>LED00047644</t>
  </si>
  <si>
    <t>Công tắc cảm ứng chữ nhật CTCU.BLE RL2.01 (đen,FPT)</t>
  </si>
  <si>
    <t>LED00048017</t>
  </si>
  <si>
    <t>Bộ nguồn điều khiển LED dây LD01 1000/7W.QT</t>
  </si>
  <si>
    <t>LED00048282</t>
  </si>
  <si>
    <t>Cảm biến cửa CB08.DO.BLE (FPT)</t>
  </si>
  <si>
    <t>LED00049145</t>
  </si>
  <si>
    <t>Công tắc cơ điện tử CTC N1.01</t>
  </si>
  <si>
    <t>LED00051020</t>
  </si>
  <si>
    <t>Công tắc cảm ứng vuông CTCU.BLE V.01T</t>
  </si>
  <si>
    <t>LED00052393</t>
  </si>
  <si>
    <t>Đèn LED Chiếu pha NLMT CP02.SL.RF 50W 3000K</t>
  </si>
  <si>
    <t>LED00052955</t>
  </si>
  <si>
    <t>Đèn LED sân vườn NLMT DSV01.SL 2W (Kim cương) 3000K</t>
  </si>
  <si>
    <t>LED00052956</t>
  </si>
  <si>
    <t>Đèn LED sân vườn NLMT DSV01.SL 2W (Sóng nước) 3000K</t>
  </si>
  <si>
    <t>LED00054412</t>
  </si>
  <si>
    <t>Bộ đèn LED thủy sinh TS03.WBR 1200/25W (12VDC)</t>
  </si>
  <si>
    <t>LED00054419</t>
  </si>
  <si>
    <t>Bộ đèn LED thủy sinh TS03.W 1200/30W (12VDC)</t>
  </si>
  <si>
    <t>LED00055452</t>
  </si>
  <si>
    <t>Bộ vỏ chữ nhật CTCU.BLE R1.02 (trắng, FPT, SGBR022)</t>
  </si>
  <si>
    <t>LED00084460</t>
  </si>
  <si>
    <t>Đèn LED Panel P06 750x900/50W T-Bar 5700K KC-BPC</t>
  </si>
  <si>
    <t>LED00084504</t>
  </si>
  <si>
    <t>Đèn LED Panel P07 600x600/35W.PLUS 4000K</t>
  </si>
  <si>
    <t>00000005</t>
  </si>
  <si>
    <t>Đèn LED Gắn tường GT04 HG/5W 6500K</t>
  </si>
  <si>
    <t>00000013</t>
  </si>
  <si>
    <t>Đèn LED Gắn tường GT12 5W 3000K</t>
  </si>
  <si>
    <t>00000016</t>
  </si>
  <si>
    <t>Đèn LED Gắn tường GT04 HG/5W.DA 3000K</t>
  </si>
  <si>
    <t>LED00014287</t>
  </si>
  <si>
    <t>Đèn LED chiếu gương G02 6W 6500K</t>
  </si>
  <si>
    <t>LED00030467</t>
  </si>
  <si>
    <t>Đèn LED gắn tường GT06 CD/2.5W E14</t>
  </si>
  <si>
    <t>LED00035030</t>
  </si>
  <si>
    <t>Đèn LED Treo thả quầy TQ01 200 9W 4000K</t>
  </si>
  <si>
    <t>LED00036344</t>
  </si>
  <si>
    <t>Đèn LED dây đổi màu LD01.RGBW (DC 24V)</t>
  </si>
  <si>
    <t>LED00039705</t>
  </si>
  <si>
    <t>Đèn LED ốp tường đổi màu LN18 83x60/6W SS</t>
  </si>
  <si>
    <t>LED00050865</t>
  </si>
  <si>
    <t>Đèn LED gắn tường GT06 CD/2.5W E14-CT</t>
  </si>
  <si>
    <t>LED00059056</t>
  </si>
  <si>
    <t>Bộ nguồn 24V 20W -N51121 (Nualight)</t>
  </si>
  <si>
    <t>LED00062016</t>
  </si>
  <si>
    <t>Đèn LED chiếu hắt DCH01 15W 4000K</t>
  </si>
  <si>
    <t>LED00078758</t>
  </si>
  <si>
    <t>Bộ đèn LED Luna BL One 1500/26W 4000K (IP65-XK)</t>
  </si>
  <si>
    <t>LED00078763</t>
  </si>
  <si>
    <t>Bộ đèn LED Luna BL One 1500/69W 4000K (IP65-dây AC-XK)</t>
  </si>
  <si>
    <t>LED00080127</t>
  </si>
  <si>
    <t>Đèn LED gắn tường GT20.2P 10W.GOV.V2 3000K</t>
  </si>
  <si>
    <t>LED00005110</t>
  </si>
  <si>
    <t>Bóng LED Tube T8 N01 600/10W 6500K SS</t>
  </si>
  <si>
    <t>LED00034318</t>
  </si>
  <si>
    <t>Bóng LED Tube T8 1200/20W.DA 5000K SS</t>
  </si>
  <si>
    <t>LED00035724</t>
  </si>
  <si>
    <t>Bóng LED Tube T8 TT01 1200/20W 3000K</t>
  </si>
  <si>
    <t>LED00037850</t>
  </si>
  <si>
    <t>Bóng LED Tube T8 1200/20W 3000K LPF SS</t>
  </si>
  <si>
    <t>LED00048274</t>
  </si>
  <si>
    <t>Bóng LED Tube T8 600/10W.DA 6500K</t>
  </si>
  <si>
    <t>LED00048597</t>
  </si>
  <si>
    <t>Bóng LED Tube T8 1200/16W.DA 5000K (125 lm/W)</t>
  </si>
  <si>
    <t>LED00061240</t>
  </si>
  <si>
    <t>Đèn LED T3 150/2.4W 5700K (XK-KV)</t>
  </si>
  <si>
    <t>00000239</t>
  </si>
  <si>
    <t>Máng HQ âm trânFS-40/36x4-M6-balát đ/tử IC</t>
  </si>
  <si>
    <t>00000242</t>
  </si>
  <si>
    <t>Máng HQ âmtrần(FS40/36x3-M6MC)BL đ/tử</t>
  </si>
  <si>
    <t>LED00083800</t>
  </si>
  <si>
    <t>Đèn LED Downlight MXTL1057 12W 5CCT (Yankon-DECO)</t>
  </si>
  <si>
    <t>LED00083970</t>
  </si>
  <si>
    <t>Đèn LED panel P59 12inch/24W 5CCT (YOURZOR)</t>
  </si>
  <si>
    <t>LED00005331</t>
  </si>
  <si>
    <t>Đèn LED ốp trần LN08 230x230/18W 6500K SS</t>
  </si>
  <si>
    <t>LED00005335</t>
  </si>
  <si>
    <t>Đèn LED ốp trần LN09 225/18W 6500K SS</t>
  </si>
  <si>
    <t>LED00012891</t>
  </si>
  <si>
    <t>Đèn LED ốp trần LN08 300x300/24W 3000K</t>
  </si>
  <si>
    <t>LED00030246</t>
  </si>
  <si>
    <t>Đèn LED ốp trần LN08 300x300/24W.DA 6500K</t>
  </si>
  <si>
    <t>LED00045437</t>
  </si>
  <si>
    <t>Đèn LED ốp trần LN09 300/24W 6500K SS-CT</t>
  </si>
  <si>
    <t>LED00045438</t>
  </si>
  <si>
    <t>Đèn LED ốp trần LN12N 170x170/12W 6500K SS-CT</t>
  </si>
  <si>
    <t>LED00045439</t>
  </si>
  <si>
    <t>Đèn LED ốp trần LN12N 220x220/18W 6500K SS-CT</t>
  </si>
  <si>
    <t>LED00045442</t>
  </si>
  <si>
    <t>Đèn LED ốp trần LN12 300x300/30W 6500K SS-CT</t>
  </si>
  <si>
    <t>LED00051080</t>
  </si>
  <si>
    <t>Đèn LED ốp trần LN12N 220/18W 6500K-CTT</t>
  </si>
  <si>
    <t>LED00051408</t>
  </si>
  <si>
    <t>Đèn LED ốp trần LN12 300/30W 6500K-TC</t>
  </si>
  <si>
    <t>LED00056550</t>
  </si>
  <si>
    <t>Đèn LED ốp trần LN08 300x300/30W 6500K</t>
  </si>
  <si>
    <t>LED00058037</t>
  </si>
  <si>
    <t>Đèn LED ốp trần LN12 300/32W 6500K SS</t>
  </si>
  <si>
    <t>LED00060867</t>
  </si>
  <si>
    <t>Đèn LED ốp trần LN12 170x170/15W 3000K SS</t>
  </si>
  <si>
    <t>LED00073137</t>
  </si>
  <si>
    <t>Đèn LED ốp trần LN12N 240/20W 5700K (XK)</t>
  </si>
  <si>
    <t>LED00083645</t>
  </si>
  <si>
    <t>Đèn LED ốp trần đổi màu LN12N 170x170/12W</t>
  </si>
  <si>
    <t>LED00083646</t>
  </si>
  <si>
    <t>Đèn LED ốp trần LN12N 220/18W 6500K</t>
  </si>
  <si>
    <t>LED00083661</t>
  </si>
  <si>
    <t>Đèn LED ốp trần LN12N 220/18W 4000K</t>
  </si>
  <si>
    <t>LED00017308</t>
  </si>
  <si>
    <t>Đèn LED Panel P02 TTR03 600x600 36W 6500K SS</t>
  </si>
  <si>
    <t>LED00023452</t>
  </si>
  <si>
    <t>Bộ đèn LED M15 600x600/35W.DA 4000K SS</t>
  </si>
  <si>
    <t>LED00027407</t>
  </si>
  <si>
    <t>Đèn LED Panel P08 600x1200/80W 6500K (KPK) SS</t>
  </si>
  <si>
    <t>LED00027410</t>
  </si>
  <si>
    <t>Đèn LED Panel P08 300x1200/40W 3000K (KPK) SS</t>
  </si>
  <si>
    <t>LED00028802</t>
  </si>
  <si>
    <t>Đèn LED Panel P05 640x640/50W.DA 4000K SS</t>
  </si>
  <si>
    <t>LED00049936</t>
  </si>
  <si>
    <t>Đèn LED Panel P06 320x1280/40W M-bar 5700K TOP</t>
  </si>
  <si>
    <t>LED00051616</t>
  </si>
  <si>
    <t>Đèn LED Panel P06 320x1280/40W M-bar Direct 5700K PER</t>
  </si>
  <si>
    <t>LED00053440</t>
  </si>
  <si>
    <t>Đèn LED Panel P07 300x1600/40W.PLUS 4000K (KPK) SS</t>
  </si>
  <si>
    <t>LED00057980</t>
  </si>
  <si>
    <t>Bộ đèn LED M15 600x600/35W.PLUS 6500K SS</t>
  </si>
  <si>
    <t>LED00058360</t>
  </si>
  <si>
    <t>Đèn LED Panel P01 600x600/50W Tbar 5700K (KC-KN) SS</t>
  </si>
  <si>
    <t>LED00059792</t>
  </si>
  <si>
    <t>Đèn LED Panel P07 600x600/48W.DA 3000K (KPK) SS</t>
  </si>
  <si>
    <t>LED00061078</t>
  </si>
  <si>
    <t>Đèn LED Panel P08 600x1200/80W 4000K (KPK) SS</t>
  </si>
  <si>
    <t>LED00070117</t>
  </si>
  <si>
    <t>Đèn LED Panel P01 320x640/25W 5700K (KC-TOP)</t>
  </si>
  <si>
    <t>LED00076677</t>
  </si>
  <si>
    <t>Đèn LED Panel P06.UGR19 300x1200/50W 6500K</t>
  </si>
  <si>
    <t>LED00081954</t>
  </si>
  <si>
    <t>Đèn LED Panel P08 300x1200/50W 4000K (KPK)</t>
  </si>
  <si>
    <t>LED00084240</t>
  </si>
  <si>
    <t>Bộ chiếu sáng MQL 1064 1x4 CBT 80C35K SKD (Current)</t>
  </si>
  <si>
    <t>LED00084263</t>
  </si>
  <si>
    <t>Bộ chiếu sáng MQL 1064 1x4 CBT 90C50K SKD (Current)</t>
  </si>
  <si>
    <t>LED00084347</t>
  </si>
  <si>
    <t>Bộ chiếu sáng MQL 1064 2x4 CBT 90C35K SKD (Current)</t>
  </si>
  <si>
    <t>00000001</t>
  </si>
  <si>
    <t>Đèn LED Gắn tường GT03 V/5W 3000K</t>
  </si>
  <si>
    <t>LED00014288</t>
  </si>
  <si>
    <t>Đèn LED chiếu gương G02 6W 3000K</t>
  </si>
  <si>
    <t>LED00048472</t>
  </si>
  <si>
    <t>Bích gá đèn pha 9W/36W (chiếu góc mái)</t>
  </si>
  <si>
    <t>LED00077051</t>
  </si>
  <si>
    <t>Đèn LED gắn tường GT21.1P 10W 3000K</t>
  </si>
  <si>
    <t>LED00078761</t>
  </si>
  <si>
    <t>Bộ đèn LED Luna BL One 1500/42W Dali 4000K (IP65-XK)</t>
  </si>
  <si>
    <t>LED00081289</t>
  </si>
  <si>
    <t>Đèn LED âm nước AN03.DMX.RGB 32W 10D (IP68)</t>
  </si>
  <si>
    <t>LED00005101</t>
  </si>
  <si>
    <t>Bóng LED Tube T8 600/10W 6500K SS</t>
  </si>
  <si>
    <t>LED00005121</t>
  </si>
  <si>
    <t>Bóng LED Tube T5 1150/16W 4000K (CRI80)</t>
  </si>
  <si>
    <t>LED00013377</t>
  </si>
  <si>
    <t>Bóng LED Tube T8 1200/18W 5000K (ĐX)</t>
  </si>
  <si>
    <t>LED00018454</t>
  </si>
  <si>
    <t>Bóng LED Tube T8 TT01 1200/18W 6500K (CE) SS</t>
  </si>
  <si>
    <t>LED00030849</t>
  </si>
  <si>
    <t>Bóng LED Tube T8 1500/23W 4000K SS</t>
  </si>
  <si>
    <t>LED00055685</t>
  </si>
  <si>
    <t>Đèn LED Panel P06 T320x1280/50W.2 Mbar direct 5700K HB</t>
  </si>
  <si>
    <t>LED00055699</t>
  </si>
  <si>
    <t>Đèn LED Panel P06 M640X640/50W.2 Mbar 5700K HP</t>
  </si>
  <si>
    <t>LED00055700</t>
  </si>
  <si>
    <t>Đèn LED Panel P06 M640X640/50W.2 Mbar 5700K HB</t>
  </si>
  <si>
    <t>LED00063126</t>
  </si>
  <si>
    <t>Đèn LED Panel P08 600x600/50W 4000K (KPK) SS</t>
  </si>
  <si>
    <t>LED00063812</t>
  </si>
  <si>
    <t>Đèn LED Panel P07 600x600/48W 6500K (KPK) SS</t>
  </si>
  <si>
    <t>LED00064969</t>
  </si>
  <si>
    <t>Đèn LED Panel P07 300x2000/48W.PLUS 4000K (KPK) SS</t>
  </si>
  <si>
    <t>LED00068191</t>
  </si>
  <si>
    <t>Đèn LED Panel P08 600x600/50W 6500K (KPK)</t>
  </si>
  <si>
    <t>LED00068507</t>
  </si>
  <si>
    <t>Đèn LED Panel P06 300x1200/50W 6500K-CT</t>
  </si>
  <si>
    <t>LED00068508</t>
  </si>
  <si>
    <t>Đèn LED Panel P06 600x600/50W 6500K-CT</t>
  </si>
  <si>
    <t>LED00068513</t>
  </si>
  <si>
    <t>Đèn LED Panel P07 300x1200/35W.PLUS 3000K (KPK) SS</t>
  </si>
  <si>
    <t>LED00081847</t>
  </si>
  <si>
    <t>Đèn LED Panel P07 300x1200/48W.PLUS 6500K (KPK)</t>
  </si>
  <si>
    <t>LED00082241</t>
  </si>
  <si>
    <t>Đèn LED Panel P06 M320x1280/50W.2 Mbar 5700K HB - KN</t>
  </si>
  <si>
    <t>LED00084395</t>
  </si>
  <si>
    <t>Bộ tán xạ panel MQL 1064 NBT14-LENS PS SKD (Current)</t>
  </si>
  <si>
    <t>LED00084535</t>
  </si>
  <si>
    <t>Đèn LED Panel đổi màu P06 600x600/50W (XK HBS)</t>
  </si>
  <si>
    <t>LED00084754</t>
  </si>
  <si>
    <t>Đèn LED Panel P01 320x1280/50W 5700K (KC-LME-KN)</t>
  </si>
  <si>
    <t>LED00084755</t>
  </si>
  <si>
    <t>Đèn LED Panel P01 640x640/50W 5700K (KC-LME-KN)</t>
  </si>
  <si>
    <t>00000002</t>
  </si>
  <si>
    <t>Đèn LED Gắn tường GT03 V/5W 5000K</t>
  </si>
  <si>
    <t>00000288</t>
  </si>
  <si>
    <t>B/đèn LED thả trần (BDTT04L 400/9W)-Trắng S</t>
  </si>
  <si>
    <t>00000532</t>
  </si>
  <si>
    <t>Đèn thả trần đổi màu D TT01L ĐM D600/30W</t>
  </si>
  <si>
    <t>LED00012908</t>
  </si>
  <si>
    <t>Đèn LED Gắn tường GT05 T/5W 6500K</t>
  </si>
  <si>
    <t>LED00043943</t>
  </si>
  <si>
    <t>Đèn LED Gắn tường GT19 5W 4000K</t>
  </si>
  <si>
    <t>LED00044300</t>
  </si>
  <si>
    <t>Đèn LED Gắn tường GT18.4M 8W 3000K</t>
  </si>
  <si>
    <t>LED00063802</t>
  </si>
  <si>
    <t>Đèn LED gắn tường GTX01 8W 4000K (XK - Nina)</t>
  </si>
  <si>
    <t>LED00005115</t>
  </si>
  <si>
    <t>Bộ đèn LED TUBE BD  LT01 T5/16W Trắng S</t>
  </si>
  <si>
    <t>LED00062577</t>
  </si>
  <si>
    <t>Ổ cắm thông minh WiFi OC08.WF.USB 3C/10A (Đen)</t>
  </si>
  <si>
    <t>LED00062653</t>
  </si>
  <si>
    <t>Đèn LED chiếu sáng đường CSD08 120W.NEMA.PC 4000K</t>
  </si>
  <si>
    <t>LED00063370</t>
  </si>
  <si>
    <t>Cảm biến nhiệt CB14.TE.RF</t>
  </si>
  <si>
    <t>LED00075047</t>
  </si>
  <si>
    <t>Cảm biến EC, độ ẩm, nhiệt độ đất CB06-NN.ECHT.BLE</t>
  </si>
  <si>
    <t>LED00075204</t>
  </si>
  <si>
    <t>Hệ điện áp mái NLMT SLS.R1P 6KW</t>
  </si>
  <si>
    <t>LED00075220</t>
  </si>
  <si>
    <t>Hệ điện áp mái NLMT SLS.3P 15KW</t>
  </si>
  <si>
    <t>LED00081346</t>
  </si>
  <si>
    <t>Nút báo cháy thông minh NBC01.RF</t>
  </si>
  <si>
    <t>LED00084150</t>
  </si>
  <si>
    <t>Hệ điện áp mái NLMT SLS.R3P 10KW V2</t>
  </si>
  <si>
    <t>LED00084153</t>
  </si>
  <si>
    <t>Hệ điện áp mái NLMT SLS.3P 10KW V2</t>
  </si>
  <si>
    <t>LED00084162</t>
  </si>
  <si>
    <t>Hệ điện áp mái NLMT SLS.3P 80KW</t>
  </si>
  <si>
    <t>LED00084178</t>
  </si>
  <si>
    <t>Hệ điện áp mái NLMT SLS.3P 8.5KW (KNC)</t>
  </si>
  <si>
    <t>Phích cắm, ổ cắm, công tắc</t>
  </si>
  <si>
    <t>00000326</t>
  </si>
  <si>
    <t>Đui đèn chống thấm nước E27</t>
  </si>
  <si>
    <t>LED00005748</t>
  </si>
  <si>
    <t>ổ cắm diđộng đanăng(OCDĐ-02)6A-250V</t>
  </si>
  <si>
    <t>LED00054756</t>
  </si>
  <si>
    <t>Hạt ổ cắm âm tường HOC02 2C/16A</t>
  </si>
  <si>
    <t>LED00054759</t>
  </si>
  <si>
    <t>Hạt chiết áp đèn âm tường HCA D01/300W</t>
  </si>
  <si>
    <t>LED00070502</t>
  </si>
  <si>
    <t>Mặt công tắc ổ cắm âm tường MOC02 70x120x9/3H</t>
  </si>
  <si>
    <t>LED00074759</t>
  </si>
  <si>
    <t>Aptomat ngắn mạch RD.MCB 2P2E 10A</t>
  </si>
  <si>
    <t>LED00074793</t>
  </si>
  <si>
    <t>Aptomat chống giật RD.RCBO 1P+N 50A</t>
  </si>
  <si>
    <t>Phích hoàn chỉnh</t>
  </si>
  <si>
    <t>PHN00001333</t>
  </si>
  <si>
    <t>Phích 1040 ST1-1L-Th/Inox</t>
  </si>
  <si>
    <t>PHN00001337</t>
  </si>
  <si>
    <t>Phích 1040TS-1L - RĐ</t>
  </si>
  <si>
    <t>PHN00001348</t>
  </si>
  <si>
    <t>Phích chân không 1045( vỏ inox) 1.0L</t>
  </si>
  <si>
    <t>PHN00001351</t>
  </si>
  <si>
    <t>Phích cháo</t>
  </si>
  <si>
    <t>PHN00010768</t>
  </si>
  <si>
    <t>Phích 1640 ST2-1.6L- thân Inox</t>
  </si>
  <si>
    <t>PHN00011763</t>
  </si>
  <si>
    <t>Phích xuất khẩu 1055 N1.E Yemen</t>
  </si>
  <si>
    <t>PHN00011786</t>
  </si>
  <si>
    <t>Phích xuất khẩu 1235 N1 TRD</t>
  </si>
  <si>
    <t>LED00017873</t>
  </si>
  <si>
    <t>Đèn LED Pin đội đầu PDD02 3W trắng</t>
  </si>
  <si>
    <t>LED00005165</t>
  </si>
  <si>
    <t>Bóng LED Bulb A80N1/12W E27 6500K (XK)</t>
  </si>
  <si>
    <t>LED00005194</t>
  </si>
  <si>
    <t>B/đèn LED trang trí(LED TT01/2,5W)B22-Vàng</t>
  </si>
  <si>
    <t>LED00005196</t>
  </si>
  <si>
    <t>B/đèn LED trang trí(LED TT01/2,5W)E27-Đỏ</t>
  </si>
  <si>
    <t>LED00005234</t>
  </si>
  <si>
    <t>Bóng đèn LED A60N 12VDC/3W E27 3500K</t>
  </si>
  <si>
    <t>LED00005239</t>
  </si>
  <si>
    <t>Bóng LED Bulb A60/5W E27 (12VDC) 6500K</t>
  </si>
  <si>
    <t>LED00012033</t>
  </si>
  <si>
    <t>Bóng LED Bulb A60N1/9W E27 6500K (12-24VDC) SS</t>
  </si>
  <si>
    <t>LED00012923</t>
  </si>
  <si>
    <t>Bóng LED Bulb TR60N2/12W E27 3000K SS</t>
  </si>
  <si>
    <t>LED00012956</t>
  </si>
  <si>
    <t>Bóng LED Bulb TR140N1/50W E27 6500K SS</t>
  </si>
  <si>
    <t>LED00031634</t>
  </si>
  <si>
    <t>Bóng đèn LED (LED A60N/3W)E27-á/s trắng</t>
  </si>
  <si>
    <t>LED00033832</t>
  </si>
  <si>
    <t>Bóng LED Bulb TR120N1/40W E27 12000K SS (XK)</t>
  </si>
  <si>
    <t>LED00033841</t>
  </si>
  <si>
    <t>Bóng LED Bulb TR120N1/40W E27 3000K SS (XK)</t>
  </si>
  <si>
    <t>LED00036219</t>
  </si>
  <si>
    <t>LED BULB(LED TR60N2/10W) E27-6500K(SS)-CTT</t>
  </si>
  <si>
    <t>LED00040476</t>
  </si>
  <si>
    <t>Bóng LED Bulb TR70N1/9W E27 12000K (12VDC)</t>
  </si>
  <si>
    <t>LED00052563</t>
  </si>
  <si>
    <t>Bóng LED Bulb TR80N/20W B22 12000K (12VDC)</t>
  </si>
  <si>
    <t>LED00057767</t>
  </si>
  <si>
    <t>Bóng LED Bulb TR100N1/30W E27 3000K SS (XK)</t>
  </si>
  <si>
    <t>LED00057785</t>
  </si>
  <si>
    <t>Bóng LED Bulb A60N1/9W.H E27 6500K-CTT</t>
  </si>
  <si>
    <t>LED00058254</t>
  </si>
  <si>
    <t>Bóng LED bulb TR70N1/12W.DC 6500K (12-24VDC Kẹp)</t>
  </si>
  <si>
    <t>LED00077123</t>
  </si>
  <si>
    <t>Bóng LED Bulb TR120N1/40W B22 12000K (XK)</t>
  </si>
  <si>
    <t>LED00079938</t>
  </si>
  <si>
    <t>Bóng LED Bulb TR135/80W E27 6500K</t>
  </si>
  <si>
    <t>LED00005375</t>
  </si>
  <si>
    <t>Đèn LED Chiếu pha CP03 70W 3000K SS</t>
  </si>
  <si>
    <t>LED00005406</t>
  </si>
  <si>
    <t>Đèn LED chiếu sáng đường CSD01 150W 4000K (HY)</t>
  </si>
  <si>
    <t>LED00017845</t>
  </si>
  <si>
    <t>Đèn LED chiếu sáng đường CSD04 150W 5000K</t>
  </si>
  <si>
    <t>LED00022030</t>
  </si>
  <si>
    <t>Đèn LED chiếu sáng đường CSD02 150W 4000K</t>
  </si>
  <si>
    <t>LED00024035</t>
  </si>
  <si>
    <t>Đèn LED Chiếu pha CP06 200W 6500K SS</t>
  </si>
  <si>
    <t>LED00024661</t>
  </si>
  <si>
    <t>Đèn LED ốp trần đổi màu LN18.WF.IR 500/48W</t>
  </si>
  <si>
    <t>LED00025829</t>
  </si>
  <si>
    <t>Bộ đèn LED Tube dự phòng T8.DP M11/18Wx1 6500K SS</t>
  </si>
  <si>
    <t>LED00025831</t>
  </si>
  <si>
    <t>Bộ đèn LED Tube đổi màu T5 LT03 1200/16W SS</t>
  </si>
  <si>
    <t>LED00026819</t>
  </si>
  <si>
    <t>Đèn LED Panel đổi màu P02.WF 300x1200/40W SS</t>
  </si>
  <si>
    <t>LED00028285</t>
  </si>
  <si>
    <t>Đèn LED Panel đổi màu P07.WF 300x1200/40W SS</t>
  </si>
  <si>
    <t>LED00028368</t>
  </si>
  <si>
    <t>Đèn LED Panel đổi màu PT04.RF 110/9W</t>
  </si>
  <si>
    <t>LED00030247</t>
  </si>
  <si>
    <t>Đèn LED ốp trần cảm biến LN09.RAD 300/24W.DA 6500K SS</t>
  </si>
  <si>
    <t>LED00030314</t>
  </si>
  <si>
    <t>Đèn LED gắn tường GT08.RF/6W SS</t>
  </si>
  <si>
    <t>LED00030893</t>
  </si>
  <si>
    <t>Đèn LED Downlight đổi màu AT16.BLE 90/7W SS</t>
  </si>
  <si>
    <t>LED00036827</t>
  </si>
  <si>
    <t>Đèn LED Thả trần đổi màu TTR01.BLE 12W</t>
  </si>
  <si>
    <t>LED00036921</t>
  </si>
  <si>
    <t>Đèn LED Downlight đổi màu AT19.BLE 80/12W (A24)</t>
  </si>
  <si>
    <t>LED00042824</t>
  </si>
  <si>
    <t>Công tắc cảm ứng RD-CT.01.WF (Đen)</t>
  </si>
  <si>
    <t>LED00044125</t>
  </si>
  <si>
    <t>Đèn LED Downlight xoay góc đổi màu AT22.BLE 60/9W</t>
  </si>
  <si>
    <t>LED00045834</t>
  </si>
  <si>
    <t>Ổ cắm chống giật âm tường OCAT01 1C/16A</t>
  </si>
  <si>
    <t>LED00047075</t>
  </si>
  <si>
    <t>Công tắc cảm ứng CTCU.BLE SNL1.04</t>
  </si>
  <si>
    <t>LED00047568</t>
  </si>
  <si>
    <t>Công tắc cảm ứng vuông CTCU.BLE S1.04 (đen, FPT)</t>
  </si>
  <si>
    <t>LED00050863</t>
  </si>
  <si>
    <t>Đèn LED Downlight khẩn cấp AT07.KC 90/5W 6500K-CT</t>
  </si>
  <si>
    <t>LED00051034</t>
  </si>
  <si>
    <t>Công tắc cảm ứng vuông CTCU.WF V.REMT</t>
  </si>
  <si>
    <t>LED00051281</t>
  </si>
  <si>
    <t>Công tắc cơ điện tử CTC.BLE V1.02</t>
  </si>
  <si>
    <t>LED00051496</t>
  </si>
  <si>
    <t>Bộ điều khiển đèn đường RD-CSD.ĐK01</t>
  </si>
  <si>
    <t>LED00055442</t>
  </si>
  <si>
    <t>Bộ vỏ hình vuông CTCU.BLE S1.02 (trắng, FPT, SGBR011)</t>
  </si>
  <si>
    <t>LED00055754</t>
  </si>
  <si>
    <t>Công tắc cơ điện tử CTC.WF V1.02 (Ralli)</t>
  </si>
  <si>
    <t>LED00055911</t>
  </si>
  <si>
    <t>Công tắc cảm ứng chữ nhật CTCU.BLE CN.01T (Viettel)</t>
  </si>
  <si>
    <t>LED00056220</t>
  </si>
  <si>
    <t>Đui đèn cảm biến ĐCB01.PIR E27/300W-CT</t>
  </si>
  <si>
    <t>LED00012904</t>
  </si>
  <si>
    <t>Đèn LED Downlight AT05 110/9W 6500K SS</t>
  </si>
  <si>
    <t>LED00013924</t>
  </si>
  <si>
    <t>Đèn LED Panel PT03 90/6W 6500K SS</t>
  </si>
  <si>
    <t>LED00013926</t>
  </si>
  <si>
    <t>Đèn LED Panel PT03 110/9W 3000K</t>
  </si>
  <si>
    <t>LED00019829</t>
  </si>
  <si>
    <t>Đèn LED Downlight AT04 155/16W.DA 4000K SS</t>
  </si>
  <si>
    <t>LED00023861</t>
  </si>
  <si>
    <t>Đèn LED Panel PT04 110/9W 3000K SS</t>
  </si>
  <si>
    <t>LED00023961</t>
  </si>
  <si>
    <t>Đèn LED Downlight AT16 110/9W.DA 6500K SS</t>
  </si>
  <si>
    <t>LED00025771</t>
  </si>
  <si>
    <t>Đèn LED Downlight AT04 110/12W.DA 3000K SS</t>
  </si>
  <si>
    <t>LED00027576</t>
  </si>
  <si>
    <t>Đèn LED Downlight đổi màu AT10 60/3W (G) SS</t>
  </si>
  <si>
    <t>LED00035966</t>
  </si>
  <si>
    <t>Đèn LED Panel PT04 90/3W 4000K</t>
  </si>
  <si>
    <t>LED00040173</t>
  </si>
  <si>
    <t>Đèn LED Downlight AT10 110/9W 6500K</t>
  </si>
  <si>
    <t>LED00042297</t>
  </si>
  <si>
    <t>Đèn LED Downlight đổi màu AT20 90/10W (G)</t>
  </si>
  <si>
    <t>LED00042298</t>
  </si>
  <si>
    <t>Đèn LED Downlight đổi màu AT20 110/10W (G)</t>
  </si>
  <si>
    <t>LED00042311</t>
  </si>
  <si>
    <t>Đèn LED Panel PT04.V2 135/12W 6500K</t>
  </si>
  <si>
    <t>LED00042771</t>
  </si>
  <si>
    <t>Đèn LED Downlight diệt khuẩn AT21.UV 90/7W 6500K</t>
  </si>
  <si>
    <t>LED00043973</t>
  </si>
  <si>
    <t>Đèn LED Downlight AT16 110/12W.DA 3000K</t>
  </si>
  <si>
    <t>LED00045473</t>
  </si>
  <si>
    <t>Đèn LED Panel PT04 110/9W 6500K-CT</t>
  </si>
  <si>
    <t>LED00046111</t>
  </si>
  <si>
    <t>Đèn LED Panel PT05 135/9W 3000K (G)</t>
  </si>
  <si>
    <t>LED00046338</t>
  </si>
  <si>
    <t>Đèn LED Downlight AT10 90/7W 6500K-CT</t>
  </si>
  <si>
    <t>LED00046364</t>
  </si>
  <si>
    <t>Đèn LED Panel đổi màu PT05 135/9W-CT</t>
  </si>
  <si>
    <t>LED00046375</t>
  </si>
  <si>
    <t>Đèn LED Panel PT04.V2 135/12W 6500K-CT</t>
  </si>
  <si>
    <t>LED00046446</t>
  </si>
  <si>
    <t>Đèn LED Downlight đổi màu AT24 110/12W.PLUS</t>
  </si>
  <si>
    <t>LED00047886</t>
  </si>
  <si>
    <t>Đèn LED downlight x/góc AT18 100/9W 6500K</t>
  </si>
  <si>
    <t>LED00048157</t>
  </si>
  <si>
    <t>Đèn LED Downlight nổi trần NT01 110/10W 6500K</t>
  </si>
  <si>
    <t>LED00083370</t>
  </si>
  <si>
    <t>Đèn LED Panel P06.UGR 600x600/48W. PLUS 6500K</t>
  </si>
  <si>
    <t>LED00083584</t>
  </si>
  <si>
    <t>Đèn LED Panel P06 600x1200/40W 5000K (2x4)</t>
  </si>
  <si>
    <t>LED00084283</t>
  </si>
  <si>
    <t>Bộ chiếu sáng MQL 1064 2x2 CBT 80C50K SKD (Current)</t>
  </si>
  <si>
    <t>LED00084309</t>
  </si>
  <si>
    <t>Bộ chiếu sáng MQL 1064 2x2 CBT 90C50K SKD (Current)</t>
  </si>
  <si>
    <t>LED00005757</t>
  </si>
  <si>
    <t>Đèn LED chiếu gương G02 6W.DA 3000K</t>
  </si>
  <si>
    <t>LED00036315</t>
  </si>
  <si>
    <t>Đèn LED chiếu gương G03 6W 4000K</t>
  </si>
  <si>
    <t>LED00041873</t>
  </si>
  <si>
    <t>Đèn LED dây đổi màu LD01 ĐM 20VDC (210 LED, XK Nhật)</t>
  </si>
  <si>
    <t>LED00044111</t>
  </si>
  <si>
    <t>Đèn LED ốp tường đổi màu LN18.V2 110x75/6W (đen) SS</t>
  </si>
  <si>
    <t>LED00049011</t>
  </si>
  <si>
    <t>Đèn LED tròn chiếu trụ cầu TTC 5.5W.QT 3000K (IP65)</t>
  </si>
  <si>
    <t>LED00062249</t>
  </si>
  <si>
    <t>Đèn LED gắn tường GT20.1P 15W 6500K</t>
  </si>
  <si>
    <t>LED00014355</t>
  </si>
  <si>
    <t>Bóng LED Tube T8 600/10W 5000K</t>
  </si>
  <si>
    <t>LED00018457</t>
  </si>
  <si>
    <t>Bóng LED Tube T8 TT01 600/10W 6500K (CE) SS</t>
  </si>
  <si>
    <t>LED00025503</t>
  </si>
  <si>
    <t>Bóng LED Tube T8 N02 600/10W 6500K SS</t>
  </si>
  <si>
    <t>LED00025790</t>
  </si>
  <si>
    <t>Bóng LED Tube T8 1200/18W 6500K (XK) SS</t>
  </si>
  <si>
    <t>LED00033589</t>
  </si>
  <si>
    <t>Bóng LED Tube T8 TT02 1200/18W 6500K SS</t>
  </si>
  <si>
    <t>LED00036571</t>
  </si>
  <si>
    <t>Bóng LED Tube T8 N02 1200/20W 6500K</t>
  </si>
  <si>
    <t>LED00039443</t>
  </si>
  <si>
    <t>Bóng LED Tube T8 1200/18W 5000K (ĐX) SS</t>
  </si>
  <si>
    <t>LED00050874</t>
  </si>
  <si>
    <t>Bóng LED Tube T8 1200/20W 6500K-CT</t>
  </si>
  <si>
    <t>LED00056244</t>
  </si>
  <si>
    <t>Bóng LED Tube T8 TT01 1200/20W 3000K-CT</t>
  </si>
  <si>
    <t>LED00084414</t>
  </si>
  <si>
    <t>Bóng LED Tube T8 1200/18W.PLUS 4000K</t>
  </si>
  <si>
    <t>00000233</t>
  </si>
  <si>
    <t>Máng đèn HQ 1,2mđơn CCK/nắp,K/Ch.lưu</t>
  </si>
  <si>
    <t>LED00005542</t>
  </si>
  <si>
    <t>Máng HQ âmtrầnFS40/36x2-M6-balát đ/tử</t>
  </si>
  <si>
    <t>LED00005582</t>
  </si>
  <si>
    <t>Máng đèn FS40/36x1-M9- không ballast (XK)</t>
  </si>
  <si>
    <t>LED00039139</t>
  </si>
  <si>
    <t>Máng đèn FS40/36x2-M9 Lưu điện,ko nắp(không bóng )</t>
  </si>
  <si>
    <t>LED00061233</t>
  </si>
  <si>
    <t>Bộ máng đèn LED Base light BL Inverted (XK)</t>
  </si>
  <si>
    <t>LED00076221</t>
  </si>
  <si>
    <t>Đèn LED Downlight đổi màu AT46 90/10W</t>
  </si>
  <si>
    <t>LED00078646</t>
  </si>
  <si>
    <t>Đèn LED Downlight đổi màu AT56 90/10W (G)</t>
  </si>
  <si>
    <t>LED00078647</t>
  </si>
  <si>
    <t>Đèn LED Downlight đổi màu AT56 110/10W (G)</t>
  </si>
  <si>
    <t>LED00081388</t>
  </si>
  <si>
    <t>Đèn Led Downlight AT04 90/10W 6500K-CT</t>
  </si>
  <si>
    <t>LED00081663</t>
  </si>
  <si>
    <t>Đèn LED Panel PT05 90/8W 6500K</t>
  </si>
  <si>
    <t>00000216</t>
  </si>
  <si>
    <t>WS3-CL02/50w - 6500K</t>
  </si>
  <si>
    <t>LED00005336</t>
  </si>
  <si>
    <t>Đèn LED ốp trần LN09 172/12W 6500K SS</t>
  </si>
  <si>
    <t>LED00027849</t>
  </si>
  <si>
    <t>Đèn LED ốp trần đổi màu LN24 247/24W</t>
  </si>
  <si>
    <t>LED00032855</t>
  </si>
  <si>
    <t>Đèn LED ốp trần đổi màu LN12 170x170/12W SS</t>
  </si>
  <si>
    <t>LED00036943</t>
  </si>
  <si>
    <t>Đèn LED Ốp trần MXL 1078 19W (Yankon)</t>
  </si>
  <si>
    <t>LED00046358</t>
  </si>
  <si>
    <t>Đèn LED ốp trần đổi màu LN12N 170x170/12W SS-CT</t>
  </si>
  <si>
    <t>LED00047850</t>
  </si>
  <si>
    <t>Đèn LED ốp trần LN12 160/12W.QT 3000K</t>
  </si>
  <si>
    <t>LED00048334</t>
  </si>
  <si>
    <t>Đèn LED ốp trần LN12 220/22W 3000K SS</t>
  </si>
  <si>
    <t>LED00051075</t>
  </si>
  <si>
    <t>Đèn LED ốp trần LN12 220x220/22W 6500K-CTT</t>
  </si>
  <si>
    <t>LED00051145</t>
  </si>
  <si>
    <t>Đèn LED ốp trần LN09 225/18W 6500K-CTT</t>
  </si>
  <si>
    <t>LED00051396</t>
  </si>
  <si>
    <t>Đèn LED ốp trần LN08 170x170/12W 6500K-TC</t>
  </si>
  <si>
    <t>LED00051399</t>
  </si>
  <si>
    <t>Đèn LED ốp trần LN09 172/12W 6500K-TC</t>
  </si>
  <si>
    <t>LED00056584</t>
  </si>
  <si>
    <t>Đèn LED ốp trần LN09 300/30W 6500K</t>
  </si>
  <si>
    <t>LED00065984</t>
  </si>
  <si>
    <t>Đèn LED ốp trần LN12 220/12W.GOV.V4 6500K</t>
  </si>
  <si>
    <t>LED00073801</t>
  </si>
  <si>
    <t>Đèn LED ốp trần LN29N 300/24W 6500K</t>
  </si>
  <si>
    <t>LED00074039</t>
  </si>
  <si>
    <t>Đèn LED ốp trần đổi màu LN29N 300/24W</t>
  </si>
  <si>
    <t>LED00074359</t>
  </si>
  <si>
    <t>Đèn LED ốp trần đổi màu LN30N 220x220/18W</t>
  </si>
  <si>
    <t>LED00077378</t>
  </si>
  <si>
    <t>Đèn LED ốp trần đổi màu LN32 350/30W</t>
  </si>
  <si>
    <t>LED00079433</t>
  </si>
  <si>
    <t>Đèn LED ốp trần LN29N 220x220/18W 3000K (B)</t>
  </si>
  <si>
    <t>LED00054518</t>
  </si>
  <si>
    <t>Đèn LED Chiếu pha CP06 30W 6500K</t>
  </si>
  <si>
    <t>LED00055416</t>
  </si>
  <si>
    <t>Đèn LED chiếu sáng đường CSD09 50W.PLUS.TB 5000K</t>
  </si>
  <si>
    <t>LED00058387</t>
  </si>
  <si>
    <t>Đèn LED chiếu sáng đường CSD05 120W 4000K (QB)</t>
  </si>
  <si>
    <t>LED00060192</t>
  </si>
  <si>
    <t>Đèn LED High Bay HB03 280/100W DC 5700K</t>
  </si>
  <si>
    <t>LED00060194</t>
  </si>
  <si>
    <t>Đèn LED High Bay HB03 400/200W DC 5700K</t>
  </si>
  <si>
    <t>LED00061659</t>
  </si>
  <si>
    <t>Đèn LED Chiếu pha NLMT CP03.SL 200W 6500K-CT</t>
  </si>
  <si>
    <t>LED00061838</t>
  </si>
  <si>
    <t>Đèn LED chiếu sáng đường NLMT RD CSD03.SL.RF 50W.BG 6500K SS</t>
  </si>
  <si>
    <t>LED00062912</t>
  </si>
  <si>
    <t>Đèn LED Highbay HB03 290/85W.PLUS IP68 6500K</t>
  </si>
  <si>
    <t>LED00065172</t>
  </si>
  <si>
    <t>Đèn LED Chiếu pha CP10 50W 3000K SS</t>
  </si>
  <si>
    <t>LED00065675</t>
  </si>
  <si>
    <t>Đèn LED Linear Highbay GDXL1034 4FT/400W 5000K</t>
  </si>
  <si>
    <t>LED00068492</t>
  </si>
  <si>
    <t>Đèn LED Chiếu pha CP06 30W 3000K SS-CT</t>
  </si>
  <si>
    <t>LED00071354</t>
  </si>
  <si>
    <t>Đèn LED High Bay HB05 250/100W DC 5700K - Không cách ly</t>
  </si>
  <si>
    <t>LED00071479</t>
  </si>
  <si>
    <t>Đèn LED High Bay HB05 250/80W AC 5700K</t>
  </si>
  <si>
    <t>LED00072248</t>
  </si>
  <si>
    <t>Đèn LED chiếu sáng đường NLMT CSD05.SL.RF 500W 6500K</t>
  </si>
  <si>
    <t>LED00072425</t>
  </si>
  <si>
    <t>Đèn LED chiếu sáng đường CSD10 250W.BH 4000K</t>
  </si>
  <si>
    <t>LED00073348</t>
  </si>
  <si>
    <t>Đèn LED chiếu sáng đường CSD12 70W 5000K</t>
  </si>
  <si>
    <t>LED00073632</t>
  </si>
  <si>
    <t>Đèn LED chiếu sáng đường CSD10 65W.NEMA 4000K</t>
  </si>
  <si>
    <t>LED00075937</t>
  </si>
  <si>
    <t>Đèn LED chiếu sáng đường CSD09 40W.PLUS 4000K</t>
  </si>
  <si>
    <t>LED00076098</t>
  </si>
  <si>
    <t>Đèn LED Hightbay HB06 330/100W.H 6500K</t>
  </si>
  <si>
    <t>LED00076219</t>
  </si>
  <si>
    <t>Đèn LED Highbay HB02 430/100W 6500K</t>
  </si>
  <si>
    <t>LED00076657</t>
  </si>
  <si>
    <t>Đèn LED Highbay HB08 255/100W 6500K</t>
  </si>
  <si>
    <t>LED00078720</t>
  </si>
  <si>
    <t>Đèn LED Highbay HB03 350/120W.EV 6500K</t>
  </si>
  <si>
    <t>LED00080077</t>
  </si>
  <si>
    <t>Đèn LED âm đất tròn ADT01 25W.APG (60D) 3000K</t>
  </si>
  <si>
    <t>LED00061082</t>
  </si>
  <si>
    <t>Bóng LED Tube 1200/20W 6500K GOV</t>
  </si>
  <si>
    <t>00000241</t>
  </si>
  <si>
    <t>Máng HQ âmtrần(FS40/36x2-M6MC)BL đ/tử</t>
  </si>
  <si>
    <t>00000245</t>
  </si>
  <si>
    <t>Máng HQ âmtrầnFS40/36x4-M6-balát đ/từ</t>
  </si>
  <si>
    <t>00000246</t>
  </si>
  <si>
    <t>Máng đèn HQ-FS-40/36x1-M7 có balát</t>
  </si>
  <si>
    <t>00000248</t>
  </si>
  <si>
    <t>Máng đèn HQ-FS-40/36x1-M8 ko nắp,EBH-3NN</t>
  </si>
  <si>
    <t>00000449</t>
  </si>
  <si>
    <t>Máng HQ lắpnổiFS40/36x3-M10-BL đ/từ</t>
  </si>
  <si>
    <t>LED00005546</t>
  </si>
  <si>
    <t>Máng HQ âmtrầnFS40/36x3-M6-balát đ/tử</t>
  </si>
  <si>
    <t>LED00005589</t>
  </si>
  <si>
    <t>Máng HQ âmtrầnFS20/18x4-M6-balát đ/tử</t>
  </si>
  <si>
    <t>LED00005871</t>
  </si>
  <si>
    <t>Máng đèn FS40/36x2-M10-k/balát(lắp Led Tube)</t>
  </si>
  <si>
    <t>LED00027774</t>
  </si>
  <si>
    <t>Máng HQ lắpnổiFS40/36x4-M10-BL đ/tử</t>
  </si>
  <si>
    <t>LED00034602</t>
  </si>
  <si>
    <t>Bộ máng M25 120x4 Không kính</t>
  </si>
  <si>
    <t>LED00056236</t>
  </si>
  <si>
    <t>Máng đèn âm trần FS40/36x2-M6 (lắp Led Tube)-CT</t>
  </si>
  <si>
    <t>LED00005343</t>
  </si>
  <si>
    <t>Đèn LED ốp trần cảm biến LN05.RAD 220/14W 3000K SS</t>
  </si>
  <si>
    <t>LED00023180</t>
  </si>
  <si>
    <t>Đèn LED Downlight dự phòng AT04.DP 110/9W 6500K SS</t>
  </si>
  <si>
    <t>LED00025162</t>
  </si>
  <si>
    <t>Bộ điều khiển kh.dây cầm tay RD SC.S1</t>
  </si>
  <si>
    <t>LED00026155</t>
  </si>
  <si>
    <t>Đèn LED Downlight dự phòng AT04.DP 155/16W 6500K SS</t>
  </si>
  <si>
    <t>LED00028369</t>
  </si>
  <si>
    <t>Đèn LED Panel đổi màu PT04.RF 135/9W</t>
  </si>
  <si>
    <t>LED00036911</t>
  </si>
  <si>
    <t>Đèn LED Downlight đổi màu AT18.BLE 80/12W (FW)</t>
  </si>
  <si>
    <t>LED00036945</t>
  </si>
  <si>
    <t>Đèn LED Downlight đổi màu AT19.BLE 80/12W (A18)</t>
  </si>
  <si>
    <t>LED00037610</t>
  </si>
  <si>
    <t>Đèn LED ốp trần c/biến D LN12L 220/18W. RAD.EVT - 6500K</t>
  </si>
  <si>
    <t>LED00038454</t>
  </si>
  <si>
    <t>Đèn LED ốp trần LN12.RAD 220/18W (HL) 5000K</t>
  </si>
  <si>
    <t>LED00038537</t>
  </si>
  <si>
    <t>Đèn LED Downlight D AT04L 155/16W.PIR.DA 6500K</t>
  </si>
  <si>
    <t>LED00039192</t>
  </si>
  <si>
    <t>Công tắc cảm ứng RD-CT.04.BLE</t>
  </si>
  <si>
    <t>LED00040136</t>
  </si>
  <si>
    <t>Bộ đèn LED Tube T8 CA01.DP/20Wx2.DA 6500K SS</t>
  </si>
  <si>
    <t>LED00040866</t>
  </si>
  <si>
    <t>Công tắc cảm ứng chữ nhật CTCU.BLE R1.REM (đen FPT)</t>
  </si>
  <si>
    <t>LED00044733</t>
  </si>
  <si>
    <t>Đèn LED Panel P06 640x640/40W T-bar 5700K KN-PER</t>
  </si>
  <si>
    <t>LED00046368</t>
  </si>
  <si>
    <t>Đèn LED Panel P06 600x600/40W 6500K (KPK) SS-CT</t>
  </si>
  <si>
    <t>LED00047499</t>
  </si>
  <si>
    <t>Đèn LED Panel P01 320x1280/40W 4000K (KC-TOP) SS</t>
  </si>
  <si>
    <t>LED00049905</t>
  </si>
  <si>
    <t>Đèn LED Panel P01 180x640/25W 4000K (KC-PER) SS</t>
  </si>
  <si>
    <t>LED00050881</t>
  </si>
  <si>
    <t>Đèn LED Panel P01 640x640/50W 5700K (KC-PER) SS-CT</t>
  </si>
  <si>
    <t>LED00052741</t>
  </si>
  <si>
    <t>Đèn LED Panel P07 300x1200/40W.PLUS 6500K (KPK) SS</t>
  </si>
  <si>
    <t>LED00053311</t>
  </si>
  <si>
    <t>Đèn LED Panel P10 320x1280/50W 4000K (KC-TOP) SS</t>
  </si>
  <si>
    <t>LED00053314</t>
  </si>
  <si>
    <t>Đèn LED Panel P10 640x640/50W 5700K (KC-TOP) SS</t>
  </si>
  <si>
    <t>LED00055026</t>
  </si>
  <si>
    <t>Đèn LED Panel P07 300x1200/45W.PLUS 6500K (KPK) SS</t>
  </si>
  <si>
    <t>LED00055683</t>
  </si>
  <si>
    <t>Đèn LED Panel P06 T320x1280/50W Mbar direct 5700K GB</t>
  </si>
  <si>
    <t>LED00055698</t>
  </si>
  <si>
    <t>Đèn LED Panel P06 M640X640/50W Mbar 5700K HB</t>
  </si>
  <si>
    <t>LED00055702</t>
  </si>
  <si>
    <t>Đèn LED Panel P06 T320x1280/40W Mbar direct 5700K HB</t>
  </si>
  <si>
    <t>LED00056471</t>
  </si>
  <si>
    <t>Đèn LED Panel P06 300x1200/50W T-bar 5700K KN</t>
  </si>
  <si>
    <t>LED00064104</t>
  </si>
  <si>
    <t>Đèn LED Panel P08 600x600/40W 3000K (100-240V)</t>
  </si>
  <si>
    <t>LED00071555</t>
  </si>
  <si>
    <t>Đèn LED Panel P06 T320x1280/40W.2 Mbar direct 4000K GB</t>
  </si>
  <si>
    <t>LED00075195</t>
  </si>
  <si>
    <t>Đèn LED Panel P08 600x600/50W 6500K (KPK)-CT</t>
  </si>
  <si>
    <t>LED00077943</t>
  </si>
  <si>
    <t>Đèn LED Panel P07 600x600/40W.PLUS 6500K (KPK)</t>
  </si>
  <si>
    <t>LED00079825</t>
  </si>
  <si>
    <t>Đèn LED Panel P07 150x750/10W.PLUS 4000K (KPK)</t>
  </si>
  <si>
    <t>LED00083772</t>
  </si>
  <si>
    <t>Đèn LED Panel P06 295x295/12W 6500K</t>
  </si>
  <si>
    <t>LED00084241</t>
  </si>
  <si>
    <t>Bộ chiếu sáng MQL 1064 1x4 CBT 80C40K SKD (Current)</t>
  </si>
  <si>
    <t>LED00084280</t>
  </si>
  <si>
    <t>Bộ chiếu sáng MQL 1064 2x2 CBT 80C40K SKD (Current)</t>
  </si>
  <si>
    <t>LED00084870</t>
  </si>
  <si>
    <t>Đèn LED Panel P07 300x600/28W.PLUS 6500K (KPK)</t>
  </si>
  <si>
    <t>00000009</t>
  </si>
  <si>
    <t>Đèn LED Gắn tường GT07 5W 6500K</t>
  </si>
  <si>
    <t>LED00055688</t>
  </si>
  <si>
    <t>Đèn LED Panel P06 M320x1280/50W Mbar 5700K HB</t>
  </si>
  <si>
    <t>LED00057613</t>
  </si>
  <si>
    <t>Đèn LED Panel P06 600x600/50W 6500K</t>
  </si>
  <si>
    <t>LED00060341</t>
  </si>
  <si>
    <t>Đèn LED Panel P06 M320x1280/50W.2 Mbar 4000K HB</t>
  </si>
  <si>
    <t>LED00065051</t>
  </si>
  <si>
    <t>Đèn LED Panel P06 600x600/40W 6500K HPF</t>
  </si>
  <si>
    <t>LED00065127</t>
  </si>
  <si>
    <t>Đèn LED Panel P06 600x600/50W.2 T-bar 5700K TOP</t>
  </si>
  <si>
    <t>LED00068181</t>
  </si>
  <si>
    <t>Đèn LED Panel P09.HCL 320x1280/40W 5700K (KC-KN)</t>
  </si>
  <si>
    <t>LED00071633</t>
  </si>
  <si>
    <t>Đèn LED Panel P06 300x600/25W 6500K</t>
  </si>
  <si>
    <t>LED00074676</t>
  </si>
  <si>
    <t>Đèn LED Panel P06 300x1200/50W.2 T-bar 5700K TOP KN</t>
  </si>
  <si>
    <t>LED00077158</t>
  </si>
  <si>
    <t>Đèn LED Panel đổi màu P08 300x1200/50W (KPK)</t>
  </si>
  <si>
    <t>LED00082238</t>
  </si>
  <si>
    <t>Đèn LED Panel P06 600x600/40W.2 T-bar 5700K TOP-KN</t>
  </si>
  <si>
    <t>LED00084253</t>
  </si>
  <si>
    <t>Bộ chiếu sáng MQL 1064 1x4 CBT 90C35K SKD (Current)</t>
  </si>
  <si>
    <t>LED00084276</t>
  </si>
  <si>
    <t>Bộ chiếu sáng MQL 1064 2x2 CBT 80C35K SKD (Current)</t>
  </si>
  <si>
    <t>LED00084396</t>
  </si>
  <si>
    <t>Bộ tán xạ panel MQL 1064 NBT22-LENS PS SKD (Current)</t>
  </si>
  <si>
    <t>00000286</t>
  </si>
  <si>
    <t>Đèn tranh 200x400/6500K</t>
  </si>
  <si>
    <t>00000485</t>
  </si>
  <si>
    <t>Đèn bàn Led mỹ nghệ D TL 02 MN/5W vàng</t>
  </si>
  <si>
    <t>LED00046739</t>
  </si>
  <si>
    <t>Đèn chiếu pha đổi màu CP09.RGB 20W</t>
  </si>
  <si>
    <t>LED00075889</t>
  </si>
  <si>
    <t>Đèn LED gắn tường GT20.1P 20W 3000K</t>
  </si>
  <si>
    <t>LED00082099</t>
  </si>
  <si>
    <t>Đèn LED gắn tường GT20.2P 30W 4000K</t>
  </si>
  <si>
    <t>LED00005089</t>
  </si>
  <si>
    <t>Bóng LED Tube T8 600/12W 5000K</t>
  </si>
  <si>
    <t>LED00005128</t>
  </si>
  <si>
    <t>Bóng LED Tube T8 1200/18W 6500K (ĐX)</t>
  </si>
  <si>
    <t>LED00005517</t>
  </si>
  <si>
    <t>Bóng LED Tube T8 600/10W 6500K (ĐX) SS</t>
  </si>
  <si>
    <t>LED00034408</t>
  </si>
  <si>
    <t>Bóng LED Tube T8 TT01 1200/20W.H 6500K (150Lm/W)</t>
  </si>
  <si>
    <t>LED00040030</t>
  </si>
  <si>
    <t>Bóng LED Tube T8 N01 1200/18W 6500K (AICAP)</t>
  </si>
  <si>
    <t>LED00049993</t>
  </si>
  <si>
    <t>Bóng LED Tube T8 N01 1200/17.5W (DC, XK) 5700K</t>
  </si>
  <si>
    <t>LED00068231</t>
  </si>
  <si>
    <t>Đèn LED Panel P07 300x1200/50W.PLUS 6500K (KPK)</t>
  </si>
  <si>
    <t>LED00071207</t>
  </si>
  <si>
    <t>Đèn LED Panel P06 300x1200/50W 3000K</t>
  </si>
  <si>
    <t>LED00075003</t>
  </si>
  <si>
    <t>Đèn LED Panel chống chói P06.N.UGR16 600x600/50W 6500K</t>
  </si>
  <si>
    <t>LED00082224</t>
  </si>
  <si>
    <t>Đèn LED Panel P07 300x300/12W.PLUS 4000K (KPK)</t>
  </si>
  <si>
    <t>LED00082231</t>
  </si>
  <si>
    <t>Đèn LED Panel P07 300x1600/40W.PLUS 4000K (KPK)</t>
  </si>
  <si>
    <t>LED00082235</t>
  </si>
  <si>
    <t>Đèn LED Panel P06 320x640/25W.2 Mbar direct 5700K GB KN</t>
  </si>
  <si>
    <t>LED00083384</t>
  </si>
  <si>
    <t>Đèn LED Panel P06 640x640/48W.Plus 6500K (Nổi trần)</t>
  </si>
  <si>
    <t>00000011</t>
  </si>
  <si>
    <t>Đèn LED Gắn tường GT08 5W 3000K</t>
  </si>
  <si>
    <t>LED00044299</t>
  </si>
  <si>
    <t>Đèn LED Gắn tường GT18.3M 6W 3000K</t>
  </si>
  <si>
    <t>LED00050866</t>
  </si>
  <si>
    <t>Đèn LED gắn tường GT08L/2.5W E14-CT</t>
  </si>
  <si>
    <t>LED00081290</t>
  </si>
  <si>
    <t>Đèn LED âm nước AN04.DMX.RGB 9W 60D (IP68)</t>
  </si>
  <si>
    <t>LED00013990</t>
  </si>
  <si>
    <t>Bóng LED Tube T8 TT01 600/10W 6500K SS</t>
  </si>
  <si>
    <t>LED00014357</t>
  </si>
  <si>
    <t>Bóng LED Tube T8 1200/18W 4000K SS</t>
  </si>
  <si>
    <t>LED00024170</t>
  </si>
  <si>
    <t>Bóng LED Tube T8 TT01 1200/18W (Yemen) 8000K</t>
  </si>
  <si>
    <t>LED00025787</t>
  </si>
  <si>
    <t>Bóng LED Tube T8 1200/16W.DA 6500K SS</t>
  </si>
  <si>
    <t>LED00047401</t>
  </si>
  <si>
    <t>Bóng LED Tube T8 1200/20W 6500K LPF</t>
  </si>
  <si>
    <t>LED00051388</t>
  </si>
  <si>
    <t>Bóng LED Tube T8 TT01 1200/20W 3000K-TC</t>
  </si>
  <si>
    <t>LED00057204</t>
  </si>
  <si>
    <t>Bóng LED Tube T8 TT01 1200/20W (Yemen) 12000K</t>
  </si>
  <si>
    <t>LED00078556</t>
  </si>
  <si>
    <t>Bộ máng đèn LED Base light BL Fuji 230 (XK)</t>
  </si>
  <si>
    <t>LED00016160</t>
  </si>
  <si>
    <t>Bộ đèn LED cảm biến M16.RAD 1200/36W 3000K SS</t>
  </si>
  <si>
    <t>LED00019301</t>
  </si>
  <si>
    <t>Bóng LED Tube cảm biến T8.RAD 1200/18W 6500K SS</t>
  </si>
  <si>
    <t>LED00024659</t>
  </si>
  <si>
    <t>Đèn LED ốp trần đổi màu LN14.WF.IR 590/60W</t>
  </si>
  <si>
    <t>LED00025164</t>
  </si>
  <si>
    <t>Bộ nguồn LED dây BN-LD01.RF</t>
  </si>
  <si>
    <t>LED00025830</t>
  </si>
  <si>
    <t>Bộ đèn LED Tube dự phòng T8.DP M11/22Wx1 6500K SS</t>
  </si>
  <si>
    <t>LED00070287</t>
  </si>
  <si>
    <t>Đèn LED Chiếu pha NLMT CP02.SL.RF 150W.HCM 6500K</t>
  </si>
  <si>
    <t>LED00073525</t>
  </si>
  <si>
    <t>Bộ cung cấp điện NLMT RD.Resi 3.5kW</t>
  </si>
  <si>
    <t>LED00075217</t>
  </si>
  <si>
    <t>Hệ điện áp mái NLMT SLS.3P 8KW</t>
  </si>
  <si>
    <t>LED00075222</t>
  </si>
  <si>
    <t>Hệ điện áp mái NLMT SLS.3P 20.5KW</t>
  </si>
  <si>
    <t>LED00075235</t>
  </si>
  <si>
    <t>Hệ điện áp mái NLMT SLS.R3P 8KW (KNC)</t>
  </si>
  <si>
    <t>LED00079437</t>
  </si>
  <si>
    <t>Đèn bàn LED cảm ứng RD-RL-21 8W</t>
  </si>
  <si>
    <t>LED00083573</t>
  </si>
  <si>
    <t>Loa thông minh Ralli LTM-RAL001</t>
  </si>
  <si>
    <t>LED00084158</t>
  </si>
  <si>
    <t>Hệ điện áp mái NLMT SLS.3P 30KW</t>
  </si>
  <si>
    <t>LED00084164</t>
  </si>
  <si>
    <t>Hệ điện áp mái NLMT SLS.R1P 3.8KW (KNC)</t>
  </si>
  <si>
    <t>LED00084179</t>
  </si>
  <si>
    <t>Hệ điện áp mái NLMT SLS.3P 10KW V2 (KNC)</t>
  </si>
  <si>
    <t>LED00084187</t>
  </si>
  <si>
    <t>Hệ điện áp mái NLMT SLS.3P 50KW (KNC)</t>
  </si>
  <si>
    <t>00000189</t>
  </si>
  <si>
    <t>ổ cắm diđộng đanăng(OCDĐ-01)15A-250V</t>
  </si>
  <si>
    <t>LED00056222</t>
  </si>
  <si>
    <t>Ổ cắm đa năng OC02 4C/5M/10A-CT</t>
  </si>
  <si>
    <t>LED00064380</t>
  </si>
  <si>
    <t>Hạt chiết áp điều chỉnh độ sáng HCA D02.G/400W</t>
  </si>
  <si>
    <t>LED00065617</t>
  </si>
  <si>
    <t>Ổ cắm đa năng OC06.V2 6C/2M/10A</t>
  </si>
  <si>
    <t>LED00074770</t>
  </si>
  <si>
    <t>Aptomat ngắn mạch RD.MCB 3P3E 20A</t>
  </si>
  <si>
    <t>PHN00000005</t>
  </si>
  <si>
    <t>PHN00000008</t>
  </si>
  <si>
    <t>Phích 3245-3,2L (G)</t>
  </si>
  <si>
    <t>PHN00001311</t>
  </si>
  <si>
    <t>Phích 2045 ST-1,8L-thân Inox</t>
  </si>
  <si>
    <t>PHN00001329</t>
  </si>
  <si>
    <t>Phích 1040 N4-1L</t>
  </si>
  <si>
    <t>PHN00009631</t>
  </si>
  <si>
    <t>PHN00011385</t>
  </si>
  <si>
    <t>Phích xuất khẩu 04528 N1 Yemen</t>
  </si>
  <si>
    <t>PHN00011768</t>
  </si>
  <si>
    <t>Phích xuất khẩu 1040 N2 Esam</t>
  </si>
  <si>
    <t>PHN00011778</t>
  </si>
  <si>
    <t>Phích xuất khẩu 1040 N1.E TRD</t>
  </si>
  <si>
    <t>PHN00013549</t>
  </si>
  <si>
    <t>Phích xuất khẩu 2035 N10.E FCI</t>
  </si>
  <si>
    <t>00000235</t>
  </si>
  <si>
    <t>Máng đèn nông nghiệp M NN03 1x36W-BL đ/tử</t>
  </si>
  <si>
    <t>00000237</t>
  </si>
  <si>
    <t>Máng đèn HQ âmtrần FS20/18x3-M6</t>
  </si>
  <si>
    <t>00000238</t>
  </si>
  <si>
    <t>Máng đèn HQ âmtrần FS20/18x4-M6</t>
  </si>
  <si>
    <t>00000251</t>
  </si>
  <si>
    <t>Máng đèn FS40/36x1-M9-ballast EBH(XK)</t>
  </si>
  <si>
    <t>LED00005586</t>
  </si>
  <si>
    <t>Máng HQ lắpnổiFS40/36x2-M10-BL đ/tử</t>
  </si>
  <si>
    <t>LED00005592</t>
  </si>
  <si>
    <t>Máng đèn HQ PQ-FS40/36*1M2-balát đ/tử</t>
  </si>
  <si>
    <t>LED00015758</t>
  </si>
  <si>
    <t>Máng đèn FS40/36x3-M10-k/balát(lắp Led Tube)</t>
  </si>
  <si>
    <t>LED00016006</t>
  </si>
  <si>
    <t>Máng đèn âm trầnFS20/18x3-M10(lắp Led Tube)</t>
  </si>
  <si>
    <t>LED00017376</t>
  </si>
  <si>
    <t>Máng FS 20/18Wx1 TG</t>
  </si>
  <si>
    <t>LED00046152</t>
  </si>
  <si>
    <t>Máng M9-20/18x2 balast điện tử EBH</t>
  </si>
  <si>
    <t>LED00001557</t>
  </si>
  <si>
    <t>Đèn LED Downlight cảm biến AT04.PIR 90/7W 6500K SS</t>
  </si>
  <si>
    <t>LED00015696</t>
  </si>
  <si>
    <t>Bộ đèn LED đổi màu M16 1200/36W SS</t>
  </si>
  <si>
    <t>LED00016381</t>
  </si>
  <si>
    <t>Bóng LED Tube đổi màu T8 1200/18W SS</t>
  </si>
  <si>
    <t>LED00024020</t>
  </si>
  <si>
    <t>Bộ đèn LED Tube đổi màu T5 LT04.WF 1200/16W SS</t>
  </si>
  <si>
    <t>LED00024662</t>
  </si>
  <si>
    <t>Đèn LED ốp trần đổi màu LN15.WF.IR 490/48W</t>
  </si>
  <si>
    <t>LED00025161</t>
  </si>
  <si>
    <t>Bộ điều khiển kh.dây gắn tường RD SC.M1</t>
  </si>
  <si>
    <t>LED00025163</t>
  </si>
  <si>
    <t>Đèn LED dây đổi màu LD01.RF 1000/7W</t>
  </si>
  <si>
    <t>LED00025165</t>
  </si>
  <si>
    <t>Công tắc cảm ứng đơn RD SW.01.WF (kính trắng)</t>
  </si>
  <si>
    <t>LED00025834</t>
  </si>
  <si>
    <t>Đèn LED ốp trần cảm biến LN05.RAD 160/9W 110V 6500K SS</t>
  </si>
  <si>
    <t>LED00025841</t>
  </si>
  <si>
    <t>Đèn LED ốp trần dự phòng LN09.DP 172/12W 6500K SS</t>
  </si>
  <si>
    <t>LED00028753</t>
  </si>
  <si>
    <t>Đèn LED dây đổi màu LD01.RGB.IR 100/8W</t>
  </si>
  <si>
    <t>LED00028800</t>
  </si>
  <si>
    <t>Đèn LED Downlight đổi màu AT14.RF 110/12W</t>
  </si>
  <si>
    <t>LED00031181</t>
  </si>
  <si>
    <t>Đèn bàn LED cảm ứng RD-RL-20V2 6W SS</t>
  </si>
  <si>
    <t>LED00034332</t>
  </si>
  <si>
    <t>Bóng LED bulb đổi màu A60.BLE.RGBCW/9W</t>
  </si>
  <si>
    <t>LED00036113</t>
  </si>
  <si>
    <t>Bóng LED Bulb đổi màu A65.WF/8W E26 (SSC)</t>
  </si>
  <si>
    <t>LED00044750</t>
  </si>
  <si>
    <t>Đèn LED chiếu sáng đường CSD08 120W.NEMA 5000K</t>
  </si>
  <si>
    <t>LED00047563</t>
  </si>
  <si>
    <t>Công tắc cảm ứng vuông CTCU.BLE S1.03 (trắng, FPT)</t>
  </si>
  <si>
    <t>LED00048250</t>
  </si>
  <si>
    <t>Bộ đèn LED đổi màu M36.BLE 1200/40W</t>
  </si>
  <si>
    <t>LED00048295</t>
  </si>
  <si>
    <t>Bóng LED bulb đổi màu A60.BLE.RGBCW/9W (FPT)</t>
  </si>
  <si>
    <t>LED00048362</t>
  </si>
  <si>
    <t>Đèn LED Panel đổi màu PT04.BLE 110/9W (FPT)</t>
  </si>
  <si>
    <t>LED00049717</t>
  </si>
  <si>
    <t>Ổ cắm âm tường OCAT03K 2C/16A (chữ nhật, đen, FPT)</t>
  </si>
  <si>
    <t>LED00050853</t>
  </si>
  <si>
    <t>Đèn bàn LED cảm ứng RD-RL-20V2 6W SS-CT</t>
  </si>
  <si>
    <t>LED00051021</t>
  </si>
  <si>
    <t>Công tắc cảm ứng vuông CTCU.BLE V.02T</t>
  </si>
  <si>
    <t>LED00052726</t>
  </si>
  <si>
    <t>Công tắc cảm ứng chữ nhật CTCU.BLE CN.DOT (cửa cuốn)</t>
  </si>
  <si>
    <t>LED00053360</t>
  </si>
  <si>
    <t>Công tắc chuyển mạch CT.BLE.ON/OFF (FPT)</t>
  </si>
  <si>
    <t>LED00055443</t>
  </si>
  <si>
    <t>Bộ vỏ hình vuông CTCU.BLE S1.03 (đen, FPT, SGBR0115)</t>
  </si>
  <si>
    <t>LED00055708</t>
  </si>
  <si>
    <t>Đèn LED sân vườn NLMT RD-DSV4505-3 3000K</t>
  </si>
  <si>
    <t>LED00058424</t>
  </si>
  <si>
    <t>Công tắc cảm ứng chữ nhật CTCU.WF CN.04T.DF</t>
  </si>
  <si>
    <t>LED00060277</t>
  </si>
  <si>
    <t>Cảm biến chuyển động CB10.PIR.BLE (DC)</t>
  </si>
  <si>
    <t>LED00072391</t>
  </si>
  <si>
    <t>Công tắc cảm ứng chữ nhật CTCU.WF CN.03T.2W.SP MN</t>
  </si>
  <si>
    <t>LED00073781</t>
  </si>
  <si>
    <t>Đèn LED Tracklight đổi màu TRL04.BLE 26W</t>
  </si>
  <si>
    <t>LED00075213</t>
  </si>
  <si>
    <t>Hệ điện áp mái NLMT SLS.1P 10KW</t>
  </si>
  <si>
    <t>LED00075225</t>
  </si>
  <si>
    <t>Hệ điện áp mái NLMT SLS.R1P 6KW (KNC)</t>
  </si>
  <si>
    <t>LED00076576</t>
  </si>
  <si>
    <t>Công tắc cảm ứng vuông CTCU.WF V.01T(trắng, FPT, CSC)</t>
  </si>
  <si>
    <t>LED00076581</t>
  </si>
  <si>
    <t>Công tắc cảm ứng vuông CTCU.WF V.01T(Cham, FPT, CSC)</t>
  </si>
  <si>
    <t>LED00078132</t>
  </si>
  <si>
    <t>Công tắc cảm ứng vuông CTCU.BLE S1.NL (Champ, FPT)</t>
  </si>
  <si>
    <t>LED00079435</t>
  </si>
  <si>
    <t>Đèn bàn LED cảm ứng RD-RL-38.Plus 8W</t>
  </si>
  <si>
    <t>LED00084138</t>
  </si>
  <si>
    <t>Hệ điện áp mái NLMT SLS.R1P 3.8KW</t>
  </si>
  <si>
    <t>LED00084145</t>
  </si>
  <si>
    <t>Hệ điện áp mái NLMT SLS.1P 5KW</t>
  </si>
  <si>
    <t>LED00056992</t>
  </si>
  <si>
    <t>Hệ NLMT điện áp mái 1KV</t>
  </si>
  <si>
    <t>LED00058297</t>
  </si>
  <si>
    <t>Ổ cắm đơn OC.02.WF.BLE 16A (FPT)</t>
  </si>
  <si>
    <t>LED00058410</t>
  </si>
  <si>
    <t>Bóng LED Bulb đổi màu A60.WF.BLE.RGB/9W (Viettel)</t>
  </si>
  <si>
    <t>LED00061077</t>
  </si>
  <si>
    <t>Công tắc cảm ứng chữ nhật CTCU.WF CN.DOT.NO MN</t>
  </si>
  <si>
    <t>LED00061485</t>
  </si>
  <si>
    <t>Đèn LED Downlight xoay góc AT36.BLE 95/15W 4000K</t>
  </si>
  <si>
    <t>LED00062519</t>
  </si>
  <si>
    <t>Công tắc cảm ứng chữ nhật CTCU.ZB CN.02T.DF</t>
  </si>
  <si>
    <t>LED00063959</t>
  </si>
  <si>
    <t>Cảm biến khói CB06.SM.BLE Ralli</t>
  </si>
  <si>
    <t>LED00064161</t>
  </si>
  <si>
    <t>Đèn LED Downlight đổi màu AT18.BLE 80/12W (F36) (FPT)</t>
  </si>
  <si>
    <t>LED00065533</t>
  </si>
  <si>
    <t>Công tắc cảm ứng chữ nhật CTCU.WF CN.DOT.DF</t>
  </si>
  <si>
    <t>LED00070774</t>
  </si>
  <si>
    <t>Công tắc cảm ứng vuông CTCU.WF V.01T.2W.SP</t>
  </si>
  <si>
    <t>LED00070776</t>
  </si>
  <si>
    <t>Công tắc cảm ứng vuông CTCU.WF V.03T.2W.SP</t>
  </si>
  <si>
    <t>LED00074657</t>
  </si>
  <si>
    <t>Bộ nguồn SS-150CNS-260BHD (M10/AC)</t>
  </si>
  <si>
    <t>LED00075233</t>
  </si>
  <si>
    <t>Hệ điện áp mái NLMT SLS.1P 8KW (KNC)</t>
  </si>
  <si>
    <t>LED00075242</t>
  </si>
  <si>
    <t>Hệ điện áp mái NLMT SLS.3P 18KW (KNC)</t>
  </si>
  <si>
    <t>LED00075898</t>
  </si>
  <si>
    <t>Hệ điện áp mái NLMT SLS.R1P 1KW</t>
  </si>
  <si>
    <t>LED00076555</t>
  </si>
  <si>
    <t>Công tắc cảm ứng chữ nhật CTCU.WF CN.03T(đen, FPT)</t>
  </si>
  <si>
    <t>LED00076562</t>
  </si>
  <si>
    <t>Công tắc cảm ứng vuông CTCU.WF V.03T(đen, FPT)</t>
  </si>
  <si>
    <t>LED00076583</t>
  </si>
  <si>
    <t>Công tắc cảm ứng vuông CTCU.WF V.03T(Cham, FPT)</t>
  </si>
  <si>
    <t>LED00076585</t>
  </si>
  <si>
    <t>Công tắc cảm ứng vuông CTCU.WF V.DOT(Cham, FPT)</t>
  </si>
  <si>
    <t>LED00079439</t>
  </si>
  <si>
    <t>Đèn bàn LED cảm ứng RD-RL-46 8W</t>
  </si>
  <si>
    <t>LED00079999</t>
  </si>
  <si>
    <t>Đèn LED chiếu sáng đường CSD12 125W.PLUS (NEMA) 5000K</t>
  </si>
  <si>
    <t>LED00084140</t>
  </si>
  <si>
    <t>Hệ điện áp mái NLMT SLS.R1P 6KW V2</t>
  </si>
  <si>
    <t>LED00084189</t>
  </si>
  <si>
    <t>Hệ điện áp mái NLMT SLS.3P 80KW (KNC)</t>
  </si>
  <si>
    <t>LED00005640</t>
  </si>
  <si>
    <t>(PL-01) phích cắm điện</t>
  </si>
  <si>
    <t>LED00029406</t>
  </si>
  <si>
    <t>Đèn LED Panel P01 320x1280/50W 5700K (KC-LG-KN) SS</t>
  </si>
  <si>
    <t>LED00030928</t>
  </si>
  <si>
    <t>Đèn LED Panel P01 200x640/25W (TOP-KN) SS</t>
  </si>
  <si>
    <t>LED00031989</t>
  </si>
  <si>
    <t>Đèn LED Panel P04 540x640/40W (TOP-KN) SS</t>
  </si>
  <si>
    <t>LED00034609</t>
  </si>
  <si>
    <t>Đèn LED Panel P07 300x600/28W.DA 4000K (KPK) SS</t>
  </si>
  <si>
    <t>LED00036410</t>
  </si>
  <si>
    <t>Đèn LED Panel P07 600x600/35W.DA 5000K (KPK) SS</t>
  </si>
  <si>
    <t>LED00040368</t>
  </si>
  <si>
    <t>Đèn LED Panel P06 320x1280/50W M-bar 5700K XK</t>
  </si>
  <si>
    <t>LED00041404</t>
  </si>
  <si>
    <t>Đèn LED Panel P07 300x2400/48W.DA 6500K (KPK) SS</t>
  </si>
  <si>
    <t>LED00041405</t>
  </si>
  <si>
    <t>Đèn LED Panel P07 300x300/12W.DA 6500K (KPK) SS</t>
  </si>
  <si>
    <t>LED00043921</t>
  </si>
  <si>
    <t>Đèn LED Panel P07 300x1200/35W.DA 5700K (KPK) SS</t>
  </si>
  <si>
    <t>LED00044723</t>
  </si>
  <si>
    <t>Đèn LED đọc phim X-Quang DF01 47x77/35W 6500K</t>
  </si>
  <si>
    <t>LED00048155</t>
  </si>
  <si>
    <t>Đèn LED Panel P06 320x1280/50W M-bar 5700K TOP</t>
  </si>
  <si>
    <t>LED00049721</t>
  </si>
  <si>
    <t>Đèn LED Panel P07 300x1200/36W.DA 6500K (KPK) SS</t>
  </si>
  <si>
    <t>LED00050883</t>
  </si>
  <si>
    <t>Đèn LED Panel P01 180x640/25W 4000K (KC-PER) SS-CT</t>
  </si>
  <si>
    <t>LED00050887</t>
  </si>
  <si>
    <t>Đèn LED Panel P01 180x1280/50W 4000K (KC-PER) SS-CT</t>
  </si>
  <si>
    <t>LED00052765</t>
  </si>
  <si>
    <t>Đèn LED Panel P06 320x1280/50W M-bar Direct 4000K TOP</t>
  </si>
  <si>
    <t>LED00052766</t>
  </si>
  <si>
    <t>Đèn LED Panel P07 300x1200/40W.PLUS 4000K (KPK) SS</t>
  </si>
  <si>
    <t>LED00052779</t>
  </si>
  <si>
    <t>Đèn LED Panel P07 300x600/28W.PLUS 6500K (KPK) SS</t>
  </si>
  <si>
    <t>LED00052788</t>
  </si>
  <si>
    <t>Đèn LED Panel P06 320x1280/50W M-bar 5700K TOP KN</t>
  </si>
  <si>
    <t>LED00052911</t>
  </si>
  <si>
    <t>Đèn LED Panel P06 320x1280/40W M-bar Direct 5700K FW</t>
  </si>
  <si>
    <t>LED00053107</t>
  </si>
  <si>
    <t>Đèn LED Panel đổi màu P10 320x1280/50W (KC-TOP) SS</t>
  </si>
  <si>
    <t>LED00053324</t>
  </si>
  <si>
    <t>Đèn LED Panel P10 180x640/25W 5700K (KC-TOP) SS</t>
  </si>
  <si>
    <t>LED00055686</t>
  </si>
  <si>
    <t>Đèn LED Panel P06 T320x1280/50W.2 Mbar direct 5700K GB</t>
  </si>
  <si>
    <t>LED00055689</t>
  </si>
  <si>
    <t>Đèn LED Panel P06 M320x1280/50W.2 Mbar 5700K HP</t>
  </si>
  <si>
    <t>LED00057266</t>
  </si>
  <si>
    <t>Bộ điều khiển trung tâm mini RD-HC02 (Đen)</t>
  </si>
  <si>
    <t>LED00057771</t>
  </si>
  <si>
    <t>Bộ điều khiển trung tâm mini RD-HC02 (Viettel)</t>
  </si>
  <si>
    <t>LED00057863</t>
  </si>
  <si>
    <t>Đèn LED UFO NLMT đổi màu UFO01.SL.RF ĐM 150W</t>
  </si>
  <si>
    <t>LED00058338</t>
  </si>
  <si>
    <t>Đèn LED Chiếu pha NLMT CP05.SL.RF 350W 3000K</t>
  </si>
  <si>
    <t>LED00058415</t>
  </si>
  <si>
    <t>Loa thông minh Maika MK100B (màu đen)</t>
  </si>
  <si>
    <t>LED00059762</t>
  </si>
  <si>
    <t>Công tắc cảm ứng chữ nhật CTCU.BLE CN.01T MN</t>
  </si>
  <si>
    <t>LED00059774</t>
  </si>
  <si>
    <t>Công tắc cảm ứng chữ nhật CTCU.WF CN.01T MN</t>
  </si>
  <si>
    <t>LED00059891</t>
  </si>
  <si>
    <t>Đèn LED Downlight dự phòng AT04.DP 110/12W 6500K</t>
  </si>
  <si>
    <t>LED00061537</t>
  </si>
  <si>
    <t>Đèn LED Downlight AT24 110/10W.GOV 6500K</t>
  </si>
  <si>
    <t>LED00061712</t>
  </si>
  <si>
    <t>Công tắc cảm ứng chữ nhật CTCU.WF CN.01T.DF</t>
  </si>
  <si>
    <t>LED00061726</t>
  </si>
  <si>
    <t>Đèn LED Downlight xoay góc đổi màu AT39.BLE 76/12W</t>
  </si>
  <si>
    <t>LED00064162</t>
  </si>
  <si>
    <t>Đèn LED Downlight đổi màu AT19.BLE 80/12W (A18) (FPT)</t>
  </si>
  <si>
    <t>LED00067394</t>
  </si>
  <si>
    <t>Đèn LED thanh T03.DMX.RGBW 1000/15W 120D (W3000K, 24VDC)</t>
  </si>
  <si>
    <t>LED00068511</t>
  </si>
  <si>
    <t>Công tắc cảm ứng chữ nhật CTCU.WF CN.04T-CT</t>
  </si>
  <si>
    <t>LED00073412</t>
  </si>
  <si>
    <t>Aptomat thông minh WiFi RD.MCB.WF 2P C63</t>
  </si>
  <si>
    <t>LED00075210</t>
  </si>
  <si>
    <t>Hệ điện áp mái NLMT SLS.1P 6KW</t>
  </si>
  <si>
    <t>LED00075232</t>
  </si>
  <si>
    <t>Hệ điện áp mái NLMT SLS.1P 7KW (KNC)</t>
  </si>
  <si>
    <t>LED00075237</t>
  </si>
  <si>
    <t>Hệ điện áp mái NLMT SLS.R3P 15KW (KNC)</t>
  </si>
  <si>
    <t>LED00076564</t>
  </si>
  <si>
    <t>Công tắc cảm ứng vuông CTCU.WF V.01T(đen, FPT, CSC)</t>
  </si>
  <si>
    <t>LED00076579</t>
  </si>
  <si>
    <t>Công tắc cảm ứng vuông CTCU.WF V.03T(trắng, FPT)</t>
  </si>
  <si>
    <t>LED00077709</t>
  </si>
  <si>
    <t>Camera kỹ thuật số HC23</t>
  </si>
  <si>
    <t>LED00084157</t>
  </si>
  <si>
    <t>Hệ điện áp mái NLMT SLS.3P 25.6KW</t>
  </si>
  <si>
    <t>LED00084165</t>
  </si>
  <si>
    <t>Hệ điện áp mái NLMT SLS.R1P 5KW (KNC)</t>
  </si>
  <si>
    <t>LED00084184</t>
  </si>
  <si>
    <t>Hệ điện áp mái NLMT SLS.3P 25.6KW (KNC)</t>
  </si>
  <si>
    <t>LED00025796</t>
  </si>
  <si>
    <t>Đèn LED ốp trần LN05 220/14W.DA 6500K SS</t>
  </si>
  <si>
    <t>LED00032870</t>
  </si>
  <si>
    <t>Đèn LED ốp trần đổi màu LN12 300/24W SS</t>
  </si>
  <si>
    <t>LED00035957</t>
  </si>
  <si>
    <t>Đèn LED ốp trần LN12 170x170/15W 6500K SS</t>
  </si>
  <si>
    <t>LED00035958</t>
  </si>
  <si>
    <t>Đèn LED ốp trần đổi màu LN12 170/15W SS</t>
  </si>
  <si>
    <t>LED00035989</t>
  </si>
  <si>
    <t>Đèn LED ốp trần đổi màu LN12N 220/18W SS</t>
  </si>
  <si>
    <t>LED00036140</t>
  </si>
  <si>
    <t>Đèn LED ốp trần NLMT NL01SL 30W</t>
  </si>
  <si>
    <t>LED00047851</t>
  </si>
  <si>
    <t>Đèn LED ốp trần LN12 280/30W.QT 3000K</t>
  </si>
  <si>
    <t>LED00051069</t>
  </si>
  <si>
    <t>Đèn LED ốp trần LN08 170x170/12W 6500K-CTT</t>
  </si>
  <si>
    <t>LED00051140</t>
  </si>
  <si>
    <t>Đèn LED ốp trần LN09 300/24W 6500K-CTT</t>
  </si>
  <si>
    <t>LED00073678</t>
  </si>
  <si>
    <t>Đèn LED ốp trần LN29N 170x170/12W 6500K</t>
  </si>
  <si>
    <t>LED00083652</t>
  </si>
  <si>
    <t>Đèn LED ốp trần LN12N 300/24W 6500K</t>
  </si>
  <si>
    <t>LED00084441</t>
  </si>
  <si>
    <t>Đèn LED ốp tường LN12 90x195/10W 6500K</t>
  </si>
  <si>
    <t>LED00005409</t>
  </si>
  <si>
    <t>Đèn LED Panel PN03 160x160/12W 3000K SS</t>
  </si>
  <si>
    <t>LED00005413</t>
  </si>
  <si>
    <t>Đèn LED Panel P01 300x300/14W 5000K KPK</t>
  </si>
  <si>
    <t>LED00005427</t>
  </si>
  <si>
    <t>Đèn LED Panel P02 600x600/36W 6500K (DIM) 6500K</t>
  </si>
  <si>
    <t>LED00005432</t>
  </si>
  <si>
    <t>Đèn LED Panel P02 300x1200/36W 6500K KPK</t>
  </si>
  <si>
    <t>LED00016431</t>
  </si>
  <si>
    <t>Đèn LED Panel P02 300x1200/36W 3500K</t>
  </si>
  <si>
    <t>LED00024629</t>
  </si>
  <si>
    <t>Đèn LED Panel P01 320x1280/50W 5700K (KC-TOP-KN) SS</t>
  </si>
  <si>
    <t>LED00026545</t>
  </si>
  <si>
    <t>Đèn LED Panel đổi màu P01 320x1280/50W (KC-TOP)</t>
  </si>
  <si>
    <t>LED00030018</t>
  </si>
  <si>
    <t>Đèn LED Panel P07 600x600/40W.DA 5700K (KPK) SS</t>
  </si>
  <si>
    <t>LED00040917</t>
  </si>
  <si>
    <t>Đèn LED Panel P07 600x600/48W.DA 5000K (KPK) SS</t>
  </si>
  <si>
    <t>LED00042015</t>
  </si>
  <si>
    <t>Đèn LED Panel P07 600x600/26W.DA 6500K (KPK) SS</t>
  </si>
  <si>
    <t>LED00053111</t>
  </si>
  <si>
    <t>Đèn LED Panel đổi màu P10 520x520/40W (KC-TOP) SS</t>
  </si>
  <si>
    <t>LED00053316</t>
  </si>
  <si>
    <t>Đèn LED Panel P10 520x520/40W 5700K (KC-TOP) SS</t>
  </si>
  <si>
    <t>LED00075968</t>
  </si>
  <si>
    <t>Máng FS 20/20Wx2 TG</t>
  </si>
  <si>
    <t>LED00017603</t>
  </si>
  <si>
    <t>Đèn bàn LED cảm ứng RD-RL-23 5W</t>
  </si>
  <si>
    <t>LED00024900</t>
  </si>
  <si>
    <t>Bóng LED Bulb A60.DTW/9W E27 1800K-3000K</t>
  </si>
  <si>
    <t>LED00025170</t>
  </si>
  <si>
    <t>Công tắc cảm ứng ba RD SW.03.WF</t>
  </si>
  <si>
    <t>LED00025832</t>
  </si>
  <si>
    <t>Bóng LED Bulb cảm biến A60.RAD/7W E27</t>
  </si>
  <si>
    <t>LED00025843</t>
  </si>
  <si>
    <t>Đèn LED ốp trần dự phòng LN09.DP 300/24W 6500K SS</t>
  </si>
  <si>
    <t>LED00026820</t>
  </si>
  <si>
    <t>Đèn LED Panel đổi màu P07.RF 300x1200/40W SS</t>
  </si>
  <si>
    <t>LED00028799</t>
  </si>
  <si>
    <t>Đèn LED Downlight đổi màu AT14.RF 110/9W</t>
  </si>
  <si>
    <t>LED00030955</t>
  </si>
  <si>
    <t>Đèn LED Panel đổi màu P07.RF 600x1200/80W SS</t>
  </si>
  <si>
    <t>LED00031133</t>
  </si>
  <si>
    <t>Đèn LED Panel đổi màu P08.RF 60x120/80W</t>
  </si>
  <si>
    <t>LED00034313</t>
  </si>
  <si>
    <t>Đèn LED ốp trần đổi màu LN21.BLE 500/40W</t>
  </si>
  <si>
    <t>LED00035405</t>
  </si>
  <si>
    <t>Đèn ngủ cảm biến ĐN01.PIR 65x65/0.3W 3000K</t>
  </si>
  <si>
    <t>LED00043789</t>
  </si>
  <si>
    <t>Công tắc cảm ứng RD-CT.03.BLE.REM</t>
  </si>
  <si>
    <t>LED00044126</t>
  </si>
  <si>
    <t>Đèn LED Downlight xoay góc đổi màu AT22.BLE 60/12W</t>
  </si>
  <si>
    <t>LED00047478</t>
  </si>
  <si>
    <t>Đèn LED Downlight đổi màu AT20.BLE.RGBCW 110/9W (FPT)</t>
  </si>
  <si>
    <t>LED00047566</t>
  </si>
  <si>
    <t>Công tắc cảm ứng vuông CTCU.BLE S1.02 (đen, FPT)</t>
  </si>
  <si>
    <t>LED00049146</t>
  </si>
  <si>
    <t>Công tắc cơ điện tử CTC N1.02</t>
  </si>
  <si>
    <t>LED00051009</t>
  </si>
  <si>
    <t>Công tắc cảm ứng chữ nhật CTCU.BLE CN.02T</t>
  </si>
  <si>
    <t>LED00051282</t>
  </si>
  <si>
    <t>Công tắc cơ điện tử CTC.BLE V1.03</t>
  </si>
  <si>
    <t>LED00053416</t>
  </si>
  <si>
    <t>Bộ nguồn RD-DR 25W Step Dimming (KC)</t>
  </si>
  <si>
    <t>LED00054422</t>
  </si>
  <si>
    <t>Bộ đèn LED thủy sinh TS03.WB 1200/30W (12VDC)</t>
  </si>
  <si>
    <t>LED00057401</t>
  </si>
  <si>
    <t>Đèn LED Tracklight đổi màu TRL05.BLE 25W</t>
  </si>
  <si>
    <t>LED00057748</t>
  </si>
  <si>
    <t>Đèn LED dây đổi màu LD01.BLE.RGB 1000/7W(200VDC-50m) FPT</t>
  </si>
  <si>
    <t>LED00059950</t>
  </si>
  <si>
    <t>Đèn LED Panel  dự phòng PT04.V2 DP 135/12W 6500K</t>
  </si>
  <si>
    <t>00000244</t>
  </si>
  <si>
    <t>Máng HQ âmtrầnFS40/36x1-M6-balát đ/tử</t>
  </si>
  <si>
    <t>00000441</t>
  </si>
  <si>
    <t>Máng HQ âmtrầnFS40/36x2-M6-balát đ/từ</t>
  </si>
  <si>
    <t>LED00005627</t>
  </si>
  <si>
    <t>Máng HQ lắpnổiFS20/18x3-M10-BL đ/từ</t>
  </si>
  <si>
    <t>LED00017378</t>
  </si>
  <si>
    <t>Máng FS 20/18Wx2 TG</t>
  </si>
  <si>
    <t>LED00038497</t>
  </si>
  <si>
    <t>Bộ máng LED tam giác FS 20/18Wx1 (Có chao)</t>
  </si>
  <si>
    <t>LED00016242</t>
  </si>
  <si>
    <t>Bóng LED Bulb đổi màu A60/9W E27</t>
  </si>
  <si>
    <t>LED00025283</t>
  </si>
  <si>
    <t>Bóng LED Bulb A60.RGB.WF/9W</t>
  </si>
  <si>
    <t>LED00026216</t>
  </si>
  <si>
    <t>Đèn LED Panel đổi màu P07 TTR01.RF 600x600/40W SS</t>
  </si>
  <si>
    <t>LED00030249</t>
  </si>
  <si>
    <t>Đèn LED ốp trần cảm biến LN08.RAD 300x300/24W.DA 6500K SS</t>
  </si>
  <si>
    <t>LED00032791</t>
  </si>
  <si>
    <t>Đèn LED Panel đổi màu PT04.BLE 90/7W</t>
  </si>
  <si>
    <t>LED00037613</t>
  </si>
  <si>
    <t>Đèn LED ốp trần D LN12L 160/12W. EVT - 6500K</t>
  </si>
  <si>
    <t>LED00038712</t>
  </si>
  <si>
    <t>Đèn ngủ cảm biến ĐN02.LS 65x65/0.3W 3000K</t>
  </si>
  <si>
    <t>LED00041456</t>
  </si>
  <si>
    <t>Đèn LED Panel dự phòng P02.DP 300x1200/48W 6500K (KPK)</t>
  </si>
  <si>
    <t>LED00041793</t>
  </si>
  <si>
    <t>Đèn LED Downlight điều khiển Remote AT16.RM 90/7W.C10</t>
  </si>
  <si>
    <t>LED00042830</t>
  </si>
  <si>
    <t>Công tắc cảm ứng RD-CT.01.WF (Trắng)</t>
  </si>
  <si>
    <t>LED00042832</t>
  </si>
  <si>
    <t>Công tắc cảm ứng RD-CT.04.WF (Trắng)</t>
  </si>
  <si>
    <t>LED00043788</t>
  </si>
  <si>
    <t>Công tắc cảm ứng chữ nhật CTCU.BLE R1.03 (trắng, FPT)</t>
  </si>
  <si>
    <t>LED00047471</t>
  </si>
  <si>
    <t>Cảm biến chuyển động CB04.PIR.BLE (AC) (FPT)</t>
  </si>
  <si>
    <t>LED00048027</t>
  </si>
  <si>
    <t>Đèn LED Tracklight đổi màu TRL04.BLE 25W.QT</t>
  </si>
  <si>
    <t>LED00048361</t>
  </si>
  <si>
    <t>Đèn LED Panel đổi màu PT04.BLE 135/9W (FPT)</t>
  </si>
  <si>
    <t>LED00049719</t>
  </si>
  <si>
    <t>Ổ cắm âm tường OCAT03K 2C/16A (chữ nhật, trắng, FPT)</t>
  </si>
  <si>
    <t>LED00050238</t>
  </si>
  <si>
    <t>Cảm biến chuyển động CB02.PIR.BLE (DC, FPT)</t>
  </si>
  <si>
    <t>LED00051036</t>
  </si>
  <si>
    <t>Bảng điều khiển cảnh RD-SC06.V</t>
  </si>
  <si>
    <t>LED00051499</t>
  </si>
  <si>
    <t>Bộ điều khiển trung tâm đèn đường RD-CSD.GW01</t>
  </si>
  <si>
    <t>LED00033566</t>
  </si>
  <si>
    <t>Bóng LED Tube T8 TT01 600/10W (Fiji) 6500K</t>
  </si>
  <si>
    <t>LED00034977</t>
  </si>
  <si>
    <t>Bóng LED Tube T8 1200/20W.DA 6500K LPF SS</t>
  </si>
  <si>
    <t>LED00040616</t>
  </si>
  <si>
    <t>Bóng LED Tube T8 1200/16W.DA 4000K</t>
  </si>
  <si>
    <t>LED00041573</t>
  </si>
  <si>
    <t>Bóng LED Tube T8 1200/17W (DC, XK) 5700K</t>
  </si>
  <si>
    <t>LED00051060</t>
  </si>
  <si>
    <t>Bóng LED Tube T8 TT01 600/10W 6500K-CTT</t>
  </si>
  <si>
    <t>LED00057848</t>
  </si>
  <si>
    <t>Bóng LED Tube T8 N02 1200/20W (Yemen) 12000K</t>
  </si>
  <si>
    <t>LED00061241</t>
  </si>
  <si>
    <t>Đèn LED T3 300/4.5W 5700K (XK-KV)</t>
  </si>
  <si>
    <t>LED00061243</t>
  </si>
  <si>
    <t>Đèn LED T3 900/13.5W 5700K (XK-KV)</t>
  </si>
  <si>
    <t>LED00081918</t>
  </si>
  <si>
    <t>Bóng LED Tube T8 N02 1200/20W (Yemen) 12000K-VH-SKD</t>
  </si>
  <si>
    <t>LED00084763</t>
  </si>
  <si>
    <t>Bóng LED Tube T8 1200/20W 6500K (CRI90)</t>
  </si>
  <si>
    <t>00000225</t>
  </si>
  <si>
    <t>Máng đèn 1,2mđơn caocấp,balát đ/từTHT</t>
  </si>
  <si>
    <t>00000229</t>
  </si>
  <si>
    <t>Máng đèn HQ 1,2mđôi caocấp khôngCh.lưu</t>
  </si>
  <si>
    <t>00000445</t>
  </si>
  <si>
    <t>Máng đèn HQ 1,2m PQ FS40/36x2-M4</t>
  </si>
  <si>
    <t>00000447</t>
  </si>
  <si>
    <t>Máng đèn huỳnh quang FS 20/18x1 M11-BL đ/tử</t>
  </si>
  <si>
    <t>LED00005538</t>
  </si>
  <si>
    <t>Máng đèn HQ 1,2m ĐĐT:01</t>
  </si>
  <si>
    <t>LED00005541</t>
  </si>
  <si>
    <t>Máng đèn âm trầnFS20/18x3-M6 (lắp Led Tube)</t>
  </si>
  <si>
    <t>LED00005558</t>
  </si>
  <si>
    <t>Máng đèn HQ-FS-40/36x2-M8 balát đ/tử</t>
  </si>
  <si>
    <t>LED00005590</t>
  </si>
  <si>
    <t>Máng đèn FS40/36x2-Slim không ballast (XK)</t>
  </si>
  <si>
    <t>LED00036864</t>
  </si>
  <si>
    <t>Máng đèn FS40/36x4-M10-k/balát(lắp Led Tube)</t>
  </si>
  <si>
    <t>LED00025845</t>
  </si>
  <si>
    <t>Đèn LED chiếu sáng đường CSD04.DIM 150W 5000K</t>
  </si>
  <si>
    <t>LED00030894</t>
  </si>
  <si>
    <t>Đèn LED Downlight đổi màu AT16.BLE 110/9W SS</t>
  </si>
  <si>
    <t>LED00033756</t>
  </si>
  <si>
    <t>Cảm biến ánh sáng CB03.LS.BLE (DC)</t>
  </si>
  <si>
    <t>LED00034298</t>
  </si>
  <si>
    <t>Bảng điều khiển cảnh RD-SC.M2 (DC)</t>
  </si>
  <si>
    <t>LED00036275</t>
  </si>
  <si>
    <t>Đèn LED Downlight đổi màu AT19.BLE 65/7W (A18)</t>
  </si>
  <si>
    <t>LED00036910</t>
  </si>
  <si>
    <t>Đèn LED Downlight đổi màu AT18.BLE 80/12W (A24)</t>
  </si>
  <si>
    <t>LED00014594</t>
  </si>
  <si>
    <t>Bóng LED Tube T8 TT01 1200/18W 6500K (RANLUX)</t>
  </si>
  <si>
    <t>LED00025788</t>
  </si>
  <si>
    <t>Bóng LED Tube T8 1200/16W.DA (ĐX) 6500K SS</t>
  </si>
  <si>
    <t>LED00051061</t>
  </si>
  <si>
    <t>Bóng LED Tube T8 1200/20W 6500K LPF SS-CTT</t>
  </si>
  <si>
    <t>00000232</t>
  </si>
  <si>
    <t>Máng đèn HQ 1,2mđơn CCK/nắp,cóCh.lưu</t>
  </si>
  <si>
    <t>LED00005535</t>
  </si>
  <si>
    <t>Máng đèn HQ 0,6m không chấn lưu</t>
  </si>
  <si>
    <t>LED00005573</t>
  </si>
  <si>
    <t>Máng đèn s/mỏngFS40/36x1-M9-BL EBH.3NN</t>
  </si>
  <si>
    <t>LED00005623</t>
  </si>
  <si>
    <t>Máng HQ âmtrầnFS20/18x3-M6-balát đ/từ</t>
  </si>
  <si>
    <t>LED00056237</t>
  </si>
  <si>
    <t>Máng đèn âm trần FS40/36x3-M6 (lắp Led Tube)-CT</t>
  </si>
  <si>
    <t>LED00061234</t>
  </si>
  <si>
    <t>Bộ máng đèn LED Base light BL Square (XK)</t>
  </si>
  <si>
    <t>LED00001312</t>
  </si>
  <si>
    <t>Đèn LED Downlight cảm biến AT04.PIR 110/9W 3000K SS</t>
  </si>
  <si>
    <t>LED00024660</t>
  </si>
  <si>
    <t>Đèn LED ốp trần đổi màu LN16.WF.IR 500/48W</t>
  </si>
  <si>
    <t>LED00025167</t>
  </si>
  <si>
    <t>Công tắc cảm ứng đôi RD SW.02.WF</t>
  </si>
  <si>
    <t>LED00025842</t>
  </si>
  <si>
    <t>Đèn LED ốp trần dự phòng LN09.DP 225/18W 6500K SS</t>
  </si>
  <si>
    <t>LED00027938</t>
  </si>
  <si>
    <t>Đèn LED Tracklight đổi màu TRL04.RF 20W (dimming)</t>
  </si>
  <si>
    <t>LED00030629</t>
  </si>
  <si>
    <t>Đèn LED ốp trần cảm biến LN09.RAD 170/12W 6500K SS</t>
  </si>
  <si>
    <t>LED00033753</t>
  </si>
  <si>
    <t>Đèn LED Panel đổi màu PT04.BLE 135/12W</t>
  </si>
  <si>
    <t>LED00033869</t>
  </si>
  <si>
    <t>Đèn LED Downlight đổi màu AT14.BLE 90/9W</t>
  </si>
  <si>
    <t>LED00034032</t>
  </si>
  <si>
    <t>Bộ nguồn LED dây đổi màu DR-LD01.BLE 1000/7W</t>
  </si>
  <si>
    <t>LED00034376</t>
  </si>
  <si>
    <t>Công tắc chuyển mạch CT.BLE.ON/OFF</t>
  </si>
  <si>
    <t>LED00036116</t>
  </si>
  <si>
    <t>Bóng LED Bulb đổi màu A65.WF/11.5W E27 (SSC)</t>
  </si>
  <si>
    <t>LED00037996</t>
  </si>
  <si>
    <t>Bộ đèn LED Linear đổi màu LR01.BLE 1000/20W</t>
  </si>
  <si>
    <t>LED00041410</t>
  </si>
  <si>
    <t>Bóng LED Bulb cảm biến A60.PIR/9W E27 6500K</t>
  </si>
  <si>
    <t>LED00042833</t>
  </si>
  <si>
    <t>Công tắc cảm ứng RD-CT.01</t>
  </si>
  <si>
    <t>LED00043465</t>
  </si>
  <si>
    <t>Đèn LED Downlight điều khiển Remote AT20.RM 110/9W.C8</t>
  </si>
  <si>
    <t>LED00081215</t>
  </si>
  <si>
    <t>Đèn LED Highbay HB02 430/100W 6500K-CT</t>
  </si>
  <si>
    <t>LED00083893</t>
  </si>
  <si>
    <t>Đèn LED  NLMT CD08.SL.IoT 120W.GATEWAY 5000K</t>
  </si>
  <si>
    <t>LED00084702</t>
  </si>
  <si>
    <t>Đèn LED HighBay HB05 250/100W AC 3000K-OSRAM</t>
  </si>
  <si>
    <t>LED00005243</t>
  </si>
  <si>
    <t>Đèn LED Downlight AT03 90/3W 6500K</t>
  </si>
  <si>
    <t>LED00005265</t>
  </si>
  <si>
    <t>Đèn Led Downlight AT03 110/7W 6500K</t>
  </si>
  <si>
    <t>LED00005284</t>
  </si>
  <si>
    <t>Đèn LED Downlight AT02 208/25W 6500K (XK)</t>
  </si>
  <si>
    <t>LED00005294</t>
  </si>
  <si>
    <t>Đèn LED Downlight AT04 110/12W 3000K SS</t>
  </si>
  <si>
    <t>LED00005449</t>
  </si>
  <si>
    <t>Đèn LED Panel PT02 130/5W 6500K</t>
  </si>
  <si>
    <t>LED00005457</t>
  </si>
  <si>
    <t>Đèn LED Panel PT02 135/8W 3000K</t>
  </si>
  <si>
    <t>LED00005465</t>
  </si>
  <si>
    <t>Đèn LED Panel PT02 160/12W 3000K</t>
  </si>
  <si>
    <t>LED00012846</t>
  </si>
  <si>
    <t>Đèn LED Panel PN04 160x160/12W 6500K SS</t>
  </si>
  <si>
    <t>LED00013893</t>
  </si>
  <si>
    <t>Đèn Led Downlight AT04 90/5W.DA-6500K SS</t>
  </si>
  <si>
    <t>LED00017290</t>
  </si>
  <si>
    <t>Đèn LED Downlight AT06 76/3W 3000K SS</t>
  </si>
  <si>
    <t>LED00018548</t>
  </si>
  <si>
    <t>Đèn LED Downlight AT10 110/9W 6500K SS</t>
  </si>
  <si>
    <t>LED00018555</t>
  </si>
  <si>
    <t>Đèn LED Downlight AT10 110/9W 3000K SS</t>
  </si>
  <si>
    <t>LED00020764</t>
  </si>
  <si>
    <t>Đèn LED Downlight AT14 110/12W 4000K SS</t>
  </si>
  <si>
    <t>LED00021440</t>
  </si>
  <si>
    <t>Đèn LED Downlight AT04 155/16W.DA 6500K SS</t>
  </si>
  <si>
    <t>LED00023864</t>
  </si>
  <si>
    <t>Đèn LED Panel PT04 135/12W 6500K SS</t>
  </si>
  <si>
    <t>LED00027516</t>
  </si>
  <si>
    <t>Đèn LED Panel đổi màu D PT05L 110/9W</t>
  </si>
  <si>
    <t>LED00029435</t>
  </si>
  <si>
    <t>Đèn LED Downlight AT04 200/15W 6500K SS</t>
  </si>
  <si>
    <t>LED00032230</t>
  </si>
  <si>
    <t>Đèn LED Panel PT04 110/9W 3000K</t>
  </si>
  <si>
    <t>LED00032232</t>
  </si>
  <si>
    <t>Đèn LED Panel PT04 135/12W 3000K</t>
  </si>
  <si>
    <t>LED00032243</t>
  </si>
  <si>
    <t>Đèn LED Panel đổi màu PT05 110/7W</t>
  </si>
  <si>
    <t>LED00083561</t>
  </si>
  <si>
    <t>Đèn LED ốp trần LN08 220x220/22W.PLUS 6500K</t>
  </si>
  <si>
    <t>LED00083651</t>
  </si>
  <si>
    <t>Đèn LED ốp trần LN12N 300/24W 3000K</t>
  </si>
  <si>
    <t>LED00005446</t>
  </si>
  <si>
    <t>Đèn LED chiếu pha CP02 30W 3000K</t>
  </si>
  <si>
    <t>LED00005481</t>
  </si>
  <si>
    <t>Bộ đèn LED M15 600x600/36W 6500K SS</t>
  </si>
  <si>
    <t>LED00005484</t>
  </si>
  <si>
    <t>Bộ đèn LED dự phòng M15.DP 300x1200/36W.DA 6500K</t>
  </si>
  <si>
    <t>LED00017297</t>
  </si>
  <si>
    <t>Bộ đèn LED M22 AT01 600x600/36W 6500K SS</t>
  </si>
  <si>
    <t>LED00018349</t>
  </si>
  <si>
    <t>Bộ đèn LED M15 300x1200/35W.DA 6500K SS</t>
  </si>
  <si>
    <t>LED00025232</t>
  </si>
  <si>
    <t>Đèn LED Panel P04 300x1200/40W 6500K (KPK) SS</t>
  </si>
  <si>
    <t>LED00028095</t>
  </si>
  <si>
    <t>Đèn LED Panel P04 TR01 600x600/40W 3000K SS</t>
  </si>
  <si>
    <t>LED00029405</t>
  </si>
  <si>
    <t>Đèn LED Panel P01 180x1280/40W 5700K (KC-LG-KN) SS</t>
  </si>
  <si>
    <t>LED00042337</t>
  </si>
  <si>
    <t>Bộ đèn LED M15 600x1200/72W 3000K SS</t>
  </si>
  <si>
    <t>LED00050121</t>
  </si>
  <si>
    <t>Đèn LED Panel P06 320x640/20W M-bar 5700K KN-PER</t>
  </si>
  <si>
    <t>LED00050361</t>
  </si>
  <si>
    <t>Đèn LED Panel P06 917x667/50W T-Bar 5700K KC-BPC</t>
  </si>
  <si>
    <t>LED00050780</t>
  </si>
  <si>
    <t>Đèn LED Panel P06 300x1200/54W 6500K</t>
  </si>
  <si>
    <t>LED00050816</t>
  </si>
  <si>
    <t>Đèn LED Panel P07 600x600/48W.UGR.PLUS 6500K (KPK) SS</t>
  </si>
  <si>
    <t>LED00050952</t>
  </si>
  <si>
    <t>Đèn LED Panel P01 320x1280/50W.V2 5700K (KC-PER) SS-CT</t>
  </si>
  <si>
    <t>LED00051960</t>
  </si>
  <si>
    <t>Đèn LED Panel P06 600x600/50W T-bar 5700K TOP</t>
  </si>
  <si>
    <t>LED00055692</t>
  </si>
  <si>
    <t>Đèn LED Panel P06 T640X640/50W Mbar direct 5700K HB</t>
  </si>
  <si>
    <t>LED00065184</t>
  </si>
  <si>
    <t>Đèn LED Panel P07 300x2400/72W.PLUS 6500K (KPK) SS</t>
  </si>
  <si>
    <t>LED00066991</t>
  </si>
  <si>
    <t>Đèn LED Panel P06 T320X1280/50W.2 Mbar direct 5700K GB KN</t>
  </si>
  <si>
    <t>LED00067428</t>
  </si>
  <si>
    <t>Đèn LED Panel P08 600x600/40W.HCM 6500K (KPK) SS</t>
  </si>
  <si>
    <t>LED00068516</t>
  </si>
  <si>
    <t>Đèn LED Panel P08 600x600/50W 3000K (KPK) SS</t>
  </si>
  <si>
    <t>LED00070077</t>
  </si>
  <si>
    <t>Đèn LED Panel P01 640x640/50W 5700K (KC-TOP)</t>
  </si>
  <si>
    <t>LED00025807</t>
  </si>
  <si>
    <t>Đèn LED Highbay HB02 430/120W.DA 6500K SS</t>
  </si>
  <si>
    <t>LED00030579</t>
  </si>
  <si>
    <t>Đèn LED chiếu sáng đường CSD02 210W 4000K (NL)</t>
  </si>
  <si>
    <t>LED00032766</t>
  </si>
  <si>
    <t>Đèn LED chiếu sáng đường CSD06 90W 4000K (IN)</t>
  </si>
  <si>
    <t>LED00037670</t>
  </si>
  <si>
    <t>Đèn LED Highbay HB02 350/50W 5000K SS</t>
  </si>
  <si>
    <t>LED00038135</t>
  </si>
  <si>
    <t>Đèn LED chiếu sáng đường D CSD05L 120W.SG 5000K</t>
  </si>
  <si>
    <t>LED00039371</t>
  </si>
  <si>
    <t>Đèn LED Chiếu pha CP06 50W 12000K</t>
  </si>
  <si>
    <t>LED00041721</t>
  </si>
  <si>
    <t>Đèn LED High Bay HB03 350/150W 3000K SS</t>
  </si>
  <si>
    <t>LED00042962</t>
  </si>
  <si>
    <t>Đèn LED chiếu pha CP07 250W 4000K (60 độ)</t>
  </si>
  <si>
    <t>LED00043557</t>
  </si>
  <si>
    <t>Đèn LED chiếu sáng đường CSD08 200W 5000K</t>
  </si>
  <si>
    <t>LED00043994</t>
  </si>
  <si>
    <t>Đèn LED chiếu sáng đường CSD04 160W 5000K</t>
  </si>
  <si>
    <t>LED00044277</t>
  </si>
  <si>
    <t>Đèn LED chiếu sáng đường CSD08 200W 4000K</t>
  </si>
  <si>
    <t>LED00044679</t>
  </si>
  <si>
    <t>Đèn LED Linear Highbay GDXL1034 2FT/130W 4000K</t>
  </si>
  <si>
    <t>LED00044682</t>
  </si>
  <si>
    <t>Đèn LED Linear Highbay GDXL1034 2FT/180W 4000K</t>
  </si>
  <si>
    <t>LED00045083</t>
  </si>
  <si>
    <t>Đèn LED Chiếu sáng đường CSD02 80W.DA 5000K</t>
  </si>
  <si>
    <t>LED00046249</t>
  </si>
  <si>
    <t>Đèn LED chiếu sáng đường CSD03 50W 4000K</t>
  </si>
  <si>
    <t>LED00047590</t>
  </si>
  <si>
    <t>Đèn LED chiếu pha CP07 300W 5000K (90 độ)</t>
  </si>
  <si>
    <t>LED00047626</t>
  </si>
  <si>
    <t>Đèn LED chiếu pha CP09 50W.QT 90D 3000K (IP66)</t>
  </si>
  <si>
    <t>LED00047637</t>
  </si>
  <si>
    <t>Đèn LED chiếu pha CP09 200W.QT 30D 5000K (IP66)</t>
  </si>
  <si>
    <t>LED00052970</t>
  </si>
  <si>
    <t>Đèn LED chiếu pha CP07 100W 4000K (90 độ)</t>
  </si>
  <si>
    <t>LED00053354</t>
  </si>
  <si>
    <t>Đèn LED Chiếu pha CPT01 80W.ĐL 30D 3000K</t>
  </si>
  <si>
    <t>LED00054717</t>
  </si>
  <si>
    <t>Đèn LED chiếu sáng đường CSD08 80W 4000K (QB)</t>
  </si>
  <si>
    <t>LED00058386</t>
  </si>
  <si>
    <t>Đèn LED chiếu sáng đường CSD05 100W 4000K (QB)</t>
  </si>
  <si>
    <t>LED00058687</t>
  </si>
  <si>
    <t>Đèn LED Chiếu Boong CB02 100W 3000K (SPD lens 35 độ)</t>
  </si>
  <si>
    <t>PHN00011790</t>
  </si>
  <si>
    <t>Phích xuất khẩu 2035 N1.E TRD</t>
  </si>
  <si>
    <t>PHN00012749</t>
  </si>
  <si>
    <t>Phích xuất khẩu 1045 N1.E AFH</t>
  </si>
  <si>
    <t>PHN00013095</t>
  </si>
  <si>
    <t>Phích xuất khẩu 1040 N2 AFH</t>
  </si>
  <si>
    <t>PHN00013161</t>
  </si>
  <si>
    <t>PHN00014244</t>
  </si>
  <si>
    <t>Phích xuất khẩu 1055 ST1.E SAB</t>
  </si>
  <si>
    <t>PHN00014703</t>
  </si>
  <si>
    <t>Ấm điện siêu tốc AST18ST1 Yemen</t>
  </si>
  <si>
    <t>PHN00014962</t>
  </si>
  <si>
    <t>PHN00015050</t>
  </si>
  <si>
    <t>Phích xuất khẩu 1542 N2.E IMT</t>
  </si>
  <si>
    <t>PHN00020681</t>
  </si>
  <si>
    <t>Phích xuất khẩu 0940 N1.E LLT</t>
  </si>
  <si>
    <t>PHN00020888</t>
  </si>
  <si>
    <t>Phích xuất khẩu 1040 N1.E NAS</t>
  </si>
  <si>
    <t>PHN00023113</t>
  </si>
  <si>
    <t>Phích xuất khẩu 1235 N1 ALK</t>
  </si>
  <si>
    <t>PHN00024577</t>
  </si>
  <si>
    <t>Bình ủ xuất khẩu 1800 N1.E SAM</t>
  </si>
  <si>
    <t>PHN00025992</t>
  </si>
  <si>
    <t>Bình giữ nhiệt inox RD-BGN045ST1.E</t>
  </si>
  <si>
    <t>PHN00027008</t>
  </si>
  <si>
    <t>Phích xuất khẩu 0538 N1 MUT</t>
  </si>
  <si>
    <t>Ruột phích loại trần</t>
  </si>
  <si>
    <t>PHN00001093</t>
  </si>
  <si>
    <t>Ruột phích RD 1.0L (RF-28763)loại trần</t>
  </si>
  <si>
    <t>PHN00001387</t>
  </si>
  <si>
    <t>Ruột phích cháo PC-02 loại trần</t>
  </si>
  <si>
    <t>PHN00004597</t>
  </si>
  <si>
    <t>Ruột phích 1340 loại trần</t>
  </si>
  <si>
    <t>PHN00011639</t>
  </si>
  <si>
    <t>Ruột phích RD 3.5L (RF-3545-HX) loại trần</t>
  </si>
  <si>
    <t>PHN00013314</t>
  </si>
  <si>
    <t>Ruột phích RD 1.8L (RF-7009004) loại trần</t>
  </si>
  <si>
    <t>PHN00015291</t>
  </si>
  <si>
    <t>Ruột phích RD 2.5L (RF-2545-HAC) loại trần</t>
  </si>
  <si>
    <t>PHN00016757</t>
  </si>
  <si>
    <t>Ruột phích RD 1.0L (RF-1042-CIR) loại trần</t>
  </si>
  <si>
    <t>PHN00024698</t>
  </si>
  <si>
    <t>Ruột phích RD 1.0L (RF-1042-IR) loại trần</t>
  </si>
  <si>
    <t>Ruột phích thành phẩm</t>
  </si>
  <si>
    <t>PHN00000030</t>
  </si>
  <si>
    <t>Ruột phích RD 0,75L (RF-27000)</t>
  </si>
  <si>
    <t>PHN00001080</t>
  </si>
  <si>
    <t>Ruột phích RD 1.0L (RF-1040-MC)</t>
  </si>
  <si>
    <t>PHN00001390</t>
  </si>
  <si>
    <t>Ruột phích Q-H 1.0L (RP-1040 S)</t>
  </si>
  <si>
    <t>PHN00001401</t>
  </si>
  <si>
    <t>Ruột phích RP1040 XK</t>
  </si>
  <si>
    <t>PHN00008421</t>
  </si>
  <si>
    <t>Ruột phích RD 0.75L (RF-7009006)</t>
  </si>
  <si>
    <t>PHN00012330</t>
  </si>
  <si>
    <t>Ruột phích RD 1.0L (RF-1042-CIR)</t>
  </si>
  <si>
    <t>SP LED khác</t>
  </si>
  <si>
    <t>00000099</t>
  </si>
  <si>
    <t>Khung treo đèn Panel âm trần 60x120</t>
  </si>
  <si>
    <t>LED00032251</t>
  </si>
  <si>
    <t>Đèn LED dây RD-LD01.9W 3000K</t>
  </si>
  <si>
    <t>LED00042289</t>
  </si>
  <si>
    <t>Ổ cắm đa năng USB OC02.USB 3C/3M/10A</t>
  </si>
  <si>
    <t>LED00043467</t>
  </si>
  <si>
    <t>Đèn LED Downlight điều khiển Remote AT20.RM 90/7W.C4</t>
  </si>
  <si>
    <t>LED00043470</t>
  </si>
  <si>
    <t>Đèn LED Downlight điều khiển Remote AT20.RM 90/7W.C10</t>
  </si>
  <si>
    <t>LED00043800</t>
  </si>
  <si>
    <t>Điều khiển từ xa đa năng thông minh ĐK01.IR.WF</t>
  </si>
  <si>
    <t>LED00045571</t>
  </si>
  <si>
    <t>Cảm biến chuyển động CB02.PIR.BLE (DC)</t>
  </si>
  <si>
    <t>LED00047069</t>
  </si>
  <si>
    <t>Công tắc cảm ứng CTCU.BLE SL1.02</t>
  </si>
  <si>
    <t>LED00047078</t>
  </si>
  <si>
    <t>Công tắc cảm ứng CTCU.BLE.F SNL1.03</t>
  </si>
  <si>
    <t>LED00047579</t>
  </si>
  <si>
    <t>Bảng điều khiển cảnh RD-SC.M3 V2 (DC)</t>
  </si>
  <si>
    <t>LED00051023</t>
  </si>
  <si>
    <t>Công tắc cảm ứng vuông CTCU.BLE V.04T</t>
  </si>
  <si>
    <t>LED00051031</t>
  </si>
  <si>
    <t>Công tắc cảm ứng vuông CTCU.WF V.02T</t>
  </si>
  <si>
    <t>LED00051728</t>
  </si>
  <si>
    <t>Bộ điều khiển trung tâm NN RD-NN.GW01</t>
  </si>
  <si>
    <t>LED00053089</t>
  </si>
  <si>
    <t>Đèn LED chiếu sáng đường CSD04 240W.NEMA 5000K</t>
  </si>
  <si>
    <t>LED00055445</t>
  </si>
  <si>
    <t>Bộ vỏ hình vuông CTCU.BLE S1.04 (đen, FPT, SGBR0116)</t>
  </si>
  <si>
    <t>LED00063171</t>
  </si>
  <si>
    <t>Công tắc 2 chiều không dây CT2C V1.03</t>
  </si>
  <si>
    <t>LED00063498</t>
  </si>
  <si>
    <t>Cảm biến cửa CB16.DO.BLE</t>
  </si>
  <si>
    <t>LED00063985</t>
  </si>
  <si>
    <t>Đầu nối vuông góc đèn LED ray (48V)</t>
  </si>
  <si>
    <t>LED00064160</t>
  </si>
  <si>
    <t>Đèn LED Downlight xoay góc đổi màu AT22.BLE 60/12W (FPT)</t>
  </si>
  <si>
    <t>LED00064292</t>
  </si>
  <si>
    <t>Công tắc cơ điện tử 2 chiều CTC2C.WF V1.02 (Ralli)</t>
  </si>
  <si>
    <t>LED00065649</t>
  </si>
  <si>
    <t>Công tắc cảm ứng chữ nhật CTCU.WF CN.04T(trắng, FPT)</t>
  </si>
  <si>
    <t>LED00066746</t>
  </si>
  <si>
    <t>Công tắc chuyển mạch 2 chiều CTAT2C.BLE V1.2 CSC</t>
  </si>
  <si>
    <t>LED00068064</t>
  </si>
  <si>
    <t>Bộ đèn LED Tube dự phòng T8.DP M11/20Wx2 6500K-PCCC (BV TĐ)</t>
  </si>
  <si>
    <t>LED00071087</t>
  </si>
  <si>
    <t>Ổ cắm âm tường OCAT05K 2C/16A (vuông, trắng, FPT)</t>
  </si>
  <si>
    <t>LED00072392</t>
  </si>
  <si>
    <t>Công tắc cảm ứng chữ nhật CTCU.WF CN.04T.2W.SP MN</t>
  </si>
  <si>
    <t>LED00072393</t>
  </si>
  <si>
    <t>Công tắc cảm ứng chữ nhật CTCU.WF CN.REMT.2W.SP MN</t>
  </si>
  <si>
    <t>LED00048413</t>
  </si>
  <si>
    <t>Đèn LED Downlight AT04 90/7W 6500K-CTT</t>
  </si>
  <si>
    <t>LED00048427</t>
  </si>
  <si>
    <t>Đèn LED Downlight đổi màu AT10 110/9W-CTT</t>
  </si>
  <si>
    <t>LED00049207</t>
  </si>
  <si>
    <t>Đèn LED Downlight AT06.V2 110/9W 6500K-TC</t>
  </si>
  <si>
    <t>LED00049687</t>
  </si>
  <si>
    <t>Đèn LED Downlight AT04 90/9W.DA 3000K</t>
  </si>
  <si>
    <t>LED00050413</t>
  </si>
  <si>
    <t>Đèn LED Downlight AT04 110/9W 3000K</t>
  </si>
  <si>
    <t>LED00055325</t>
  </si>
  <si>
    <t>Đèn LED Panel PT04.V2 135/12W 3000K-CT</t>
  </si>
  <si>
    <t>LED00056441</t>
  </si>
  <si>
    <t>Đèn LED Downlight đổi màu AT28 90/8W</t>
  </si>
  <si>
    <t>LED00056455</t>
  </si>
  <si>
    <t>Đèn LED downlight AT25 108x308/16Wx3.PLUS 4000K</t>
  </si>
  <si>
    <t>LED00057230</t>
  </si>
  <si>
    <t>Đèn LED Downlight AT05 90/10W 3000K (XK)</t>
  </si>
  <si>
    <t>LED00057371</t>
  </si>
  <si>
    <t>Đèn LED Downlight nổi trần NT03 120/12W 6500K (Trắng)</t>
  </si>
  <si>
    <t>LED00060907</t>
  </si>
  <si>
    <t>Đèn LED Downlight đổi màu AT38 90/7W (YEMEN)</t>
  </si>
  <si>
    <t>LED00061197</t>
  </si>
  <si>
    <t>Đèn LED Downlight AT31 70/12W 4000K</t>
  </si>
  <si>
    <t>LED00061667</t>
  </si>
  <si>
    <t>Đèn LED Downlight MQTL1128 6inch (Yankon)-CT</t>
  </si>
  <si>
    <t>LED00063125</t>
  </si>
  <si>
    <t>Đèn LED Downlight AT01 155/20W (XK-KN-Ko ML)</t>
  </si>
  <si>
    <t>LED00067742</t>
  </si>
  <si>
    <t>Đèn LED Ốp trần đổi màu MXL1141 L28K9027N (Niken,Yankon)</t>
  </si>
  <si>
    <t>LED00067757</t>
  </si>
  <si>
    <t>Đèn LED Ốp trần đổi màu MXL1137 L24K9027H (Đen,Yankon)</t>
  </si>
  <si>
    <t>LED00075750</t>
  </si>
  <si>
    <t>Đèn LED Downlight AT10 110/10W 6500K</t>
  </si>
  <si>
    <t>LED00075772</t>
  </si>
  <si>
    <t>Đèn LED Downlight AT10 90/10W 6500K</t>
  </si>
  <si>
    <t>LED00075909</t>
  </si>
  <si>
    <t>Đèn LED Downlight AT56 90/10W 6500K</t>
  </si>
  <si>
    <t>LED00076048</t>
  </si>
  <si>
    <t>Đèn LED Downlight AT56 90/10W 3000K</t>
  </si>
  <si>
    <t>LED00076814</t>
  </si>
  <si>
    <t>Đèn LED Downlight AT24 90/8W.PLUS IP54 6500K</t>
  </si>
  <si>
    <t>LED00077832</t>
  </si>
  <si>
    <t>Đèn LED Downlight AT10 110/12W 4000K</t>
  </si>
  <si>
    <t>00000014</t>
  </si>
  <si>
    <t>Đèn LED Gắn tường GT12 5W 6500K</t>
  </si>
  <si>
    <t>00000285</t>
  </si>
  <si>
    <t>Đèn tranh 200x400/3000K</t>
  </si>
  <si>
    <t>00000428</t>
  </si>
  <si>
    <t>Bộ đèn LED thả trần (BDTT06L 450/45W) 5000K</t>
  </si>
  <si>
    <t>00000484</t>
  </si>
  <si>
    <t>Đèn bàn Led mỹ nghệ D TL 01 MN/5W vàng</t>
  </si>
  <si>
    <t>00000533</t>
  </si>
  <si>
    <t>Đèn LED trụ gắn nổi D GN01L/30W</t>
  </si>
  <si>
    <t>LED00005648</t>
  </si>
  <si>
    <t>Đèn LED chiếu gương G02 8W 3000K</t>
  </si>
  <si>
    <t>LED00036865</t>
  </si>
  <si>
    <t>Bộ driver LED Linear DR-LR01 50W (24VDC)</t>
  </si>
  <si>
    <t>LED00039782</t>
  </si>
  <si>
    <t>Bộ Driver LED dây DR-LD01 60W(12VDC)</t>
  </si>
  <si>
    <t>LED00041872</t>
  </si>
  <si>
    <t>Đèn LED dây đổi màu LD01 ĐM 20VDC (180 LED, XK Nhật)</t>
  </si>
  <si>
    <t>LED00048477</t>
  </si>
  <si>
    <t>Thanh ray gắn đèn Tracklight</t>
  </si>
  <si>
    <t>LED00054113</t>
  </si>
  <si>
    <t>Đèn chiếu pha đổi màu CP09.RGB 50W</t>
  </si>
  <si>
    <t>LED00075465</t>
  </si>
  <si>
    <t>Đèn LED gắn tường GT20.2P 30W 6500K</t>
  </si>
  <si>
    <t>LED00078762</t>
  </si>
  <si>
    <t>Bộ đèn LED Luna BL One 1500/69W 4000K (IP65-XK)</t>
  </si>
  <si>
    <t>LED00005133</t>
  </si>
  <si>
    <t>Bòng LED Tube T8 600/10W 3000K (ĐX)</t>
  </si>
  <si>
    <t>LED00015008</t>
  </si>
  <si>
    <t>Bóng LED Tube T8 TT01 1200/18W 6500K SS</t>
  </si>
  <si>
    <t>LED00033884</t>
  </si>
  <si>
    <t>Bóng LED Tube T8 N02 600/10W 6500K</t>
  </si>
  <si>
    <t>LED00051067</t>
  </si>
  <si>
    <t>Bóng LED Tube T8 1200/16W.PLUS 4000K</t>
  </si>
  <si>
    <t>LED00061244</t>
  </si>
  <si>
    <t>Đèn LED T3 1200/18W 5700K (XK-KV)</t>
  </si>
  <si>
    <t>00000236</t>
  </si>
  <si>
    <t>Máng đèn â.trầnFS40/36x3-M6MC-(lắp Led Tube)</t>
  </si>
  <si>
    <t>00000440</t>
  </si>
  <si>
    <t>Máng HQ âmtrầnFS40/36x1-M6-balát đ/từ</t>
  </si>
  <si>
    <t>LED00005555</t>
  </si>
  <si>
    <t>Máng đèn HQ-FS-40/36x1-M8 ko nắp,ko balát</t>
  </si>
  <si>
    <t>LED00005587</t>
  </si>
  <si>
    <t>Máng HQ lắpnổiFS40/36x3-M10-BL đ/tử</t>
  </si>
  <si>
    <t>LED00005624</t>
  </si>
  <si>
    <t>Máng đèn HQ chống ẩm (M LN CA/36Wx1)</t>
  </si>
  <si>
    <t>LED00034601</t>
  </si>
  <si>
    <t>Bộ máng M25 120x2 Không kính</t>
  </si>
  <si>
    <t>LED00046750</t>
  </si>
  <si>
    <t>Hộp máng đèn FS 20/18x3 M10 đ/tử-ko in(XNT)</t>
  </si>
  <si>
    <t>LED00056243</t>
  </si>
  <si>
    <t>Bóng LED Tube T8 TT01 600/10W 6500K-CT</t>
  </si>
  <si>
    <t>00000234</t>
  </si>
  <si>
    <t>Máng đèn nông nghiệp M NN01 1x36W-BL đ/tử</t>
  </si>
  <si>
    <t>00000448</t>
  </si>
  <si>
    <t>Máng đèn huỳnh quang FS 40/36x1 M11-BL đ/tử</t>
  </si>
  <si>
    <t>LED00005561</t>
  </si>
  <si>
    <t>Máng đèn HQ-FS-40/36x2-M8-balát THT</t>
  </si>
  <si>
    <t>LED00005591</t>
  </si>
  <si>
    <t>Máng HQ PQ-FS/20/18x1-M2 balát đ/tử</t>
  </si>
  <si>
    <t>LED00051520</t>
  </si>
  <si>
    <t>Bộ máng LED tam giác FS 20/18Wx2 (có chao)</t>
  </si>
  <si>
    <t>LED00016386</t>
  </si>
  <si>
    <t>Bộ đèn LED đổi màu M15 600x600/36W LED SS</t>
  </si>
  <si>
    <t>LED00021677</t>
  </si>
  <si>
    <t>Bộ đèn LED dự phòng M15.DP 600x1200/54W.DA 6500K SS</t>
  </si>
  <si>
    <t>LED00024451</t>
  </si>
  <si>
    <t>Đèn LED ốp trần đổi màu LN21.RF 500/40W</t>
  </si>
  <si>
    <t>LED00024785</t>
  </si>
  <si>
    <t>Đèn LED Panel đổi màu P02.WF 600x600/40W SS</t>
  </si>
  <si>
    <t>LED00025825</t>
  </si>
  <si>
    <t>Đèn LED Downlight dự phòng AT04.DP 90/9W 6500K SS</t>
  </si>
  <si>
    <t>LED00025826</t>
  </si>
  <si>
    <t>Đèn LED Downlight dự phòng AT04.DP 90/12W 6500K SS</t>
  </si>
  <si>
    <t>LED00028367</t>
  </si>
  <si>
    <t>Đèn LED Panel đổi màu PT04.RF 110/6W</t>
  </si>
  <si>
    <t>LED00028797</t>
  </si>
  <si>
    <t>Đèn LED Downlight đổi màu AT14.RF 76/7W</t>
  </si>
  <si>
    <t>LED00033866</t>
  </si>
  <si>
    <t>Đèn LED Downlight đổi màu AT14.BLE 110/12W</t>
  </si>
  <si>
    <t>LED00034312</t>
  </si>
  <si>
    <t>Đèn LED ốp trần đổi màu LN20.BLE 500/40W</t>
  </si>
  <si>
    <t>LED00035406</t>
  </si>
  <si>
    <t>Đèn chiếu chân tường cảm biến ĐCT.PIR 65x65/0.3W 6500K</t>
  </si>
  <si>
    <t>LED00038037</t>
  </si>
  <si>
    <t>Cảm biến chuyển động CB04.PIR.BLE (AC)</t>
  </si>
  <si>
    <t>LED00039208</t>
  </si>
  <si>
    <t>Đèn bàn LED bảo vệ thị lực RD-RL-40 8W(OC-USB) 6500K</t>
  </si>
  <si>
    <t>LED00040013</t>
  </si>
  <si>
    <t>Đèn LED Downlight đổi màu AT16.BLE 110/12W</t>
  </si>
  <si>
    <t>LED00041491</t>
  </si>
  <si>
    <t>Đèn LED Panel dự phòng P02.DP 600x600/38W 6500K (KPK)</t>
  </si>
  <si>
    <t>LED00042010</t>
  </si>
  <si>
    <t>Đèn LED gắn tường cảm biến GT16.PIR 220x100/15W 6500K</t>
  </si>
  <si>
    <t>LED00042835</t>
  </si>
  <si>
    <t>Công tắc cảm ứng RD-CT.04</t>
  </si>
  <si>
    <t>LED00042842</t>
  </si>
  <si>
    <t>Đèn LED Downlight đổi màu AT20.BLE 110/12W</t>
  </si>
  <si>
    <t>LED00033404</t>
  </si>
  <si>
    <t>Tủ điều khiển chiếu sáng (cụm đèn 5kW)</t>
  </si>
  <si>
    <t>LED00035304</t>
  </si>
  <si>
    <t>Module LED dây RGBW 24V V3 (XK)</t>
  </si>
  <si>
    <t>LED00037846</t>
  </si>
  <si>
    <t>Đèn LED dây LD01 1000/9W 4000K (AC 220V-50m)</t>
  </si>
  <si>
    <t>LED00039357</t>
  </si>
  <si>
    <t>Driver U8KCF-30W-48V (IDF) HC</t>
  </si>
  <si>
    <t>LED00039382</t>
  </si>
  <si>
    <t>Driver U8KC-30W-36V (IDF) HC</t>
  </si>
  <si>
    <t>LED00048325</t>
  </si>
  <si>
    <t>Đèn LED thanh T01 1000/12W.QT 30D 3000K (IP65)</t>
  </si>
  <si>
    <t>LED00049002</t>
  </si>
  <si>
    <t>Đèn LED CD02 110x110/1W.QT 90D 3000K (IP67)</t>
  </si>
  <si>
    <t>LED00051694</t>
  </si>
  <si>
    <t>Driver 320x640/20W Mbar Direct LLC PER THT</t>
  </si>
  <si>
    <t>LED00051951</t>
  </si>
  <si>
    <t>Driver P06 600x600 40W T-Bar  HC TOP</t>
  </si>
  <si>
    <t>LED00059472</t>
  </si>
  <si>
    <t>Bộ cần treo 0,34m đèn CSLH 120/20W</t>
  </si>
  <si>
    <t>LED00060356</t>
  </si>
  <si>
    <t>Đèn LED dây LD03 1000/7W 6500K (220V-100m)</t>
  </si>
  <si>
    <t>LED00061695</t>
  </si>
  <si>
    <t>Đèn LED dây LD03 1000/9W 3000K (220V-100m)</t>
  </si>
  <si>
    <t>LED00066798</t>
  </si>
  <si>
    <t>Bộ nguồn đèn DR- RAY LED.48 200W</t>
  </si>
  <si>
    <t>LED00067262</t>
  </si>
  <si>
    <t>Đèn LED dây LD03 1000/9W 6500K (220V-100m)-CT</t>
  </si>
  <si>
    <t>LED00076182</t>
  </si>
  <si>
    <t>Đèn LED dây LD03 1000/9W 4000K (220V-100m)</t>
  </si>
  <si>
    <t>LED00079549</t>
  </si>
  <si>
    <t>Tủ aptomat nổi tường TAT02-4 (kim loại)</t>
  </si>
  <si>
    <t>LED00084866</t>
  </si>
  <si>
    <t>Đèn LED dây LD01 5000/40W 4000K (CRI 90, XK)</t>
  </si>
  <si>
    <t>LED00084907</t>
  </si>
  <si>
    <t>Đèn LED dây LD01 5000/20W 3000K (CRI 80, XK)</t>
  </si>
  <si>
    <t>Vỏ phích &amp; phụ tùng phích</t>
  </si>
  <si>
    <t>PHN00000015</t>
  </si>
  <si>
    <t>ROLLER 0,5L-STAINLESS STEEL</t>
  </si>
  <si>
    <t>PHN00012413</t>
  </si>
  <si>
    <t>Vỏ phích inox 1,8L-Termolar (màu đồng)</t>
  </si>
  <si>
    <t>PHN00018027</t>
  </si>
  <si>
    <t>Vỏ phích inox 1.8L Slim - Invicta</t>
  </si>
  <si>
    <t>PHN00018341</t>
  </si>
  <si>
    <t>Bộ cối xay khô cỡ nhỏ kèm dao xay RD MX01 Yemen</t>
  </si>
  <si>
    <t>LED00025836</t>
  </si>
  <si>
    <t>Đèn LED ốp trần cảm biến LN08.RAD 300x300/24W 6500K SS</t>
  </si>
  <si>
    <t>LED00028366</t>
  </si>
  <si>
    <t>Đèn LED Panel đổi màu PT04.RF 90/6W</t>
  </si>
  <si>
    <t>LED00028375</t>
  </si>
  <si>
    <t>Đèn LED dây đổi màu LD01.WF.RGBCW 1000/3W (12VDC)</t>
  </si>
  <si>
    <t>LED00028880</t>
  </si>
  <si>
    <t>Đèn LED Panel dự phòng P08.DP 600x600/40W 6500K (KPK) SS</t>
  </si>
  <si>
    <t>LED00034303</t>
  </si>
  <si>
    <t>Đèn LED Panel đổi màu P07.BLE 300x1200/40W</t>
  </si>
  <si>
    <t>LED00036114</t>
  </si>
  <si>
    <t>Bóng LED Bulb đổi màu A65.WF/8W E27 (SSC)</t>
  </si>
  <si>
    <t>LED00039570</t>
  </si>
  <si>
    <t>Bóng LED Bulb cảm biến A60/9W.RAD 6500K B22 (Yemen)</t>
  </si>
  <si>
    <t>LED00041411</t>
  </si>
  <si>
    <t>Bóng LED Bulb cảm biến A60.PIR/9W E27 3000K</t>
  </si>
  <si>
    <t>LED00041965</t>
  </si>
  <si>
    <t>Đèn LED panel đổi màu P07.BLE 230x1050/40W (ko LGP,KPK)</t>
  </si>
  <si>
    <t>LED00042837</t>
  </si>
  <si>
    <t>Công tắc cảm ứng chữ nhật CTCU.BLE R1.01 (đen, FPT)</t>
  </si>
  <si>
    <t>LED00044863</t>
  </si>
  <si>
    <t>Bộ đèn LED thủy sinh đổi màu TS02.RGB 590/9W IP68</t>
  </si>
  <si>
    <t>LED00047489</t>
  </si>
  <si>
    <t>Đèn LED Chiếu pha NLMT CP02.SL.RF 100W</t>
  </si>
  <si>
    <t>LED00049014</t>
  </si>
  <si>
    <t>Cảm biến ánh sáng NN CB02-NN.LS.LR</t>
  </si>
  <si>
    <t>LED00051024</t>
  </si>
  <si>
    <t>Công tắc cảm ứng vuông CTCU.BLE V.REMT</t>
  </si>
  <si>
    <t>LED00051514</t>
  </si>
  <si>
    <t>Đèn LED Chiếu pha NLMT CP02.SL.RF 70W.XK 12000K</t>
  </si>
  <si>
    <t>LED00053093</t>
  </si>
  <si>
    <t>Đèn LED chiếu sáng đường CSD04 120W.NEMA 4000K</t>
  </si>
  <si>
    <t>LED00054854</t>
  </si>
  <si>
    <t>Ổ cắm âm tường OCAT04K 2C/16A (chữ nhật, trắng, Ralli)</t>
  </si>
  <si>
    <t>LED00059645</t>
  </si>
  <si>
    <t>Bộ sạc đèn NLMT AC-DC 5A-3V</t>
  </si>
  <si>
    <t>LED00062527</t>
  </si>
  <si>
    <t>Bộ vỏ chữ nhật CTCU.BLE R1.DOT NC (đen, FPT) trùng tên</t>
  </si>
  <si>
    <t>LED00071086</t>
  </si>
  <si>
    <t>Ổ cắm âm tường OCAT06K 2C/16A (chữ nhật, đen, FPT)</t>
  </si>
  <si>
    <t>LED00071723</t>
  </si>
  <si>
    <t>Cảm biến hiện diện CB15.RAD.WF.BLE (AC,FPT)</t>
  </si>
  <si>
    <t>LED00071801</t>
  </si>
  <si>
    <t>Đèn LED ốp trần LN12.RAD 220/18W (HL) 4000K</t>
  </si>
  <si>
    <t>LED00072351</t>
  </si>
  <si>
    <t>Đèn LED Downlight đổi màu AT14.BLE 110/14.5W</t>
  </si>
  <si>
    <t>LED00074652</t>
  </si>
  <si>
    <t>Bộ nguồn SS-160NH-E260BHP (max 0.8A, AC, DC)</t>
  </si>
  <si>
    <t>LED00037379</t>
  </si>
  <si>
    <t>Bóng đèn LED Tube cảm biến T8 120/18W.RAD.EVT 6500K ĐX</t>
  </si>
  <si>
    <t>LED00041794</t>
  </si>
  <si>
    <t>Đèn LED Downlight điều khiển Remote AT16.RM 110/9W.C4</t>
  </si>
  <si>
    <t>LED00042828</t>
  </si>
  <si>
    <t>Công tắc cảm ứng RD-CT.01.WF.NL</t>
  </si>
  <si>
    <t>LED00043100</t>
  </si>
  <si>
    <t>Cảm biến cửa CB08.DO.BLE</t>
  </si>
  <si>
    <t>LED00043390</t>
  </si>
  <si>
    <t>Bảng điều khiển cảnh RD-SC.CB (DC)</t>
  </si>
  <si>
    <t>LED00043521</t>
  </si>
  <si>
    <t>Bộ nguồn điều khiển LED dây LD01.BLE 1000/9W</t>
  </si>
  <si>
    <t>LED00043764</t>
  </si>
  <si>
    <t>Công tắc cảm biến không dây CT02.PIR.BLE</t>
  </si>
  <si>
    <t>LED00043791</t>
  </si>
  <si>
    <t>Công tắc cảm ứng RD-CT.01.BLE.NL</t>
  </si>
  <si>
    <t>LED00047070</t>
  </si>
  <si>
    <t>Công tắc cảm ứng CTCU.BLE SL1.03</t>
  </si>
  <si>
    <t>LED00047562</t>
  </si>
  <si>
    <t>Công tắc cảm ứng vuông CTCU.BLE S1.02 (trắng, FPT)</t>
  </si>
  <si>
    <t>LED00047580</t>
  </si>
  <si>
    <t>Bảng điều khiển cảnh RD-SC.M3 V2 (AC)</t>
  </si>
  <si>
    <t>LED00048355</t>
  </si>
  <si>
    <t>Đèn LED Tracklight đổi màu TRL04.BLE 20W (FPT)</t>
  </si>
  <si>
    <t>LED00049015</t>
  </si>
  <si>
    <t>Cảm biến khí CO2 NN CB03-NN.CO2.LR</t>
  </si>
  <si>
    <t>LED00049716</t>
  </si>
  <si>
    <t>Ổ cắm âm tường OCAT02K 2C/16A (vuông, trắng, FPT)</t>
  </si>
  <si>
    <t>LED00053092</t>
  </si>
  <si>
    <t>Đèn LED chiếu sáng đường CSD04 120W.NEMA 5000K</t>
  </si>
  <si>
    <t>LED00053094</t>
  </si>
  <si>
    <t>Đèn LED chiếu sáng đường CSD04 160W.NEMA 4000K</t>
  </si>
  <si>
    <t>LED00055455</t>
  </si>
  <si>
    <t>Bộ vỏ chữ nhật CTCU.BLE R1.03 (đen, FPT, SGBR028)</t>
  </si>
  <si>
    <t>LED00055718</t>
  </si>
  <si>
    <t>Công tắc cảm ứng vuông CTCU.BLE V.02T (Viettel)</t>
  </si>
  <si>
    <t>LED00059760</t>
  </si>
  <si>
    <t>Công tắc cảm ứng vuông CTCU.BLE V.04T MN</t>
  </si>
  <si>
    <t>LED00060877</t>
  </si>
  <si>
    <t>Công tắc cảm ứng chữ nhật CTCU.WF CN.DOT.NO</t>
  </si>
  <si>
    <t>LED00061624</t>
  </si>
  <si>
    <t>Bộ đèn LED Tube dự phòng T8.DP M11/20Wx2 6500K-PCCC</t>
  </si>
  <si>
    <t>LED00063375</t>
  </si>
  <si>
    <t>Bộ điều khiển trung tâm báo cháy BC.GW01</t>
  </si>
  <si>
    <t>LED00063983</t>
  </si>
  <si>
    <t>Đầu nối thẳng đèn LED ray (48V)</t>
  </si>
  <si>
    <t>LED00063984</t>
  </si>
  <si>
    <t>Đầu nối xoay góc đèn LED ray (48V)</t>
  </si>
  <si>
    <t>PHN00016108</t>
  </si>
  <si>
    <t>Phích xuất khẩu 2545 ST1.E IMT</t>
  </si>
  <si>
    <t>PHN00018783</t>
  </si>
  <si>
    <t>Phích xuất khẩu 0940 N1.E Prime</t>
  </si>
  <si>
    <t>PHN00018868</t>
  </si>
  <si>
    <t>Phích xuất khẩu 1640 TS1 ALK</t>
  </si>
  <si>
    <t>PHN00018879</t>
  </si>
  <si>
    <t>Phích xuất khẩu 2035 N6 IMT</t>
  </si>
  <si>
    <t>PHN00020680</t>
  </si>
  <si>
    <t>Phích xuất khẩu 2545 TS.E LLT</t>
  </si>
  <si>
    <t>PHN00020890</t>
  </si>
  <si>
    <t>Phích xuất khẩu 1542 N2.E NAS</t>
  </si>
  <si>
    <t>PHN00020891</t>
  </si>
  <si>
    <t>Phích xuất khẩu 1040 ST2 NAS</t>
  </si>
  <si>
    <t>PHN00021334</t>
  </si>
  <si>
    <t>Phích xuất khẩu 2035 N5 Basa</t>
  </si>
  <si>
    <t>PHN00022093</t>
  </si>
  <si>
    <t>PHN00023091</t>
  </si>
  <si>
    <t>PHN00025088</t>
  </si>
  <si>
    <t>PHN00025994</t>
  </si>
  <si>
    <t>Bình giữ nhiệt inox RD-BGN045ST2</t>
  </si>
  <si>
    <t>PHN00026975</t>
  </si>
  <si>
    <t>Phích xuất khẩu 2545 ST1.E MLL</t>
  </si>
  <si>
    <t>PHN00027021</t>
  </si>
  <si>
    <t>PHN00001062</t>
  </si>
  <si>
    <t>Ruột phích 1235 loại trần</t>
  </si>
  <si>
    <t>PHN00001083</t>
  </si>
  <si>
    <t>Ruột phích RD 1.0L (RF-1040-T) loại trần</t>
  </si>
  <si>
    <t>PHN00001398</t>
  </si>
  <si>
    <t>Ruột phích RD 1.9L (RF-1948-MC)loại trần</t>
  </si>
  <si>
    <t>PHN00001448</t>
  </si>
  <si>
    <t>Ruột phích RD 1.6L (RF-1640-MC) loại trần</t>
  </si>
  <si>
    <t>PHN00011998</t>
  </si>
  <si>
    <t>Ruột phích RD 1.0L (RF-1060-HS) loại trần</t>
  </si>
  <si>
    <t>PHN00012221</t>
  </si>
  <si>
    <t>Ruột phích RD 1.0L (RF-38560) loại trần</t>
  </si>
  <si>
    <t>PHN00013094</t>
  </si>
  <si>
    <t>Ruột phích RD 1.0L (RF-1040G-CIR) loại trần</t>
  </si>
  <si>
    <t>PHN00023115</t>
  </si>
  <si>
    <t>Ruột phích RD 1.0L (RF-1042-HAC) loại trần</t>
  </si>
  <si>
    <t>PHN00027909</t>
  </si>
  <si>
    <t>Ruột phích 0980-0.9L loại trần (KM)</t>
  </si>
  <si>
    <t>PHN00001074</t>
  </si>
  <si>
    <t>Ruột phích RD 1.0L (RF-1038-SP)</t>
  </si>
  <si>
    <t>PHN00001092</t>
  </si>
  <si>
    <t>Ruột phích RD 1.0L (RF-28763)</t>
  </si>
  <si>
    <t>PHN00001098</t>
  </si>
  <si>
    <t>Ruột phích RD 1.8L (RF-1840-T1)</t>
  </si>
  <si>
    <t>PHN00001318</t>
  </si>
  <si>
    <t>Ruột phích 1,2L loại 1</t>
  </si>
  <si>
    <t>PHN00001395</t>
  </si>
  <si>
    <t>Ruột phích RD 1.0L (RF-1042G-GM)</t>
  </si>
  <si>
    <t>PHN00001399</t>
  </si>
  <si>
    <t>Ruột phích RD 800ml (RF-0856)</t>
  </si>
  <si>
    <t>PHN00008423</t>
  </si>
  <si>
    <t>Ruột phích RD 3.0L (RF-Y3045-MC)</t>
  </si>
  <si>
    <t>LED00084193</t>
  </si>
  <si>
    <t>Bộ điều khiển trung tâm báo cháy BC.GW01.V2</t>
  </si>
  <si>
    <t>00000193</t>
  </si>
  <si>
    <t>ổ cắm đơn 10A-250V</t>
  </si>
  <si>
    <t>00000410</t>
  </si>
  <si>
    <t>Đui đèn vát E27</t>
  </si>
  <si>
    <t>LED00054758</t>
  </si>
  <si>
    <t>Hạt công tắc âm tường 2 chiều HCT01 2C/10A</t>
  </si>
  <si>
    <t>LED00066124</t>
  </si>
  <si>
    <t>Bộ cảm biến ZDL1206 E26 240W Yankon</t>
  </si>
  <si>
    <t>LED00074794</t>
  </si>
  <si>
    <t>Aptomat chống giật RD.RCBO 1P+N 63A</t>
  </si>
  <si>
    <t>LED00075407</t>
  </si>
  <si>
    <t>Ổ cắm đa năng OC06.V2 6C/5M/10A-CT</t>
  </si>
  <si>
    <t>PHN00000962</t>
  </si>
  <si>
    <t>PHN00000968</t>
  </si>
  <si>
    <t>Phích 2.5L (VF-2545-SP)</t>
  </si>
  <si>
    <t>PHN00001331</t>
  </si>
  <si>
    <t>Phích 1040 ST1.E-1L-Pioneer</t>
  </si>
  <si>
    <t>PHN00001339</t>
  </si>
  <si>
    <t>Phích 1045TS-E Pioneer - RĐ</t>
  </si>
  <si>
    <t>PHN00001342</t>
  </si>
  <si>
    <t>Phích 1055 ST1-1L-thân Inox</t>
  </si>
  <si>
    <t>PHN00001357</t>
  </si>
  <si>
    <t>Phích Nhựa 1099-2L M2</t>
  </si>
  <si>
    <t>PHN00002565</t>
  </si>
  <si>
    <t>PHN00011407</t>
  </si>
  <si>
    <t>Phích xuất khẩu 2035 N1.E Abu</t>
  </si>
  <si>
    <t>PHN00011633</t>
  </si>
  <si>
    <t>Phích xuất khẩu 1542 N2.E EST</t>
  </si>
  <si>
    <t>PHN00011766</t>
  </si>
  <si>
    <t>Phích xuất khẩu 3245 N1.E Yemen</t>
  </si>
  <si>
    <t>PHN00011788</t>
  </si>
  <si>
    <t>Phích xuất khẩu 1542 N2.E TRD</t>
  </si>
  <si>
    <t>PHN00012410</t>
  </si>
  <si>
    <t>PHN00013541</t>
  </si>
  <si>
    <t>Phích xuất khẩu 1040 TS FCI</t>
  </si>
  <si>
    <t>PHN00014498</t>
  </si>
  <si>
    <t>Phích xuất khẩu 2045 ST1.E Esam</t>
  </si>
  <si>
    <t>PHN00015047</t>
  </si>
  <si>
    <t>Phích xuất khẩu 1055 ST1.E IMT</t>
  </si>
  <si>
    <t>PHN00015796</t>
  </si>
  <si>
    <t>Phích xuất khẩu 2035 N5 Yemen</t>
  </si>
  <si>
    <t>PHN00019775</t>
  </si>
  <si>
    <t>Phích xuất khẩu 2545 TS2.E Yemen</t>
  </si>
  <si>
    <t>PHN00020010</t>
  </si>
  <si>
    <t>Phích xuất khẩu 1040 (KD) SAN</t>
  </si>
  <si>
    <t>PHN00020110</t>
  </si>
  <si>
    <t>Phích RD-1045ST2.QT - 1L</t>
  </si>
  <si>
    <t>PHN00020237</t>
  </si>
  <si>
    <t>Phích xuất khẩu 1045 N3.E ALK</t>
  </si>
  <si>
    <t>LED00084810</t>
  </si>
  <si>
    <t>Hệ điện áp mái NLMT SLS.R1P 5KW (KNC-Không Solar)</t>
  </si>
  <si>
    <t>00000192</t>
  </si>
  <si>
    <t>ổ cắm đôi 10A-250V</t>
  </si>
  <si>
    <t>LED00054757</t>
  </si>
  <si>
    <t>Hạt công tắc âm tường 1 chiều HCT01 1C/10A</t>
  </si>
  <si>
    <t>LED00066574</t>
  </si>
  <si>
    <t>Ổ cắm đa năng OC06.V2 6C/2M/10A ( trắng)</t>
  </si>
  <si>
    <t>LED00068475</t>
  </si>
  <si>
    <t>Ổ cắm đa năng OC06 6C/5M/10A-CT</t>
  </si>
  <si>
    <t>LED00074752</t>
  </si>
  <si>
    <t>Aptomat ngắn mạch RD.MCB 1P1E 25A</t>
  </si>
  <si>
    <t>LED00074769</t>
  </si>
  <si>
    <t>Aptomat ngắn mạch RD.MCB 3P3E 16A</t>
  </si>
  <si>
    <t>LED00074773</t>
  </si>
  <si>
    <t>Aptomat ngắn mạch RD.MCB 3P3E 40A</t>
  </si>
  <si>
    <t>PHN00000963</t>
  </si>
  <si>
    <t>PHN00001314</t>
  </si>
  <si>
    <t>Phích 2545 TS1-2,5L</t>
  </si>
  <si>
    <t>PHN00001316</t>
  </si>
  <si>
    <t>Phích 3245-3,2L</t>
  </si>
  <si>
    <t>PHN00001341</t>
  </si>
  <si>
    <t>Phích 1055 ST1.E-1L-Pioneer - RĐ</t>
  </si>
  <si>
    <t>PHN00001353</t>
  </si>
  <si>
    <t>Phích cốc</t>
  </si>
  <si>
    <t>PHN00001354</t>
  </si>
  <si>
    <t>Phích đựng nước nóng (RD-1013)-1L</t>
  </si>
  <si>
    <t>PHN00011400</t>
  </si>
  <si>
    <t>Phích xuất khẩu 1040 N1.E Abu</t>
  </si>
  <si>
    <t>PHN00011406</t>
  </si>
  <si>
    <t>Phích xuất khẩu 1542 N2.E Abu</t>
  </si>
  <si>
    <t>PHN00012419</t>
  </si>
  <si>
    <t>Phích xuất khẩu 2545 ST1.E Israel</t>
  </si>
  <si>
    <t>PHN00012421</t>
  </si>
  <si>
    <t>Phích xuất khẩu 2045 ST1.E Úc</t>
  </si>
  <si>
    <t>PHN00013543</t>
  </si>
  <si>
    <t>Phích xuất khẩu 1040 ST3.E FCI</t>
  </si>
  <si>
    <t>PHN00014702</t>
  </si>
  <si>
    <t>Ấm điện siêu tốc AST15ST1 Yemen</t>
  </si>
  <si>
    <t>PHN00015051</t>
  </si>
  <si>
    <t>Phích xuất khẩu 1045 TS.E IMT</t>
  </si>
  <si>
    <t>PHN00015288</t>
  </si>
  <si>
    <t>Phích xuất khẩu 1040 TS2 Yemen</t>
  </si>
  <si>
    <t>PHN00015674</t>
  </si>
  <si>
    <t>PHN00018865</t>
  </si>
  <si>
    <t>Phích xuất khẩu 1055 N1.E ALK</t>
  </si>
  <si>
    <t>PHN00018946</t>
  </si>
  <si>
    <t>Phích RD-2045ST6.QT - 2L</t>
  </si>
  <si>
    <t>PHN00019738</t>
  </si>
  <si>
    <t>Phích xuất khẩu 1640 TS3 Yemen</t>
  </si>
  <si>
    <t>PHN00020677</t>
  </si>
  <si>
    <t>Phích xuất khẩu 1040 TS2 LLT</t>
  </si>
  <si>
    <t>PHN00022086</t>
  </si>
  <si>
    <t>Vỏ phích thân thép 1.8L (2089) - Invicta</t>
  </si>
  <si>
    <t>PHN00023821</t>
  </si>
  <si>
    <t>Bình giữ nhiệt inox RD-BGN06ST1</t>
  </si>
  <si>
    <t>PHN00025408</t>
  </si>
  <si>
    <t>Phích xuất khẩu 2545 ST1.E HAW</t>
  </si>
  <si>
    <t>LED00073199</t>
  </si>
  <si>
    <t>Ổ cắm âm tường OCAT06K 2C/16A (chữ nhật, trắng, FPT)</t>
  </si>
  <si>
    <t>LED00074655</t>
  </si>
  <si>
    <t>Bộ nguồn SS-320NH-E260BHP (max 1.5A, AC, DC)</t>
  </si>
  <si>
    <t>LED00075202</t>
  </si>
  <si>
    <t>Hệ điện áp mái NLMT SLS.R1P 3.5KW</t>
  </si>
  <si>
    <t>LED00076823</t>
  </si>
  <si>
    <t>Bộ điều khiển đèn chiếu sáng thông minh RD-CSD.ĐK01-I.IoT</t>
  </si>
  <si>
    <t>LED00077710</t>
  </si>
  <si>
    <t>Camera ngoài trời HC33</t>
  </si>
  <si>
    <t>LED00083847</t>
  </si>
  <si>
    <t>Bộ điều khiển đường truyền hữu tuyến RD-CSD.CAN01-HT</t>
  </si>
  <si>
    <t>LED00084147</t>
  </si>
  <si>
    <t>Hệ điện áp mái NLMT SLS.1P 8.5KW</t>
  </si>
  <si>
    <t>LED00084151</t>
  </si>
  <si>
    <t>Hệ điện áp mái NLMT SLS.R3P 16KW</t>
  </si>
  <si>
    <t>LED00084154</t>
  </si>
  <si>
    <t>Hệ điện áp mái NLMT SLS.3P 16KW</t>
  </si>
  <si>
    <t>LED00084175</t>
  </si>
  <si>
    <t>Hệ điện áp mái NLMT SLS.R3P 8.5KW (KNC)</t>
  </si>
  <si>
    <t>LED00084186</t>
  </si>
  <si>
    <t>Hệ điện áp mái NLMT SLS.3P 40KW (KNC)</t>
  </si>
  <si>
    <t>00000194</t>
  </si>
  <si>
    <t>Công tắc và ổcắm 2 chân 10A-250V</t>
  </si>
  <si>
    <t>LED00074746</t>
  </si>
  <si>
    <t>Aptomat gia dụng RD.HB 2P1E 15A</t>
  </si>
  <si>
    <t>LED00074774</t>
  </si>
  <si>
    <t>Aptomat ngắn mạch RD.MCB 3P3E 50A</t>
  </si>
  <si>
    <t>LED00074775</t>
  </si>
  <si>
    <t>Aptomat ngắn mạch RD.MCB 3P3E 63A</t>
  </si>
  <si>
    <t>LED00074780</t>
  </si>
  <si>
    <t>Aptomat ngắn mạch RD.MCB 4P4E C20</t>
  </si>
  <si>
    <t>LED00074792</t>
  </si>
  <si>
    <t>Aptomat chống giật RD.RCBO 1P+N 40A</t>
  </si>
  <si>
    <t>PHN00000010</t>
  </si>
  <si>
    <t>PHN00000977</t>
  </si>
  <si>
    <t>PHN00000985</t>
  </si>
  <si>
    <t>PHN00001358</t>
  </si>
  <si>
    <t>Phích Nhựa 198-2L</t>
  </si>
  <si>
    <t>PHN00001359</t>
  </si>
  <si>
    <t>Phích Nhựa 201-2L</t>
  </si>
  <si>
    <t>PHN00001581</t>
  </si>
  <si>
    <t>PHN00008642</t>
  </si>
  <si>
    <t>PHN00010763</t>
  </si>
  <si>
    <t>LED00054762</t>
  </si>
  <si>
    <t>Hạt ổ cắm điện thoại âm tường HOC.ĐT01</t>
  </si>
  <si>
    <t>LED00065629</t>
  </si>
  <si>
    <t>Ổ cắm đa năng OC05.V2 3C/2M/10A</t>
  </si>
  <si>
    <t>LED00074758</t>
  </si>
  <si>
    <t>Aptomat ngắn mạch RD.MCB 2P2E 6A</t>
  </si>
  <si>
    <t>PHN00001355</t>
  </si>
  <si>
    <t>Phích Inox 2L</t>
  </si>
  <si>
    <t>PHN00001365</t>
  </si>
  <si>
    <t>Phích Nhựa 799-2L</t>
  </si>
  <si>
    <t>PHN00003295</t>
  </si>
  <si>
    <t>PHN00004607</t>
  </si>
  <si>
    <t>Phích 1340 ST2-1.3L-Thân Inox</t>
  </si>
  <si>
    <t>PHN00004608</t>
  </si>
  <si>
    <t>Phích 1640 ST2-1.6L-Thân Inox</t>
  </si>
  <si>
    <t>PHN00011615</t>
  </si>
  <si>
    <t>Phích xuất khẩu 1040 ST2 Yemen</t>
  </si>
  <si>
    <t>PHN00011775</t>
  </si>
  <si>
    <t>Phích xuất khẩu 1038 N1 TRD</t>
  </si>
  <si>
    <t>PHN00011780</t>
  </si>
  <si>
    <t>Phích xuất khẩu 1040 ST2.E TRD</t>
  </si>
  <si>
    <t>PHN00012750</t>
  </si>
  <si>
    <t>Phích xuất khẩu 1565 N1.E AFH</t>
  </si>
  <si>
    <t>PHN00013544</t>
  </si>
  <si>
    <t>Phích xuất khẩu 1045 TS.E FCI</t>
  </si>
  <si>
    <t>PHN00016106</t>
  </si>
  <si>
    <t>Phích xuất khẩu 1340 ST2 IMT</t>
  </si>
  <si>
    <t>PHN00018251</t>
  </si>
  <si>
    <t>Phích xuất khẩu 1040 ST2.E Esam Trắng</t>
  </si>
  <si>
    <t>PHN00018254</t>
  </si>
  <si>
    <t>Phích xuất khẩu 1040 ST2.E Esam Xám</t>
  </si>
  <si>
    <t>PHN00022101</t>
  </si>
  <si>
    <t>Phích xuất khẩu 1128 N2.E ALK</t>
  </si>
  <si>
    <t>PHN00023090</t>
  </si>
  <si>
    <t>Phích xuất khẩu 1040 N2.E Esam</t>
  </si>
  <si>
    <t>PHN00024574</t>
  </si>
  <si>
    <t>Phích xuất khẩu 1565 N1.E SAM</t>
  </si>
  <si>
    <t>PHN00024576</t>
  </si>
  <si>
    <t>Bình ủ xuất khẩu 1300 TS1 SAM</t>
  </si>
  <si>
    <t>PHN00025698</t>
  </si>
  <si>
    <t>Phích xuất khẩu 2045 ST3.E HHG</t>
  </si>
  <si>
    <t>PHN00025997</t>
  </si>
  <si>
    <t>Bình giữ nhiệt inox RD-BGN05ST2</t>
  </si>
  <si>
    <t>PHN00028315</t>
  </si>
  <si>
    <t>Phích xuất khẩu 04528 N2 AAI</t>
  </si>
  <si>
    <t>PHN00028802</t>
  </si>
  <si>
    <t>Bình nước cầm tay RD-08P1</t>
  </si>
  <si>
    <t>PHN00000026</t>
  </si>
  <si>
    <t>Ruột phích RD 0,5L (RF-31655) loại trần</t>
  </si>
  <si>
    <t>PHN00001095</t>
  </si>
  <si>
    <t>Ruột phích RD 1.0L (RF-28764)loại trần</t>
  </si>
  <si>
    <t>PHN00001109</t>
  </si>
  <si>
    <t>Ruột phích RD 1.9L (RF-1948-MC-A)loại trần</t>
  </si>
  <si>
    <t>PHN00001394</t>
  </si>
  <si>
    <t>Ruột phích RD 1.0L (RF-1038)loại trần</t>
  </si>
  <si>
    <t>PHN00011069</t>
  </si>
  <si>
    <t>Ruột phích RD 2.5L (RF-2545-HEN) loại trần</t>
  </si>
  <si>
    <t>PHN00013480</t>
  </si>
  <si>
    <t>Ruột phích RD 1.5L (RF-1546-HEN) loại trần</t>
  </si>
  <si>
    <t>LED00051519</t>
  </si>
  <si>
    <t>Đèn LED Chiếu pha NLMT CP02.SL.RF 50W.XK 12000K</t>
  </si>
  <si>
    <t>LED00053411</t>
  </si>
  <si>
    <t>Bộ nguồn RD-DR 40W Step Dimming (KC)</t>
  </si>
  <si>
    <t>LED00054416</t>
  </si>
  <si>
    <t>Bộ đèn LED thủy sinh TS03.W 600/12W (12VDC)</t>
  </si>
  <si>
    <t>LED00055457</t>
  </si>
  <si>
    <t>Bộ vỏ chữ nhật CTCU.BLE R1.04 (đen, FPT, SGBR029)</t>
  </si>
  <si>
    <t>LED00055458</t>
  </si>
  <si>
    <t>Bộ vỏ chữ nhật CTCU.BLE R1.REM (đen, FPT, SGBR0226)</t>
  </si>
  <si>
    <t>LED00059761</t>
  </si>
  <si>
    <t>Công tắc cảm ứng vuông CTCU.BLE V.REMT MN</t>
  </si>
  <si>
    <t>LED00061076</t>
  </si>
  <si>
    <t>Công tắc cảm ứng chữ nhật CTCU.WF CN.DOT.NC MN</t>
  </si>
  <si>
    <t>LED00062520</t>
  </si>
  <si>
    <t>Công tắc cảm ứng chữ nhật CTCU.ZB CN.03T.DF</t>
  </si>
  <si>
    <t>LED00062528</t>
  </si>
  <si>
    <t>Công tắc cảm ứng chữ nhật CTCU.BLE CN.DOT.NC (Đen, FPT)</t>
  </si>
  <si>
    <t>LED00063513</t>
  </si>
  <si>
    <t>Bộ lặp sóng LS01.BLE</t>
  </si>
  <si>
    <t>LED00063982</t>
  </si>
  <si>
    <t>Nguồn đèn LED ray 200W (48V)</t>
  </si>
  <si>
    <t>LED00064399</t>
  </si>
  <si>
    <t>Bộ điều khiển trung tâm RD-HC03.LCD</t>
  </si>
  <si>
    <t>LED00064400</t>
  </si>
  <si>
    <t>Bộ điều khiển AI Box RD-AI.BOX01</t>
  </si>
  <si>
    <t>LED00065335</t>
  </si>
  <si>
    <t>Cảm biến hiện diện CB15.RAD.BLE (AC)</t>
  </si>
  <si>
    <t>LED00067396</t>
  </si>
  <si>
    <t>Đèn LED thanh T03.DMX.RGBW 300/5W 120D (W3000K, 24VDC)</t>
  </si>
  <si>
    <t>LED00070435</t>
  </si>
  <si>
    <t>Công tắc 2 chiều không dây CT2C V2.03</t>
  </si>
  <si>
    <t>LED00072122</t>
  </si>
  <si>
    <t>Đèn LED Downlight nổi trần đổi màu NT01.BLE 150/25W</t>
  </si>
  <si>
    <t>LED00073183</t>
  </si>
  <si>
    <t>Ổ cắm âm tường OCAT05K 2C/16A (vuông, đen, FPT)</t>
  </si>
  <si>
    <t>LED00074653</t>
  </si>
  <si>
    <t>Bộ nguồn SS-200NH-E260BHP (max 1.0A, AC, DC)</t>
  </si>
  <si>
    <t>LED00075207</t>
  </si>
  <si>
    <t>Hệ điện áp mái NLMT SLS.R1P 10KW</t>
  </si>
  <si>
    <t>LED00076563</t>
  </si>
  <si>
    <t>Công tắc cảm ứng vuông CTCU.WF V.02T(đen, FPT)</t>
  </si>
  <si>
    <t>LED00080278</t>
  </si>
  <si>
    <t>Công tắc cảm ứng vuông CTCU.WF V.01T(trắng, FPT)</t>
  </si>
  <si>
    <t>LED00084171</t>
  </si>
  <si>
    <t>Hệ điện áp mái NLMT SLS.1P 5KW (KNC)</t>
  </si>
  <si>
    <t>LED00084174</t>
  </si>
  <si>
    <t>Hệ điện áp mái NLMT SLS.1P 10KW V2 (KNC)</t>
  </si>
  <si>
    <t>LED00057537</t>
  </si>
  <si>
    <t>Đèn LED Panel P07 600x600/30W.PLUS 6500K (KPK) SS</t>
  </si>
  <si>
    <t>LED00058352</t>
  </si>
  <si>
    <t>Đèn LED Panel P06 M320x1280/40W.2 Mbar 5700K HB</t>
  </si>
  <si>
    <t>LED00059751</t>
  </si>
  <si>
    <t>Đèn LED Panel P06 293x1193/40W.2 T-bar 5700K TOP</t>
  </si>
  <si>
    <t>LED00062389</t>
  </si>
  <si>
    <t>Đèn LED Panel P01 300x600/25W Tbar 5700K (KC-KN) SS</t>
  </si>
  <si>
    <t>LED00062903</t>
  </si>
  <si>
    <t>Đèn LED Panel P06 M320x1280/40W.2 Mbar 4000K HB</t>
  </si>
  <si>
    <t>LED00063166</t>
  </si>
  <si>
    <t>Đèn LED Panel P07 300x1200/35W.PLUS 4000K (KPK) SS</t>
  </si>
  <si>
    <t>LED00075254</t>
  </si>
  <si>
    <t>Đèn LED Panel chống chói P06.N.UGR16 300x1200/50W 6500K</t>
  </si>
  <si>
    <t>LED00077944</t>
  </si>
  <si>
    <t>Đèn LED Panel P07 300x1200/40W.PLUS 6500K (KPK)</t>
  </si>
  <si>
    <t>LED00081692</t>
  </si>
  <si>
    <t>Đèn LED Panel P07 1200x300/38W.GOV.V2 6500K (KPK)</t>
  </si>
  <si>
    <t>LED00083392</t>
  </si>
  <si>
    <t>Đèn LED Panel P06 320x1280/48W.Plus 6500K (Nổi trần)</t>
  </si>
  <si>
    <t>LED00083580</t>
  </si>
  <si>
    <t>Đèn LED Panel P06 600x600/40W 5000K (2x2)</t>
  </si>
  <si>
    <t>LED00084338</t>
  </si>
  <si>
    <t>Bộ chiếu sáng MQL 1064 2x4 CBT 80C40K SKD (Current)</t>
  </si>
  <si>
    <t>LED00084350</t>
  </si>
  <si>
    <t>Bộ chiếu sáng MQL 1064 2x4 CBT 90C40K SKD (Current)</t>
  </si>
  <si>
    <t>LED00084499</t>
  </si>
  <si>
    <t>Đèn LED Panel P01 640x640/50W.H 5700K (KC-LME-KN)</t>
  </si>
  <si>
    <t>00000025</t>
  </si>
  <si>
    <t>B/đèn LED thả trần (BDTT10L 250/9W)-6500K</t>
  </si>
  <si>
    <t>00000210</t>
  </si>
  <si>
    <t>B/đèn LED thả trần (BDTT01L 240/9W) 6500K</t>
  </si>
  <si>
    <t>00000305</t>
  </si>
  <si>
    <t>Đèn LED gắn tường D GT01/4W</t>
  </si>
  <si>
    <t>LED00005647</t>
  </si>
  <si>
    <t>Đèn LED chiếu gương G02 8W 6500K</t>
  </si>
  <si>
    <t>LED00043189</t>
  </si>
  <si>
    <t>LED 5mm đỏ (XNT)</t>
  </si>
  <si>
    <t>LED00043942</t>
  </si>
  <si>
    <t>Đèn LED Gắn tường GT18.4M 8W 4000K</t>
  </si>
  <si>
    <t>LED00047615</t>
  </si>
  <si>
    <t>Đèn Lồng LED hình rồng 50W.QT</t>
  </si>
  <si>
    <t>LED00062015</t>
  </si>
  <si>
    <t>Đèn LED chiếu hắt DCH01 10W 4000K</t>
  </si>
  <si>
    <t>00000292</t>
  </si>
  <si>
    <t>Bóng đèn LED TUBE 01 60/12W.GO 5000K</t>
  </si>
  <si>
    <t>LED00005090</t>
  </si>
  <si>
    <t>Bóng LED Tube T8 600/12W 6500K SS</t>
  </si>
  <si>
    <t>LED00005341</t>
  </si>
  <si>
    <t>Đèn LED ốp trần cảm biến LN05.RAD 160/9W 6500K SS</t>
  </si>
  <si>
    <t>LED00024450</t>
  </si>
  <si>
    <t>Đèn LED ốp trần đổi màu LN20.RF 500/40W</t>
  </si>
  <si>
    <t>LED00025742</t>
  </si>
  <si>
    <t>Đèn LED Downlight cảm biến AT04.PIR 90/7W 4000K SS</t>
  </si>
  <si>
    <t>LED00025833</t>
  </si>
  <si>
    <t>Bóng LED Bulb cảm biến A60.RAD/9W E27</t>
  </si>
  <si>
    <t>LED00033877</t>
  </si>
  <si>
    <t>Đèn LED Panel đổi màu PT04.BLE 110/9W</t>
  </si>
  <si>
    <t>LED00035311</t>
  </si>
  <si>
    <t>Công tắc cảm biến CT01.PIR 300W</t>
  </si>
  <si>
    <t>LED00036135</t>
  </si>
  <si>
    <t>Vali demo giải pháp CSTM Bluetooth Mesh</t>
  </si>
  <si>
    <t>LED00036946</t>
  </si>
  <si>
    <t>Đèn LED Downlight đổi màu AT18.BLE 60/7W (F18)</t>
  </si>
  <si>
    <t>LED00039227</t>
  </si>
  <si>
    <t>Đèn bàn LED cảm ứng RD-RL-60 12W</t>
  </si>
  <si>
    <t>LED00039712</t>
  </si>
  <si>
    <t>Đèn LED chiếu gương cảm biến G04.PIR 8W 3000K</t>
  </si>
  <si>
    <t>LED00042011</t>
  </si>
  <si>
    <t>Đèn LED gắn tường cảm biến GT16.PIR 180/15W 3000K</t>
  </si>
  <si>
    <t>LED00042831</t>
  </si>
  <si>
    <t>Công tắc cảm ứng chữ nhật CTCU.BLE R1.02 (đen, FPT)</t>
  </si>
  <si>
    <t>LED00044861</t>
  </si>
  <si>
    <t>Bộ đèn LED thủy sinh đổi màu TS01.RGB 1200/60W</t>
  </si>
  <si>
    <t>LED00047073</t>
  </si>
  <si>
    <t>Công tắc cảm ứng CTCU.BLE SNL1.02</t>
  </si>
  <si>
    <t>LED00047079</t>
  </si>
  <si>
    <t>Công tắc cảm ứng CTCU.BLE.F SNL1.04</t>
  </si>
  <si>
    <t>LED00047567</t>
  </si>
  <si>
    <t>Công tắc cảm ứng vuông CTCU.BLE S1.03 (đen, FPT)</t>
  </si>
  <si>
    <t>LED00048294</t>
  </si>
  <si>
    <t>Đèn LED dây đổi màu LD01.BLE.RGBCW 1000/3W (12VDC, FPT)</t>
  </si>
  <si>
    <t>LED00049718</t>
  </si>
  <si>
    <t>Ổ cắm âm tường OCAT02K 2C/16A (vuông, đen, FPT)</t>
  </si>
  <si>
    <t>LED00049879</t>
  </si>
  <si>
    <t>Đèn LED ốp trần LN12.RAD 220x220/18W (HL) 3000K</t>
  </si>
  <si>
    <t>LED00051032</t>
  </si>
  <si>
    <t>Công tắc cảm ứng vuông CTCU.WF V.03T</t>
  </si>
  <si>
    <t>LED00051457</t>
  </si>
  <si>
    <t>Đèn LED Downlight điều khiển Remote AT20.RM4 110/9W.C6</t>
  </si>
  <si>
    <t>LED00051513</t>
  </si>
  <si>
    <t>Đèn LED Chiếu pha NLMT CP02.SL.RF 30W.XK 12000K</t>
  </si>
  <si>
    <t>LED00054903</t>
  </si>
  <si>
    <t>Đèn LED Chiếu pha NLMT CP02.SL.RF 90W 3000K</t>
  </si>
  <si>
    <t>LED00055448</t>
  </si>
  <si>
    <t>Bộ vỏ chữ nhật CTCU.BLE R1.01 (đen, FPT, SGBR026)</t>
  </si>
  <si>
    <t>LED00046330</t>
  </si>
  <si>
    <t>Bộ đèn LED Tube dự phòng T8.DP M8/20Wx2 6500K</t>
  </si>
  <si>
    <t>LED00049301</t>
  </si>
  <si>
    <t>Công tắc cảm ứng vuông CTCU.BLE S1.NL (trắng, FPT)</t>
  </si>
  <si>
    <t>LED00051025</t>
  </si>
  <si>
    <t>Công tắc cảm ứng chữ nhật CTCU.WF CN.01T</t>
  </si>
  <si>
    <t>LED00051026</t>
  </si>
  <si>
    <t>Công tắc cảm ứng chữ nhật CTCU.WF CN.02T</t>
  </si>
  <si>
    <t>LED00051027</t>
  </si>
  <si>
    <t>Công tắc cảm ứng chữ nhật CTCU.WF CN.03T</t>
  </si>
  <si>
    <t>LED00053361</t>
  </si>
  <si>
    <t>Vali demo giải pháp CSTM RalliSmart V2</t>
  </si>
  <si>
    <t>LED00054418</t>
  </si>
  <si>
    <t>Bộ đèn LED thủy sinh TS03.WBR 600/12W (12VDC)</t>
  </si>
  <si>
    <t>LED00055440</t>
  </si>
  <si>
    <t>Bộ vỏ hình vuông CTCU.BLE S1.01 (trắng, FPT, SGBR0125)</t>
  </si>
  <si>
    <t>LED00055805</t>
  </si>
  <si>
    <t>Cảm biến EC, độ ẩm, nhiệt độ đất CB06-NN.ECHT.LR</t>
  </si>
  <si>
    <t>LED00058417</t>
  </si>
  <si>
    <t>Công tắc cảm ứng chữ nhật CTCU.WF CN.03T.DF</t>
  </si>
  <si>
    <t>LED00059759</t>
  </si>
  <si>
    <t>Công tắc cảm ứng vuông CTCU.BLE V.03T MN</t>
  </si>
  <si>
    <t>LED00059767</t>
  </si>
  <si>
    <t>Công tắc cảm ứng chữ nhật CTCU.BLE CN.DOT MN</t>
  </si>
  <si>
    <t>LED00060876</t>
  </si>
  <si>
    <t>Công tắc cảm ứng chữ nhật CTCU.WF CN.DOT.NC</t>
  </si>
  <si>
    <t>LED00062008</t>
  </si>
  <si>
    <t>Bộ nguồn SS-150VH-E143B (Sosen)</t>
  </si>
  <si>
    <t>LED00062541</t>
  </si>
  <si>
    <t>Bộ cung cấp điện NLMT RD.SL 1.5KWP</t>
  </si>
  <si>
    <t>LED00063369</t>
  </si>
  <si>
    <t>Cảm biến khói CB12.SM.RF</t>
  </si>
  <si>
    <t>LED00063601</t>
  </si>
  <si>
    <t>Đèn ray LED Tracklight TRL08 20W (48V)</t>
  </si>
  <si>
    <t>LED00065306</t>
  </si>
  <si>
    <t>Ổ cắm âm tường OCAT06K 2C/16A (chữ nhật, Ralli)</t>
  </si>
  <si>
    <t>LED00065843</t>
  </si>
  <si>
    <t>Công tắc cảm ứng chữ nhật CTCU.WF CN.02T.2W.SP</t>
  </si>
  <si>
    <t>LED00066002</t>
  </si>
  <si>
    <t>Đèn LED Downlight AT24 110/12W.GOV.V4  6500K</t>
  </si>
  <si>
    <t>LED00071839</t>
  </si>
  <si>
    <t>Cảm biến độ EC nước NN CB08-NN.EC.LR (DC)</t>
  </si>
  <si>
    <t>LED00072397</t>
  </si>
  <si>
    <t>Công tắc cảm ứng vuông CTCU.WF V.04T.2W.SP MN</t>
  </si>
  <si>
    <t>LED00074004</t>
  </si>
  <si>
    <t>Đèn LED Downlight đổi màu AT20.BLE 110/9W (G)</t>
  </si>
  <si>
    <t>LED00075215</t>
  </si>
  <si>
    <t>Hệ điện áp mái NLMT SLS.R3P 10KW</t>
  </si>
  <si>
    <t>LED00037380</t>
  </si>
  <si>
    <t>Bóng đèn LED Tube cảm biến T8 60/10W.RAD.EVT 6500K ĐX</t>
  </si>
  <si>
    <t>LED00039711</t>
  </si>
  <si>
    <t>Đèn LED chiếu gương cảm biến G04.PIR 8W 6500K</t>
  </si>
  <si>
    <t>LED00041967</t>
  </si>
  <si>
    <t>Đèn LED panel đổi màu P07.BLE 230x800/34W (ko LGP,KPK)</t>
  </si>
  <si>
    <t>LED00041968</t>
  </si>
  <si>
    <t>Đèn LED panel đổi màu P07.BLE 230x540/22W (ko LGP,KPK)</t>
  </si>
  <si>
    <t>LED00042009</t>
  </si>
  <si>
    <t>Đèn LED gắn tường cảm biến GT16.PIR 220x100/15W 3000K</t>
  </si>
  <si>
    <t>LED00044156</t>
  </si>
  <si>
    <t>Công tắc cảm ứng chữ nhật CTCU.BLE R1.NL (đen, FPT)</t>
  </si>
  <si>
    <t>LED00044862</t>
  </si>
  <si>
    <t>Bộ đèn LED thủy sinh đổi màu TS02.RGB 390/6W IP68</t>
  </si>
  <si>
    <t>LED00044864</t>
  </si>
  <si>
    <t>Bộ đèn LED thủy sinh đổi màu TS02.RGB 780/11W IP68</t>
  </si>
  <si>
    <t>LED00047071</t>
  </si>
  <si>
    <t>Công tắc cảm ứng CTCU.BLE SL1.04</t>
  </si>
  <si>
    <t>LED00047646</t>
  </si>
  <si>
    <t>Côngtắc cảm ứng chữ nhật CTCU.BLE RL2.02(Trắng,FPT)</t>
  </si>
  <si>
    <t>LED00048154</t>
  </si>
  <si>
    <t>Ổ cắm máy bơm an toàn OC03.MB 16A</t>
  </si>
  <si>
    <t>LED00049013</t>
  </si>
  <si>
    <t>Cảm biến nhiệt độ, độ ẩm NN CB01-NN.TH.LR</t>
  </si>
  <si>
    <t>LED00049302</t>
  </si>
  <si>
    <t>Công tắc cảm ứng vuông CTCU.BLE S1.NL (đen, FPT)</t>
  </si>
  <si>
    <t>LED00049685</t>
  </si>
  <si>
    <t>Ổ cắm đa năng chống giật OC04 4C/5M/10A</t>
  </si>
  <si>
    <t>LED00051030</t>
  </si>
  <si>
    <t>Công tắc cảm ứng vuông CTCU.WF V.01T</t>
  </si>
  <si>
    <t>LED00052386</t>
  </si>
  <si>
    <t>Cảm biến chuyển động CB09.PIR.BLE (AC) (FPT)</t>
  </si>
  <si>
    <t>LED00054046</t>
  </si>
  <si>
    <t>Đèn LED Downlight đổi màu AT20.DIM DM 110/9W</t>
  </si>
  <si>
    <t>LED00054901</t>
  </si>
  <si>
    <t>Đèn LED Chiếu pha NLMT CP02.SL.RF 150W 3000K</t>
  </si>
  <si>
    <t>LED00059765</t>
  </si>
  <si>
    <t>Công tắc cảm ứng chữ nhật CTCU.BLE CN.04T MN</t>
  </si>
  <si>
    <t>LED00059771</t>
  </si>
  <si>
    <t>Công tắc cảm ứng vuông CTCU.WF V.03T MN</t>
  </si>
  <si>
    <t>LED00059776</t>
  </si>
  <si>
    <t>Công tắc cảm ứng chữ nhật CTCU.WF CN.03T MN</t>
  </si>
  <si>
    <t>LED00061320</t>
  </si>
  <si>
    <t>Đèn LED Downlight đổi màu AT33.BLE 100/16W</t>
  </si>
  <si>
    <t>LED00062007</t>
  </si>
  <si>
    <t>Bộ nguồn SS-75VH-E72B (Sosen)</t>
  </si>
  <si>
    <t>LED00066169</t>
  </si>
  <si>
    <t>Công tắc cảm ứng chữ nhật CTCU.WF CN.DOT</t>
  </si>
  <si>
    <t>LED00060666</t>
  </si>
  <si>
    <t>Bộ điều khiển đèn đường NLMT RD-CSD.ĐK04</t>
  </si>
  <si>
    <t>LED00061732</t>
  </si>
  <si>
    <t>Đèn LED Downlight xoay góc đổi màu AT40.BLE 95/12W</t>
  </si>
  <si>
    <t>LED00062578</t>
  </si>
  <si>
    <t>Ổ cắm thông minh WiFi OC08.WF.USB 3C/10A (Trắng)</t>
  </si>
  <si>
    <t>LED00063142</t>
  </si>
  <si>
    <t>Đèn ray LED Tracklight đôi đổi màu TRL08.BLE.CW 20W (48V)</t>
  </si>
  <si>
    <t>LED00063987</t>
  </si>
  <si>
    <t>Đầu hồi cấp điện đèn LED ray (48V)</t>
  </si>
  <si>
    <t>LED00072396</t>
  </si>
  <si>
    <t>Công tắc cảm ứng vuông CTCU.WF V.03T.2W.SP MN</t>
  </si>
  <si>
    <t>LED00074654</t>
  </si>
  <si>
    <t>Bộ nguồn SS-240NH-E260BHP (max 1.2A, AC, DC)</t>
  </si>
  <si>
    <t>LED00075205</t>
  </si>
  <si>
    <t>Hệ điện áp mái NLMT SLS.R1P 7KW</t>
  </si>
  <si>
    <t>LED00075208</t>
  </si>
  <si>
    <t>Hệ điện áp mái NLMT SLS.1P 3.5KW</t>
  </si>
  <si>
    <t>LED00075241</t>
  </si>
  <si>
    <t>Hệ điện áp mái NLMT SLS.3P 15KW (KNC)</t>
  </si>
  <si>
    <t>LED00076494</t>
  </si>
  <si>
    <t>Tủ điều khiển trung tâm báo cháy TĐK.BC.01</t>
  </si>
  <si>
    <t>LED00079670</t>
  </si>
  <si>
    <t>Đèn LED sân vườn NLMT RD-DSV2204-3W 4000K</t>
  </si>
  <si>
    <t>LED00084176</t>
  </si>
  <si>
    <t>Hệ điện áp mái NLMT SLS.R3P 10KW V2 (KNC)</t>
  </si>
  <si>
    <t>LED00050828</t>
  </si>
  <si>
    <t>(PL-01) phích cắm điện-CT</t>
  </si>
  <si>
    <t>LED00054755</t>
  </si>
  <si>
    <t>Hạt ổ cắm âm tường HOC01 1C/16A</t>
  </si>
  <si>
    <t>LED00083260</t>
  </si>
  <si>
    <t>Hạt công tắc âm tường 2 chiều HCT02 1C/10A</t>
  </si>
  <si>
    <t>PHN00000959</t>
  </si>
  <si>
    <t>Phích 1.9L (VF-1945-SP)</t>
  </si>
  <si>
    <t>PHN00000984</t>
  </si>
  <si>
    <t>Phích sắt XK RD-2035 S1(G)-2L</t>
  </si>
  <si>
    <t>PHN00000987</t>
  </si>
  <si>
    <t>PHN00001313</t>
  </si>
  <si>
    <t>Phích 2545 ST-2,5L thân Inox</t>
  </si>
  <si>
    <t>PHN00001317</t>
  </si>
  <si>
    <t>Phích Nhựa 1297-1,2L</t>
  </si>
  <si>
    <t>PHN00001336</t>
  </si>
  <si>
    <t>Phích 1040T-1L</t>
  </si>
  <si>
    <t>PHN00001350</t>
  </si>
  <si>
    <t>Phích chân không 2545( vỏ inox) 2.5L</t>
  </si>
  <si>
    <t>PHN00001372</t>
  </si>
  <si>
    <t>Phích Vân đá RD-2035 S2 (G)-2L</t>
  </si>
  <si>
    <t>PHN00001374</t>
  </si>
  <si>
    <t>Phích Vân đá-2L (G)</t>
  </si>
  <si>
    <t>LED00053444</t>
  </si>
  <si>
    <t>Đèn LED Panel P07 300x2400/75W.PLUS 4000K (KPK) SS</t>
  </si>
  <si>
    <t>LED00055010</t>
  </si>
  <si>
    <t>Đèn LED Panel P07 300x1200/36W.PLUS 6500K (KPK)</t>
  </si>
  <si>
    <t>LED00057870</t>
  </si>
  <si>
    <t>Đèn LED Panel P06 T320x640/25W.2 Mbar direct 5700K GB</t>
  </si>
  <si>
    <t>LED00058356</t>
  </si>
  <si>
    <t>Đèn LED Panel P06 600x600/40W.2 T-bar 5700K TOP</t>
  </si>
  <si>
    <t>LED00060222</t>
  </si>
  <si>
    <t>Đèn LED Panel P06 300x1200/40W.2 T-Bar 5700K TOP KN (B10)</t>
  </si>
  <si>
    <t>LED00062842</t>
  </si>
  <si>
    <t>Đèn LED Panel đổi màu P01 600x600/50W Tbar (KC-TOP-KN)</t>
  </si>
  <si>
    <t>LED00064986</t>
  </si>
  <si>
    <t>Đèn LED Panel P07 300x1200/28W.PLUS 6500K (KPK) SS</t>
  </si>
  <si>
    <t>LED00070063</t>
  </si>
  <si>
    <t>Đèn LED Panel P01 320x1280/50W 5700K (KC-TOP)</t>
  </si>
  <si>
    <t>LED00071136</t>
  </si>
  <si>
    <t>Đèn LED Panel P07 300x2400/75W.PLUS 3000K (KPK) SS</t>
  </si>
  <si>
    <t>LED00075505</t>
  </si>
  <si>
    <t>Đèn LED Panel P06 T640x180/20W.2 Mbar direct 5700K GB</t>
  </si>
  <si>
    <t>LED00078589</t>
  </si>
  <si>
    <t>Đèn LED Panel P07 150x1200/28W.PLUS 6500K (KPK)</t>
  </si>
  <si>
    <t>LED00079775</t>
  </si>
  <si>
    <t>Đèn LED Panel P08 300x1200/50W 3000K (KPK) SS</t>
  </si>
  <si>
    <t>LED00083578</t>
  </si>
  <si>
    <t>Đèn LED Panel P07 300x300/24W.UGR.PLUS 6500K (KPK)</t>
  </si>
  <si>
    <t>LED00084497</t>
  </si>
  <si>
    <t>Đèn LED Panel P01 320x1280/50W.H 5700K (KC-LME-KN)</t>
  </si>
  <si>
    <t>00000012</t>
  </si>
  <si>
    <t>Đèn LED Gắn tường GT08 5W 6500K</t>
  </si>
  <si>
    <t>00000290</t>
  </si>
  <si>
    <t>B/đèn LED trang trí(LED TT02/1W)E27-Vàng</t>
  </si>
  <si>
    <t>00000306</t>
  </si>
  <si>
    <t>Đèn LED gắn tường D GT02/4W</t>
  </si>
  <si>
    <t>00000474</t>
  </si>
  <si>
    <t>Đèn LED chiếu gương D G01L/8W - Trắng</t>
  </si>
  <si>
    <t>LED00005738</t>
  </si>
  <si>
    <t>Đèn LED chiếu gương G02 6W.DA 6500K</t>
  </si>
  <si>
    <t>LED00012909</t>
  </si>
  <si>
    <t>Đèn LED gắn tường GT06L CD/5W 220V 6500K</t>
  </si>
  <si>
    <t>LED00030469</t>
  </si>
  <si>
    <t>Đèn LED gắn tường GT08L/2.5W E14</t>
  </si>
  <si>
    <t>LED00052648</t>
  </si>
  <si>
    <t>Đèn Lồng LED hình rồng 50W.DA</t>
  </si>
  <si>
    <t>LED00057791</t>
  </si>
  <si>
    <t>Bộ nguồn LED đĩa bay BNDD700-45W/IP65 (Lioa)</t>
  </si>
  <si>
    <t>LED00059050</t>
  </si>
  <si>
    <t>Bộ nguồn 24V 40W -N51118 (Nualight)</t>
  </si>
  <si>
    <t>LED00065842</t>
  </si>
  <si>
    <t>Công tắc cảm ứng chữ nhật CTCU.WF CN.01T.2W.SP</t>
  </si>
  <si>
    <t>LED00066270</t>
  </si>
  <si>
    <t>Đèn LED NLMT ZDL1207 5000K Yankon</t>
  </si>
  <si>
    <t>LED00072390</t>
  </si>
  <si>
    <t>Công tắc cảm ứng chữ nhật CTCU.WF CN.02T.2W.SP MN</t>
  </si>
  <si>
    <t>LED00076554</t>
  </si>
  <si>
    <t>Công tắc cảm ứng chữ nhật CTCU.WF CN.04T(đen, FPT)</t>
  </si>
  <si>
    <t>LED00079434</t>
  </si>
  <si>
    <t>Đèn bàn LED cảm ứng RD-RL-36 8W</t>
  </si>
  <si>
    <t>LED00081345</t>
  </si>
  <si>
    <t>Chuông báo cháy thông minh CBC02.RF</t>
  </si>
  <si>
    <t>LED00084159</t>
  </si>
  <si>
    <t>Hệ điện áp mái NLMT SLS.3P 40KW</t>
  </si>
  <si>
    <t>LED00084183</t>
  </si>
  <si>
    <t>Hệ điện áp mái NLMT SLS.3P 20KW (KNC)</t>
  </si>
  <si>
    <t>LED00033623</t>
  </si>
  <si>
    <t>Ổ cắm kéo dài RD02/10A-5M</t>
  </si>
  <si>
    <t>LED00066573</t>
  </si>
  <si>
    <t>Ổ cắm đa năng OC05.V2 3C/5M/10A ( trắng)</t>
  </si>
  <si>
    <t>LED00074760</t>
  </si>
  <si>
    <t>Aptomat ngắn mạch RD.MCB 2P2E 16A</t>
  </si>
  <si>
    <t>LED00074771</t>
  </si>
  <si>
    <t>Aptomat ngắn mạch RD.MCB 3P3E 25A</t>
  </si>
  <si>
    <t>PHN00000003</t>
  </si>
  <si>
    <t>Phích (VF-1045 N1.E-1,0L)-Yellow- TOMIC</t>
  </si>
  <si>
    <t>PHN00000958</t>
  </si>
  <si>
    <t>Phích 1.0L (VF-1045-SP)</t>
  </si>
  <si>
    <t>PHN00001343</t>
  </si>
  <si>
    <t>Phích 1055TS-1L - RĐ</t>
  </si>
  <si>
    <t>PHN00001346</t>
  </si>
  <si>
    <t>Phích 3245-N2 (XK)</t>
  </si>
  <si>
    <t>PHN00001347</t>
  </si>
  <si>
    <t>Phích ấn 2045</t>
  </si>
  <si>
    <t>PHN00011355</t>
  </si>
  <si>
    <t>Phích xuất khẩu 0.45L (RD-04528 N1)</t>
  </si>
  <si>
    <t>PHN00011386</t>
  </si>
  <si>
    <t>Phích xuất khẩu 0538 N1 Yemen</t>
  </si>
  <si>
    <t>PHN00011761</t>
  </si>
  <si>
    <t>Phích xuất khẩu 1040 N1.E Yemen</t>
  </si>
  <si>
    <t>PHN00012408</t>
  </si>
  <si>
    <t>PHN00012755</t>
  </si>
  <si>
    <t>Phích xuất khẩu 1055 ST1.E AFH</t>
  </si>
  <si>
    <t>PHN00013550</t>
  </si>
  <si>
    <t>Phích xuất khẩu 3245 N1.E FCI</t>
  </si>
  <si>
    <t>PHN00014707</t>
  </si>
  <si>
    <t>Phích xuất khẩu 2545 ST1.E PTI</t>
  </si>
  <si>
    <t>PHN00014970</t>
  </si>
  <si>
    <t>Phích xuất khẩu 1040 ST2 SRE</t>
  </si>
  <si>
    <t>PHN00014973</t>
  </si>
  <si>
    <t>Phích xuất khẩu 1055 ST1.E SRE</t>
  </si>
  <si>
    <t>PHN00015287</t>
  </si>
  <si>
    <t>Phích xuất khẩu 0740 TS Yemen</t>
  </si>
  <si>
    <t>LED00075206</t>
  </si>
  <si>
    <t>Hệ điện áp mái NLMT SLS.R1P 8KW</t>
  </si>
  <si>
    <t>LED00075234</t>
  </si>
  <si>
    <t>Hệ điện áp mái NLMT SLS.1P 10KW (KNC)</t>
  </si>
  <si>
    <t>LED00075984</t>
  </si>
  <si>
    <t>Bộ nguồn RD-DR P01 35W 36V 0.9A (LME, LLC, hộp tôn)</t>
  </si>
  <si>
    <t>LED00076577</t>
  </si>
  <si>
    <t>Công tắc cảm ứng vuông CTCU.WF V.02T(trắng, FPT)</t>
  </si>
  <si>
    <t>LED00079436</t>
  </si>
  <si>
    <t>Đèn bàn LED cảm ứng RD-RL-20V2 8W</t>
  </si>
  <si>
    <t>LED00084160</t>
  </si>
  <si>
    <t>Hệ điện áp mái NLMT SLS.3P 50KW</t>
  </si>
  <si>
    <t>LED00084161</t>
  </si>
  <si>
    <t>Hệ điện áp mái NLMT SLS.3P 60KW</t>
  </si>
  <si>
    <t>LED00084190</t>
  </si>
  <si>
    <t>Hệ điện áp mái NLMT SLS.3P 100KW (KNC)</t>
  </si>
  <si>
    <t>LED00042292</t>
  </si>
  <si>
    <t>Ổ cắm đa năng OC02 4C/5M/10A</t>
  </si>
  <si>
    <t>LED00074750</t>
  </si>
  <si>
    <t>Aptomat ngắn mạch RD.MCB 1P1E 16A</t>
  </si>
  <si>
    <t>LED00074754</t>
  </si>
  <si>
    <t>Aptomat ngắn mạch RD.MCB 1P1E 40A</t>
  </si>
  <si>
    <t>LED00074757</t>
  </si>
  <si>
    <t>Aptomat ngắn mạch RD.MCB 1P1E 63A</t>
  </si>
  <si>
    <t>LED00074765</t>
  </si>
  <si>
    <t>Aptomat ngắn mạch RD.MCB 2P2E 50A</t>
  </si>
  <si>
    <t>LED00074772</t>
  </si>
  <si>
    <t>Aptomat ngắn mạch RD.MCB 3P3E 32A</t>
  </si>
  <si>
    <t>LED00075408</t>
  </si>
  <si>
    <t>Ổ cắm đa năng OC05.V2 3C/5M/10A-CT</t>
  </si>
  <si>
    <t>PHN00000970</t>
  </si>
  <si>
    <t>PHN00000971</t>
  </si>
  <si>
    <t>PHN00001334</t>
  </si>
  <si>
    <t>Phích 1040 ST2-1L-thân inox - RĐ</t>
  </si>
  <si>
    <t>PHN00001373</t>
  </si>
  <si>
    <t>Phích Vân đá-2L</t>
  </si>
  <si>
    <t>PHN00010762</t>
  </si>
  <si>
    <t>PHN00010769</t>
  </si>
  <si>
    <t>Phích nước VF-1235 N1-1,2L</t>
  </si>
  <si>
    <t>PHN00011046</t>
  </si>
  <si>
    <t>PHN00011388</t>
  </si>
  <si>
    <t>Phích xuất khẩu 1038 N1 Yemen</t>
  </si>
  <si>
    <t>PHN00011612</t>
  </si>
  <si>
    <t>Phích xuất khẩu 1055 N1.E Esam</t>
  </si>
  <si>
    <t>PHN00011614</t>
  </si>
  <si>
    <t>Phích xuất khẩu 1640 ST2 Yemen</t>
  </si>
  <si>
    <t>LED00043463</t>
  </si>
  <si>
    <t>Đèn LED Downlight điều khiển Remote AT20.RM 110/9W.C4</t>
  </si>
  <si>
    <t>LED00043469</t>
  </si>
  <si>
    <t>Đèn LED Downlight điều khiển Remote AT20.RM 90/7W.C8</t>
  </si>
  <si>
    <t>LED00043522</t>
  </si>
  <si>
    <t>Bộ nguồn điều khiển LED dây LD01.BLE.RGB 1000/7W</t>
  </si>
  <si>
    <t>LED00043765</t>
  </si>
  <si>
    <t>Công tắc cảm biến ánh sáng CT02.LS.BLE</t>
  </si>
  <si>
    <t>LED00044159</t>
  </si>
  <si>
    <t>Công tắc cảm ứng RD-CT.02</t>
  </si>
  <si>
    <t>LED00044160</t>
  </si>
  <si>
    <t>Công tắc cảm ứng chữ nhật CTCU.BLE R1.03 (đen, FPT)</t>
  </si>
  <si>
    <t>LED00047487</t>
  </si>
  <si>
    <t>Đèn LED Chiếu pha NLMT CP02.SL.RF 50W</t>
  </si>
  <si>
    <t>LED00047561</t>
  </si>
  <si>
    <t>Công tắc cảm ứng vuông CTCU.BLE S1.01 (trắng, FPT)</t>
  </si>
  <si>
    <t>LED00047564</t>
  </si>
  <si>
    <t>Công tắc cảm ứng vuông CTCU.BLE S1.04 (trắng, FPT)</t>
  </si>
  <si>
    <t>LED00047584</t>
  </si>
  <si>
    <t>Bảng điều khiển cảnh RD-SC.M3 (DC, FPT)</t>
  </si>
  <si>
    <t>LED00048358</t>
  </si>
  <si>
    <t>Đèn LED Panel đổi màu P07.BLE 300x1200/40W (FPT)</t>
  </si>
  <si>
    <t>LED00048399</t>
  </si>
  <si>
    <t>Đèn LED chiếu sáng đường CSD08 120W.NEMA 5000K (QB)</t>
  </si>
  <si>
    <t>LED00051019</t>
  </si>
  <si>
    <t>Công tắc cảm ứng chữ nhật CTCU.BLE CN.REMT</t>
  </si>
  <si>
    <t>LED00053824</t>
  </si>
  <si>
    <t>Bộ điều khiển đèn đổi màu dimming ĐK03.CN.ON/OFF</t>
  </si>
  <si>
    <t>LED00055459</t>
  </si>
  <si>
    <t>Bộ vỏ chữ nhật CTCU.BLE R1.REM (trắng, FPT, SGBR0234)</t>
  </si>
  <si>
    <t>LED00055504</t>
  </si>
  <si>
    <t>Cảm biến chuyển động CB09.PIR.BLE (AC)</t>
  </si>
  <si>
    <t>LED00055804</t>
  </si>
  <si>
    <t>Cảm biến độ PH đất CB05-NN.PH.LR</t>
  </si>
  <si>
    <t>LED00059245</t>
  </si>
  <si>
    <t>Đèn LED Ốp trần NLMT LN01.SL.RF 320/200W 6500K</t>
  </si>
  <si>
    <t>LED00059770</t>
  </si>
  <si>
    <t>Công tắc cảm ứng vuông CTCU.WF V.02T MN</t>
  </si>
  <si>
    <t>LED00059773</t>
  </si>
  <si>
    <t>Công tắc cảm ứng vuông CTCU.WF V.REMT MN</t>
  </si>
  <si>
    <t>LED00059834</t>
  </si>
  <si>
    <t>Bộ điều khiển trung tâm mini RD-HC02 (Trắng)</t>
  </si>
  <si>
    <t>LED00063141</t>
  </si>
  <si>
    <t>Đèn ray LED Tracklight đổi màu TRL08.BLE.CW 10W (48V)</t>
  </si>
  <si>
    <t>LED00063170</t>
  </si>
  <si>
    <t>Công tắc 2 chiều không dây CT2C V1.02</t>
  </si>
  <si>
    <t>LED00063989</t>
  </si>
  <si>
    <t>Đầu hồi che dây LED ray (48V)</t>
  </si>
  <si>
    <t>PHN00010719</t>
  </si>
  <si>
    <t>Ruột phích 1040 ST2.E</t>
  </si>
  <si>
    <t>PHN00010773</t>
  </si>
  <si>
    <t>Ruột phích RD 0.9L(RF-0940)</t>
  </si>
  <si>
    <t>PHN00010779</t>
  </si>
  <si>
    <t>Ruột phích RD 1.0L (RF-1042-WJ)</t>
  </si>
  <si>
    <t>PHN00011292</t>
  </si>
  <si>
    <t>Ruột phích RD 2.2L (RF-2247-HEN)</t>
  </si>
  <si>
    <t>PHN00011541</t>
  </si>
  <si>
    <t>Ruột phích RD 1.0L (RF-2466B-GM)</t>
  </si>
  <si>
    <t>PHN00011625</t>
  </si>
  <si>
    <t>Ruột phích MG12134050 (RF-0536-HC)</t>
  </si>
  <si>
    <t>PHN00011993</t>
  </si>
  <si>
    <t>Ruột phích RD 1.0L (RF-1046-IT)</t>
  </si>
  <si>
    <t>PHN00013204</t>
  </si>
  <si>
    <t>Ruột phích RD 1.0L (RF-2466-CIR)</t>
  </si>
  <si>
    <t>PHN00013311</t>
  </si>
  <si>
    <t>Ruột phích RD 1.8L (RF-7009013)</t>
  </si>
  <si>
    <t>PHN00019786</t>
  </si>
  <si>
    <t>Ruột phích RD 1.9L (RF-1942-HAC) 1019 EU</t>
  </si>
  <si>
    <t>PHN00021305</t>
  </si>
  <si>
    <t>Ruột phích RD 2.5L (RF-2545-SAI)</t>
  </si>
  <si>
    <t>PHN00026348</t>
  </si>
  <si>
    <t>Ruột phích RD 3.5L (RF-3545-HEN)</t>
  </si>
  <si>
    <t>00000091</t>
  </si>
  <si>
    <t>Đèn Led âm đất 12w(D AD02L/12w) - 3000K</t>
  </si>
  <si>
    <t>LED00026840</t>
  </si>
  <si>
    <t>Driver U8KC - 50W</t>
  </si>
  <si>
    <t>LED00032250</t>
  </si>
  <si>
    <t>Đèn LED dây RD-LD01.7W 3000K</t>
  </si>
  <si>
    <t>LED00032542</t>
  </si>
  <si>
    <t>Driver U8KCF - 18W</t>
  </si>
  <si>
    <t>LED00032792</t>
  </si>
  <si>
    <t>Bộ phụ kiện nối dài LD01.7W</t>
  </si>
  <si>
    <t>LED00036935</t>
  </si>
  <si>
    <t>Bộ phụ kiện LED Linear PK T-LR01 300x100/8W 6500K</t>
  </si>
  <si>
    <t>LED00036936</t>
  </si>
  <si>
    <t>Bộ phụ kiện LED Linear PK L-LR01 220x220/8W 6500K</t>
  </si>
  <si>
    <t>LED00037543</t>
  </si>
  <si>
    <t>Đèn LED Chỉ dẫn CD01 40x20/2.2W (PCCC-1 mặt)</t>
  </si>
  <si>
    <t>LED00039390</t>
  </si>
  <si>
    <t>Driver U8KCF-25W-36V (IDF) HC</t>
  </si>
  <si>
    <t>LED00040799</t>
  </si>
  <si>
    <t>Bộ đèn LED Linear LR01 1000/20W 3000K</t>
  </si>
  <si>
    <t>LED00041087</t>
  </si>
  <si>
    <t>Tủ điều khiển chiếu sáng đường PLC 50A (V2)</t>
  </si>
  <si>
    <t>LED00043445</t>
  </si>
  <si>
    <t>Đèn bắt muỗi DBM01 5W</t>
  </si>
  <si>
    <t>LED00051978</t>
  </si>
  <si>
    <t>Driver P06 600X600 50W TOP HC (108V)</t>
  </si>
  <si>
    <t>LED00059817</t>
  </si>
  <si>
    <t>Bộ Driver LED dây LD02.7W-9W</t>
  </si>
  <si>
    <t>PHN00020674</t>
  </si>
  <si>
    <t>Phích xuất khẩu 1340 TS3 LLT</t>
  </si>
  <si>
    <t>PHN00021250</t>
  </si>
  <si>
    <t>Phích xuất khẩu 2045 TS IMT</t>
  </si>
  <si>
    <t>PHN00021497</t>
  </si>
  <si>
    <t>PHN00022200</t>
  </si>
  <si>
    <t>Phích xuất khẩu 1565 N1.E RVK</t>
  </si>
  <si>
    <t>PHN00022343</t>
  </si>
  <si>
    <t>Phích xuất khẩu 1042 N2.E Yemen</t>
  </si>
  <si>
    <t>PHN00023492</t>
  </si>
  <si>
    <t>PHN00024569</t>
  </si>
  <si>
    <t>Phích xuất khẩu 0740 ST3.E SAM</t>
  </si>
  <si>
    <t>PHN00024572</t>
  </si>
  <si>
    <t>Phích xuất khẩu 1040 ST3.E SAM</t>
  </si>
  <si>
    <t>PHN00024781</t>
  </si>
  <si>
    <t>Ấm điện siêu tốc RD-AST17 P1.S</t>
  </si>
  <si>
    <t>PHN00027929</t>
  </si>
  <si>
    <t>PHN00028320</t>
  </si>
  <si>
    <t>Phích xuất khẩu 1640 ST2 AAI</t>
  </si>
  <si>
    <t>PHN00001059</t>
  </si>
  <si>
    <t>Ruột phích 1045 loại trần</t>
  </si>
  <si>
    <t>PHN00001070</t>
  </si>
  <si>
    <t>Ruột phích RD 0.45L(RS-04528-MC)</t>
  </si>
  <si>
    <t>PHN00001091</t>
  </si>
  <si>
    <t>Ruột phích RD 1.0L (RF-2466-MC)loại trần</t>
  </si>
  <si>
    <t>PHN00003871</t>
  </si>
  <si>
    <t>Ruột phích RD 1.0L (RF-37476)loại trần</t>
  </si>
  <si>
    <t>PHN00005257</t>
  </si>
  <si>
    <t>Ruột phích RD 1.8L (RF-18046-Ti) loại trần</t>
  </si>
  <si>
    <t>PHN00011640</t>
  </si>
  <si>
    <t>Ruột phích RD 2.5L (RF-2545-HX) loại trần</t>
  </si>
  <si>
    <t>PHN00011995</t>
  </si>
  <si>
    <t>Ruột phích RD 0.65L (RF-06545-IT) loại trần</t>
  </si>
  <si>
    <t>PHN00021304</t>
  </si>
  <si>
    <t>Ruột phích 2.0L (RF-2035 SAI) loại trần</t>
  </si>
  <si>
    <t>PHN00021439</t>
  </si>
  <si>
    <t>Ruột phích RD 0.5L (RF-0538-GU) loại trần</t>
  </si>
  <si>
    <t>PHN00001067</t>
  </si>
  <si>
    <t>PHN00001076</t>
  </si>
  <si>
    <t>Ruột phích RD 1.0L (RF-1040-Ao)</t>
  </si>
  <si>
    <t>PHN00001449</t>
  </si>
  <si>
    <t>Ruột phích RD 1.6L (RF-1640-MC)</t>
  </si>
  <si>
    <t>PHN00004587</t>
  </si>
  <si>
    <t>Ruột phích RD 1.5L (RF-1542)</t>
  </si>
  <si>
    <t>PHN00010777</t>
  </si>
  <si>
    <t>Ruột phích RD 1.0L (RF-1042-HC)</t>
  </si>
  <si>
    <t>PHN00011392</t>
  </si>
  <si>
    <t>Ruột phích RD 1.0L (RF-1040-S0)</t>
  </si>
  <si>
    <t>PHN00012220</t>
  </si>
  <si>
    <t>Ruột phích RD 1.0L (RF-38560)</t>
  </si>
  <si>
    <t>PHN00018302</t>
  </si>
  <si>
    <t>Ruột phích RD 1.0L (RF-1055-GM)</t>
  </si>
  <si>
    <t>PHN00021440</t>
  </si>
  <si>
    <t>Ruột phích RD 1.0L (RF-1042 MC4-GU)</t>
  </si>
  <si>
    <t>00000090</t>
  </si>
  <si>
    <t>Đèn LED âm đất 3W (D AD01L/3W) - vàng</t>
  </si>
  <si>
    <t>PHN00028319</t>
  </si>
  <si>
    <t>Phích xuất khẩu 1565 N1.E AAI</t>
  </si>
  <si>
    <t>PHN00001072</t>
  </si>
  <si>
    <t>Ruột phích RD 0.75L(RS-07528-NP)</t>
  </si>
  <si>
    <t>PHN00001113</t>
  </si>
  <si>
    <t>Ruột phích RD 2.2L (RF-Y2245-MC) loại trần</t>
  </si>
  <si>
    <t>PHN00002082</t>
  </si>
  <si>
    <t>Ruột phích RD 1.8L (RF-1840-Ti) loại trần</t>
  </si>
  <si>
    <t>PHN00005259</t>
  </si>
  <si>
    <t>Ruột phích RD 1.0L (RF-7009014-Ti) loại trần</t>
  </si>
  <si>
    <t>PHN00011363</t>
  </si>
  <si>
    <t>Ruột phích 04528 loại trần</t>
  </si>
  <si>
    <t>PHN00012558</t>
  </si>
  <si>
    <t>Ruột phích RD 3.0L (RF-3045-BL) loại trần</t>
  </si>
  <si>
    <t>PHN00019801</t>
  </si>
  <si>
    <t>Ruột phích RD 1.9L (RF-1950-HAC) ADO 1900 loại trần</t>
  </si>
  <si>
    <t>PHN00021435</t>
  </si>
  <si>
    <t>Ruột phích RD 0.3L (RF-0338-GU) loại trần</t>
  </si>
  <si>
    <t>PHN00022621</t>
  </si>
  <si>
    <t>Ruột phích RD 1.0L (RF-1042-DP) loại trần</t>
  </si>
  <si>
    <t>PHN00001082</t>
  </si>
  <si>
    <t>Ruột phích RD 1.0L (RF-1040-T)</t>
  </si>
  <si>
    <t>PHN00001086</t>
  </si>
  <si>
    <t>Ruột phích RD 1.0L (RF-1045-T)</t>
  </si>
  <si>
    <t>PHN00012969</t>
  </si>
  <si>
    <t>Ruột phích RD 1.0L (RF-2466-HS)</t>
  </si>
  <si>
    <t>PHN00019754</t>
  </si>
  <si>
    <t>Ruột phích RD 3.2L (RF-3240-SLI)</t>
  </si>
  <si>
    <t>PHN00021434</t>
  </si>
  <si>
    <t>Ruột phích RD 0.3L (RF-0338-GU)</t>
  </si>
  <si>
    <t>PHN00022080</t>
  </si>
  <si>
    <t>Ruột phích RD 1.0L (RF-1042-WJ) KM</t>
  </si>
  <si>
    <t>PHN00027931</t>
  </si>
  <si>
    <t>Ruột phích 1340-1.3L</t>
  </si>
  <si>
    <t>00000087</t>
  </si>
  <si>
    <t>Đèn bẫy côn trùng D CT 01L/15W- á/s xanh</t>
  </si>
  <si>
    <t>00000094</t>
  </si>
  <si>
    <t>Bộ phụ kiện đèn Led Panel vuông 36w S</t>
  </si>
  <si>
    <t>00000095</t>
  </si>
  <si>
    <t>Bộ phụ kiện tai treo Panel</t>
  </si>
  <si>
    <t>00000376</t>
  </si>
  <si>
    <t>Bóng đèn diệt khuẩn TUV 36W T8</t>
  </si>
  <si>
    <t>00000531</t>
  </si>
  <si>
    <t>Đèn LED quà tặng D QT002.PHO</t>
  </si>
  <si>
    <t>LED00005760</t>
  </si>
  <si>
    <t>B/đèn LED nấm(LED M501W) E6500K/220V</t>
  </si>
  <si>
    <t>LED00032254</t>
  </si>
  <si>
    <t>Đèn LED dây RD-LD01.9W 6500K</t>
  </si>
  <si>
    <t>LED00032794</t>
  </si>
  <si>
    <t>Bộ phụ kiện nối dài LD01.9W CCT</t>
  </si>
  <si>
    <t>LED00034931</t>
  </si>
  <si>
    <t>Driver CSLH 36W SENSOR V1 HC</t>
  </si>
  <si>
    <t>LED00039344</t>
  </si>
  <si>
    <t>Driver U8KCF-40W-36V (IDF) HC</t>
  </si>
  <si>
    <t>LED00049077</t>
  </si>
  <si>
    <t>Bộ lưu điện NLMT đa năng LD01.SL 160Wh 6500K</t>
  </si>
  <si>
    <t>LED00050838</t>
  </si>
  <si>
    <t>Bộ Driver LED dây LD01.9W CCT-CT</t>
  </si>
  <si>
    <t>LED00061626</t>
  </si>
  <si>
    <t>Đèn LED chiếu sáng đường NLMT CSD03.SL 150W.BG 6500K</t>
  </si>
  <si>
    <t>LED00062913</t>
  </si>
  <si>
    <t>Đèn LED Highbay HB03 290/60W.PLUS 6500K</t>
  </si>
  <si>
    <t>LED00064624</t>
  </si>
  <si>
    <t>Đèn LED chiếu sáng đường NLMT CSD03.SL.RF 150W.BG 6500K</t>
  </si>
  <si>
    <t>LED00064680</t>
  </si>
  <si>
    <t>Đèn LED Chiếu pha CP10 10W 6500K SS</t>
  </si>
  <si>
    <t>LED00067054</t>
  </si>
  <si>
    <t>Đèn LED Chiếu pha CP10 150W 6500K</t>
  </si>
  <si>
    <t>LED00069567</t>
  </si>
  <si>
    <t>Đèn LED Highbay HB06 300/200W.PLUS 6500K</t>
  </si>
  <si>
    <t>LED00071329</t>
  </si>
  <si>
    <t>Đèn LED High Bay HB05 250/100W AC 5700K</t>
  </si>
  <si>
    <t>LED00071363</t>
  </si>
  <si>
    <t>Đèn LED High Bay HB05 300/150W DC 5700K - Không cách ly</t>
  </si>
  <si>
    <t>LED00071716</t>
  </si>
  <si>
    <t>Đèn LED tròn âm đất ADT01.DMX.RGBW 90W</t>
  </si>
  <si>
    <t>LED00071960</t>
  </si>
  <si>
    <t>Đèn LED High Bay HB05 250/80W DC 5700K - Cách ly</t>
  </si>
  <si>
    <t>LED00073307</t>
  </si>
  <si>
    <t>Đèn LED Highbay GDXL1074 2FT 240W 3CCT (Yankon)</t>
  </si>
  <si>
    <t>LED00075264</t>
  </si>
  <si>
    <t>Đèn LED NLMT NX.SL.RAD 200W 6500K (KSL)</t>
  </si>
  <si>
    <t>LED00076074</t>
  </si>
  <si>
    <t>Đèn LED chiếu sáng đường CSD02 150W 5000K (3M)</t>
  </si>
  <si>
    <t>LED00076658</t>
  </si>
  <si>
    <t>Đèn LED Highbay HB08 300/150W 6500K</t>
  </si>
  <si>
    <t>LED00076659</t>
  </si>
  <si>
    <t>Đèn LED Highbay HB08 300/200W 6500K</t>
  </si>
  <si>
    <t>LED00077159</t>
  </si>
  <si>
    <t>Đèn LED chiếu sáng đường NLMT CSD02.SL 70W 5000K</t>
  </si>
  <si>
    <t>LED00082840</t>
  </si>
  <si>
    <t>Đèn LED chiếu sáng đường NLMT CSD05.SL.RF 300W.V3 6500K</t>
  </si>
  <si>
    <t>LED00005300</t>
  </si>
  <si>
    <t>Đèn LED Downlight AT03 110/7W 6500K SS</t>
  </si>
  <si>
    <t>LED00005460</t>
  </si>
  <si>
    <t>Đèn LED Panel PT01 180/8W 3000K</t>
  </si>
  <si>
    <t>LED00005888</t>
  </si>
  <si>
    <t>Đèn LED Downlight AT04 155/16W 6500K SS</t>
  </si>
  <si>
    <t>LED00013928</t>
  </si>
  <si>
    <t>Đèn LED Panel PT03 135/12W 6500K SS</t>
  </si>
  <si>
    <t>LED00018283</t>
  </si>
  <si>
    <t>Đèn LED Downlight AT04 155/16W 4000K SS</t>
  </si>
  <si>
    <t>LED00023965</t>
  </si>
  <si>
    <t>Đèn LED Downlight AT16 110/7W.DA 6500K SS</t>
  </si>
  <si>
    <t>PHN00001377</t>
  </si>
  <si>
    <t>Ruột phích 1042 (G)</t>
  </si>
  <si>
    <t>PHN00008419</t>
  </si>
  <si>
    <t>Ruột phích RD 1.0L (RF-7009011)</t>
  </si>
  <si>
    <t>PHN00009006</t>
  </si>
  <si>
    <t>Ruột phích RD 0.4L (RF-7009007)</t>
  </si>
  <si>
    <t>PHN00011628</t>
  </si>
  <si>
    <t>Ruột phích MG12135100 (RF-2466)</t>
  </si>
  <si>
    <t>PHN00021900</t>
  </si>
  <si>
    <t>Ruột phích RD 1.0L (RF-1042-LB)</t>
  </si>
  <si>
    <t>PHN00026231</t>
  </si>
  <si>
    <t>Ruột phích RD 2.5L (RF-2545-HB)</t>
  </si>
  <si>
    <t>PHN00027898</t>
  </si>
  <si>
    <t>Ruột phích RD 1.0L (RF-1040-A0-LB)</t>
  </si>
  <si>
    <t>00000320</t>
  </si>
  <si>
    <t>Đèn LED cây xăng D CX01L/80W</t>
  </si>
  <si>
    <t>00000521</t>
  </si>
  <si>
    <t>Driver rời cho đèn LED tube T5 600mm CRI 80/80w</t>
  </si>
  <si>
    <t>LED00005645</t>
  </si>
  <si>
    <t>Tai treo Panel vuông 15x120</t>
  </si>
  <si>
    <t>LED00005651</t>
  </si>
  <si>
    <t>Bóng đèn (LED PAR20N/3W) E27 á/s vàng S</t>
  </si>
  <si>
    <t>LED00026901</t>
  </si>
  <si>
    <t>Driver PNL 320x640-25W CCT V1 KC HC</t>
  </si>
  <si>
    <t>LED00032567</t>
  </si>
  <si>
    <t>Driver U8KCF - 40W</t>
  </si>
  <si>
    <t>LED00033517</t>
  </si>
  <si>
    <t>Đèn LED cắm đất ZDL 1109 27W 3000K (Yankon)</t>
  </si>
  <si>
    <t>LED00039524</t>
  </si>
  <si>
    <t>Đèn LED dây LD01 1000/12W 3000K (12VDC-100m)</t>
  </si>
  <si>
    <t>LED00040318</t>
  </si>
  <si>
    <t>Driver U8KCF-25W-36V (NEO) HC</t>
  </si>
  <si>
    <t>LED00050364</t>
  </si>
  <si>
    <t>Driver P06 50W KC HC YJTech</t>
  </si>
  <si>
    <t>LED00058735</t>
  </si>
  <si>
    <t>Đèn LED thanh chuyên dụng T-Malbec 730B 590/12W (KN)</t>
  </si>
  <si>
    <t>LED00059816</t>
  </si>
  <si>
    <t>Đèn LED dây LD02 1000/9W 6500K (100m)</t>
  </si>
  <si>
    <t>LED00065347</t>
  </si>
  <si>
    <t>Đèn LED cảnh quan sân vườn DCQV01 6W.APG 3000K (IP55)</t>
  </si>
  <si>
    <t>LED00072809</t>
  </si>
  <si>
    <t>Đèn LED thanh chuyên dụng T-Malbec 780A 1140/12W (KN)</t>
  </si>
  <si>
    <t>LED00079552</t>
  </si>
  <si>
    <t>Tủ aptomat nổi tường TAT02-18 (kim loại)</t>
  </si>
  <si>
    <t>LED00079553</t>
  </si>
  <si>
    <t>Tủ aptomat nổi tường TAT02-22 (kim loại)</t>
  </si>
  <si>
    <t>LED00080936</t>
  </si>
  <si>
    <t>Đèn trang trí hình pha lê LP8651 đỏ (không bóng)</t>
  </si>
  <si>
    <t>LED00082997</t>
  </si>
  <si>
    <t>Đèn LED thanh chuyên dụng T-Malbec 770A 1140/23W (KN)</t>
  </si>
  <si>
    <t>LED00084385</t>
  </si>
  <si>
    <t>Bộ khung panel MQL 1064 FRM LENS 2X2 NBT SKD (Current,YK)</t>
  </si>
  <si>
    <t>PHN00011358</t>
  </si>
  <si>
    <t>Phích xuất khẩu 1.3L (RD-1340 ST2)</t>
  </si>
  <si>
    <t>PHN00011387</t>
  </si>
  <si>
    <t>Phích xuất khẩu 0940 N1.E Yemen</t>
  </si>
  <si>
    <t>PHN00011644</t>
  </si>
  <si>
    <t>Phích xuất khẩu 2035 N10.E Yemen</t>
  </si>
  <si>
    <t>PHN00012417</t>
  </si>
  <si>
    <t>Phích xuất khẩu 1045 ST1.E Israel</t>
  </si>
  <si>
    <t>PHN00013366</t>
  </si>
  <si>
    <t>PHN00013484</t>
  </si>
  <si>
    <t>PHN00013546</t>
  </si>
  <si>
    <t>Phích xuất khẩu 1055 ST1.E FCI</t>
  </si>
  <si>
    <t>PHN00014708</t>
  </si>
  <si>
    <t>Phích xuất khẩu 2045 ST1.E PTI</t>
  </si>
  <si>
    <t>PHN00014965</t>
  </si>
  <si>
    <t>Phích xuất khẩu 1040 TS Yemen</t>
  </si>
  <si>
    <t>PHN00017592</t>
  </si>
  <si>
    <t>Phích xuất khẩu 3245 N1.E WIC</t>
  </si>
  <si>
    <t>PHN00018225</t>
  </si>
  <si>
    <t>Phích đựng nước 1040TS2 - 1 lít</t>
  </si>
  <si>
    <t>PHN00020675</t>
  </si>
  <si>
    <t>Phích xuất khẩu 1640 TS3 LLT</t>
  </si>
  <si>
    <t>PHN00022087</t>
  </si>
  <si>
    <t>Vỏ phích thân thép 1.8L (2017) - Invicta</t>
  </si>
  <si>
    <t>PHN00022193</t>
  </si>
  <si>
    <t>Phích hoàn chỉnh 1040 TS.E yemen</t>
  </si>
  <si>
    <t>PHN00023310</t>
  </si>
  <si>
    <t>PHN00023311</t>
  </si>
  <si>
    <t>PHN00023312</t>
  </si>
  <si>
    <t>PHN00024382</t>
  </si>
  <si>
    <t>Phích xuất khẩu 1565 N1.E CGT</t>
  </si>
  <si>
    <t>PHN00024579</t>
  </si>
  <si>
    <t>Phích xuất khẩu 0538 N1 APT</t>
  </si>
  <si>
    <t>PHN00024581</t>
  </si>
  <si>
    <t>Phích xuất khẩu 1040 ST2 APT</t>
  </si>
  <si>
    <t>PHN00025207</t>
  </si>
  <si>
    <t>PHN00026017</t>
  </si>
  <si>
    <t>Phích xuất khẩu 0540 N1.E SAM</t>
  </si>
  <si>
    <t>PHN00028557</t>
  </si>
  <si>
    <t>Phích giữ nhiệt dung tích 1000ml</t>
  </si>
  <si>
    <t>PHN00028717</t>
  </si>
  <si>
    <t>PHN00001075</t>
  </si>
  <si>
    <t>Ruột phích RD 1.0L (RF-1038-SP)loại trần</t>
  </si>
  <si>
    <t>PHN00001101</t>
  </si>
  <si>
    <t>Ruột phích RD 1.8L (RF-27002)loại trần</t>
  </si>
  <si>
    <t>PHN00001320</t>
  </si>
  <si>
    <t>Ruột phích 1,6L loại trần</t>
  </si>
  <si>
    <t>PHN00001391</t>
  </si>
  <si>
    <t>Ruột phích Q-H 1.0L (RP-1040 S)loại trần</t>
  </si>
  <si>
    <t>PHN00001397</t>
  </si>
  <si>
    <t>Ruột phích RD 1.0L (RF-Y1040G-MC) loại trần</t>
  </si>
  <si>
    <t>PHN00005255</t>
  </si>
  <si>
    <t>Ruột phích 1565 loại trần</t>
  </si>
  <si>
    <t>PHN00011293</t>
  </si>
  <si>
    <t>Ruột phích RD 2.2L (RF-2247-HEN) loại trần</t>
  </si>
  <si>
    <t>LED00005094</t>
  </si>
  <si>
    <t>Bóng LED Tube T8 1200/20W 6500K SS</t>
  </si>
  <si>
    <t>LED00018456</t>
  </si>
  <si>
    <t>Bóng LED Tube T8 TT01 600/10W 3000K (CE) SS</t>
  </si>
  <si>
    <t>LED00031005</t>
  </si>
  <si>
    <t>Bóng LED TUBE T8 1500/23W 6500K SS</t>
  </si>
  <si>
    <t>LED00034402</t>
  </si>
  <si>
    <t>Bóng LED Tube T8 TT01 1200/20W 6500K</t>
  </si>
  <si>
    <t>LED00041571</t>
  </si>
  <si>
    <t>Bóng LED Tube T8 N01 1200/15W (DC, XK) 5700K</t>
  </si>
  <si>
    <t>LED00081991</t>
  </si>
  <si>
    <t>Bóng LED Tube 1200/20W 6500K.GOV.V2</t>
  </si>
  <si>
    <t>00000226</t>
  </si>
  <si>
    <t>Máng đèn HQ 0,6mđơn c/cấp cóC/lưuđtử</t>
  </si>
  <si>
    <t>00000253</t>
  </si>
  <si>
    <t>Máng HQlắpnổiFS40/36x2-M10-BL đ/tửEIC</t>
  </si>
  <si>
    <t>LED00005545</t>
  </si>
  <si>
    <t>Máng đèn âm trần FS40/36x2-M6 (lắp Led Tube)</t>
  </si>
  <si>
    <t>LED00005549</t>
  </si>
  <si>
    <t>Máng đèn HQ-FS-40/36x1-M8 balát đ/tử</t>
  </si>
  <si>
    <t>LED00031610</t>
  </si>
  <si>
    <t>Bộ máng LED tube T8 CA01x2  Yemen</t>
  </si>
  <si>
    <t>LED00075971</t>
  </si>
  <si>
    <t>Máng FS 20/20Wx1 TG</t>
  </si>
  <si>
    <t>LED00005743</t>
  </si>
  <si>
    <t>Công tắc cảm ứng RD-SW/REM.1</t>
  </si>
  <si>
    <t>LED00013371</t>
  </si>
  <si>
    <t>Đèn bàn LED cảm ứng RD-RL-20 5W 5000K SS</t>
  </si>
  <si>
    <t>LED00020449</t>
  </si>
  <si>
    <t>Đèn LED Downlight khẩn cấp AT07.KC 90/5W 3000K</t>
  </si>
  <si>
    <t>LED00025847</t>
  </si>
  <si>
    <t>Đèn LED chiếu sáng đường CSD02.DIM 150W 5000K</t>
  </si>
  <si>
    <t>LED00029036</t>
  </si>
  <si>
    <t>Ổ cắm Wifi 4 - USB P E04.3/10A.WF</t>
  </si>
  <si>
    <t>LED00030248</t>
  </si>
  <si>
    <t>Đèn LED ốp trần cảm biến LN09.RAD 300/24W.DA 3000K SS</t>
  </si>
  <si>
    <t>LED00031352</t>
  </si>
  <si>
    <t>Đèn LED Downlight dự phòng AT04.DP 110/9W 3000K SS</t>
  </si>
  <si>
    <t>LED00033868</t>
  </si>
  <si>
    <t>Đèn LED Downlight đổi màu AT14.BLE 110/9W</t>
  </si>
  <si>
    <t>LED00037838</t>
  </si>
  <si>
    <t>Đèn LED Downlight đổi màu AT04.BLE 155/16W trùng tên</t>
  </si>
  <si>
    <t>LED00043098</t>
  </si>
  <si>
    <t>Cảm biến khói CB06.SM.BLE</t>
  </si>
  <si>
    <t>LED00043790</t>
  </si>
  <si>
    <t>Công tắc cảm ứng chữ nhật CTCU.BLE R1.REM (trắng FPT)</t>
  </si>
  <si>
    <t>LED00045203</t>
  </si>
  <si>
    <t>Đèn LED Downlight đổi màu AT20.BLE.RGBCW 90/7W</t>
  </si>
  <si>
    <t>LED00047076</t>
  </si>
  <si>
    <t>Công tắc cảm ứng CTCU.BLE.F SNL1.01</t>
  </si>
  <si>
    <t>00000191</t>
  </si>
  <si>
    <t>ổ cắm đôi (2chân+3chân) 13A-250V</t>
  </si>
  <si>
    <t>00000196</t>
  </si>
  <si>
    <t>Ổ cắm kéo dài 10A/3M</t>
  </si>
  <si>
    <t>LED00065616</t>
  </si>
  <si>
    <t>Ổ cắm đa năng OC06.V2 6C/5M/10A</t>
  </si>
  <si>
    <t>LED00074748</t>
  </si>
  <si>
    <t>Aptomat ngắn mạch RD.MCB 1P1E 6A</t>
  </si>
  <si>
    <t>LED00074789</t>
  </si>
  <si>
    <t>Aptomat chống giật RD.RCBO 1P+N 20A</t>
  </si>
  <si>
    <t>LED00080494</t>
  </si>
  <si>
    <t>Aptomat gia dụng RD.HB 2P1E 30A</t>
  </si>
  <si>
    <t>PHN00000006</t>
  </si>
  <si>
    <t>PHN00000011</t>
  </si>
  <si>
    <t>PHN00000973</t>
  </si>
  <si>
    <t>Phích 899-2L</t>
  </si>
  <si>
    <t>PHN00001360</t>
  </si>
  <si>
    <t>Phích Nhựa 202-2L</t>
  </si>
  <si>
    <t>PHN00010764</t>
  </si>
  <si>
    <t>PHN00011613</t>
  </si>
  <si>
    <t>Phích xuất khẩu 1340 ST2 Yemen</t>
  </si>
  <si>
    <t>PHN00011632</t>
  </si>
  <si>
    <t>Phích xuất khẩu 1565 N1.E EST</t>
  </si>
  <si>
    <t>PHN00011759</t>
  </si>
  <si>
    <t>Phích xuất khẩu 1055 TS TRD</t>
  </si>
  <si>
    <t>PHN00011781</t>
  </si>
  <si>
    <t>Phích xuất khẩu 1045 TS.E TRD</t>
  </si>
  <si>
    <t>PHN00011784</t>
  </si>
  <si>
    <t>Phích xuất khẩu 1055 N1.E TRD</t>
  </si>
  <si>
    <t>PHN00012420</t>
  </si>
  <si>
    <t>Phích xuất khẩu 1055 TS Uni</t>
  </si>
  <si>
    <t>PHN00013099</t>
  </si>
  <si>
    <t>Phích xuất khẩu 2545 ST1.E AFH</t>
  </si>
  <si>
    <t>PHN00013103</t>
  </si>
  <si>
    <t>Phích xuất khẩu 04528 N1 Andalosia</t>
  </si>
  <si>
    <t>PHN00013156</t>
  </si>
  <si>
    <t>PHN00014246</t>
  </si>
  <si>
    <t>PHN00014349</t>
  </si>
  <si>
    <t>PHN00014972</t>
  </si>
  <si>
    <t>Phích xuất khẩu 1640 ST2 SRE</t>
  </si>
  <si>
    <t>PHN00014975</t>
  </si>
  <si>
    <t>Phích xuất khẩu 2545 ST1.E SRE</t>
  </si>
  <si>
    <t>PHN00018224</t>
  </si>
  <si>
    <t>Phích đựng nước 1355TS2 – 1,3 lít</t>
  </si>
  <si>
    <t>PHN00018295</t>
  </si>
  <si>
    <t>Phích xuất khẩu 3245 N1.E SXF</t>
  </si>
  <si>
    <t>PHN00018866</t>
  </si>
  <si>
    <t>Phích xuất khẩu 1040 TS1 ALK</t>
  </si>
  <si>
    <t>PHN00018875</t>
  </si>
  <si>
    <t>Phích xuất khẩu 04528 N2 IMT</t>
  </si>
  <si>
    <t>PHN00018942</t>
  </si>
  <si>
    <t>Phích xuất khẩu 1340 TS ALK</t>
  </si>
  <si>
    <t>LED00059923</t>
  </si>
  <si>
    <t>Đèn LED dây LD01.V2.B 1000/7W BLUE (AC 220V-100m)</t>
  </si>
  <si>
    <t>LED00061661</t>
  </si>
  <si>
    <t>Đèn LED dây đổi màu RD-LD01.9W (100m)-CT</t>
  </si>
  <si>
    <t>LED00062103</t>
  </si>
  <si>
    <t>Đèn LED dây LD02 1000/7W 3000K (100m)</t>
  </si>
  <si>
    <t>LED00062204</t>
  </si>
  <si>
    <t>Vợt bắt muỗi VBM RD.05</t>
  </si>
  <si>
    <t>LED00063923</t>
  </si>
  <si>
    <t>Đèn LED dây LD03 1000/9W 3000K (220V-50m)</t>
  </si>
  <si>
    <t>LED00065338</t>
  </si>
  <si>
    <t>Bộ nguồn điều kiển đèn LED dây DC 70W 24V VST</t>
  </si>
  <si>
    <t>LED00067260</t>
  </si>
  <si>
    <t>Đèn LED dây LD03 1000/7W 6500K (220V-100m)-CT</t>
  </si>
  <si>
    <t>LED00075630</t>
  </si>
  <si>
    <t>Nguồn cho đèn LED dây LD04 100W</t>
  </si>
  <si>
    <t>LED00084382</t>
  </si>
  <si>
    <t>Bộ khung panel MQL 1064 FRM LENS 2X2 NBT SKD (Current,RD)</t>
  </si>
  <si>
    <t>PHN00010770</t>
  </si>
  <si>
    <t>Vỏ phích inox 1,8L-Aladin.N</t>
  </si>
  <si>
    <t>LED00084852</t>
  </si>
  <si>
    <t>Đèn LED dây 5000/20W 4000K (CRI 90, XK)</t>
  </si>
  <si>
    <t>LED00084909</t>
  </si>
  <si>
    <t>Đèn LED dây LD01 5000/20W 4000K (CRI 80, XK)</t>
  </si>
  <si>
    <t>LED00055721</t>
  </si>
  <si>
    <t>Cảm biến chuyển động CB09.PIR (AC)</t>
  </si>
  <si>
    <t>LED00057861</t>
  </si>
  <si>
    <t>Đèn LED UFO NLMT UFO01.SL.RF 150W 6500K</t>
  </si>
  <si>
    <t>LED00059179</t>
  </si>
  <si>
    <t>Ổ cắm thông minh Wifi OC.01.WF.DF 16A (Dofa)</t>
  </si>
  <si>
    <t>LED00059777</t>
  </si>
  <si>
    <t>Công tắc cảm ứng chữ nhật CTCU.WF CN.04T MN</t>
  </si>
  <si>
    <t>LED00062580</t>
  </si>
  <si>
    <t>Ổ cắm thông minh WiFi OC09.WF.USB 5C/10A (Đen)</t>
  </si>
  <si>
    <t>LED00062879</t>
  </si>
  <si>
    <t>Công tắc cảm ứng vuông CTCU.BLE V.DOT.NC (Trắng, FPT)</t>
  </si>
  <si>
    <t>LED00063169</t>
  </si>
  <si>
    <t>Công tắc 2 chiều không dây CT2C V1.01</t>
  </si>
  <si>
    <t>LED00063600</t>
  </si>
  <si>
    <t>Đèn ray LED Tracklight TRL08 10W (48V)</t>
  </si>
  <si>
    <t>LED00064159</t>
  </si>
  <si>
    <t>Cảm biến khói CB06.SM.BLE (FPT)</t>
  </si>
  <si>
    <t>LED00065307</t>
  </si>
  <si>
    <t>Ổ cắm âm tường OCAT05K 2C/16A (vuông, Ralli)</t>
  </si>
  <si>
    <t>LED00065699</t>
  </si>
  <si>
    <t>Đèn LED Downlight xoay góc đổi màu AT39.BLE 76/12W (FPT)</t>
  </si>
  <si>
    <t>LED00065700</t>
  </si>
  <si>
    <t>Đèn LED Downlight xoay góc đổi màu AT40.BLE 95/12W (FPT)</t>
  </si>
  <si>
    <t>LED00071106</t>
  </si>
  <si>
    <t>Công tắc cảm ứng vuông CTCU.WF V.REMT.2W.SP</t>
  </si>
  <si>
    <t>LED00073169</t>
  </si>
  <si>
    <t>Công tắc cảm ứng chữ nhật CTCU.WF CN.DOT.2W.SP</t>
  </si>
  <si>
    <t>LED00074968</t>
  </si>
  <si>
    <t>Cảm biến ánh sáng NN CB02-NN.LS.BLE</t>
  </si>
  <si>
    <t>LED00075051</t>
  </si>
  <si>
    <t>Cảm biến độ EC nước NN CB08-NN.EC.BLE</t>
  </si>
  <si>
    <t>LED00075216</t>
  </si>
  <si>
    <t>Hệ điện áp mái NLMT SLS.R3P 15KW</t>
  </si>
  <si>
    <t>LED00075224</t>
  </si>
  <si>
    <t>Hệ điện áp mái NLMT SLS.R1P 4.5KW (KNC)</t>
  </si>
  <si>
    <t>LED00075230</t>
  </si>
  <si>
    <t>Hệ điện áp mái NLMT SLS.1P 4.5KW (KNC)</t>
  </si>
  <si>
    <t>LED00075231</t>
  </si>
  <si>
    <t>Hệ điện áp mái NLMT SLS.1P 6KW (KNC)</t>
  </si>
  <si>
    <t>LED00076582</t>
  </si>
  <si>
    <t>Công tắc cảm ứng vuông CTCU.WF V.02T(Cham, FPT)</t>
  </si>
  <si>
    <t>LED00077143</t>
  </si>
  <si>
    <t>Ổ cắm âm tường OCAT05K 2C/16A (vuông, champaign athena, FPT)</t>
  </si>
  <si>
    <t>LED00080277</t>
  </si>
  <si>
    <t>Công tắc cảm ứng chữ nhật CTCU.WF CN.01T (Trắng, FPT)</t>
  </si>
  <si>
    <t>LED00081702</t>
  </si>
  <si>
    <t>Ổ cắm công tắc chữ nhật thông minh OCTC.BLE.1T.1C</t>
  </si>
  <si>
    <t>LED00067678</t>
  </si>
  <si>
    <t>Công tắc chuyển mạch CT03.BLE.ON/OFF</t>
  </si>
  <si>
    <t>LED00069339</t>
  </si>
  <si>
    <t>Bộ cung cấp điện NLMT RD.SL 5KWP</t>
  </si>
  <si>
    <t>LED00070433</t>
  </si>
  <si>
    <t>Công tắc 2 chiều không dây CT2C V2.01</t>
  </si>
  <si>
    <t>LED00070434</t>
  </si>
  <si>
    <t>Công tắc 2 chiều không dây CT2C V2.02</t>
  </si>
  <si>
    <t>LED00072395</t>
  </si>
  <si>
    <t>Công tắc cảm ứng vuông CTCU.WF V.02T.2W.SP MN</t>
  </si>
  <si>
    <t>LED00075209</t>
  </si>
  <si>
    <t>Hệ điện áp mái NLMT SLS.1P 4.5KW</t>
  </si>
  <si>
    <t>LED00075214</t>
  </si>
  <si>
    <t>Hệ điện áp mái NLMT SLS.R3P 8KW</t>
  </si>
  <si>
    <t>LED00075219</t>
  </si>
  <si>
    <t>Hệ điện áp mái NLMT SLS.3P 12.5KW</t>
  </si>
  <si>
    <t>LED00075221</t>
  </si>
  <si>
    <t>Hệ điện áp mái NLMT SLS.3P 18KW</t>
  </si>
  <si>
    <t>LED00075226</t>
  </si>
  <si>
    <t>Hệ điện áp mái NLMT SLS.R1P 7KW (KNC)</t>
  </si>
  <si>
    <t>LED00075229</t>
  </si>
  <si>
    <t>Hệ điện áp mái NLMT SLS.1P 3.5KW (KNC)</t>
  </si>
  <si>
    <t>LED00076580</t>
  </si>
  <si>
    <t>Công tắc cảm ứng vuông CTCU.WF V.04T(trắng, FPT)</t>
  </si>
  <si>
    <t>LED00081703</t>
  </si>
  <si>
    <t>Ổ cắm công tắc chữ nhật thông minh OCTC.BLE.2T.1C</t>
  </si>
  <si>
    <t>LED00084192</t>
  </si>
  <si>
    <t>Cảm biến khói CB12.SM.RF.V2</t>
  </si>
  <si>
    <t>00000188</t>
  </si>
  <si>
    <t>Đui đèn xoáy E27</t>
  </si>
  <si>
    <t>00000270</t>
  </si>
  <si>
    <t>Biến áp 220V/36W 600W</t>
  </si>
  <si>
    <t>LED00033622</t>
  </si>
  <si>
    <t>Ổ cắm kéo dài RD02/10A-3M</t>
  </si>
  <si>
    <t>LED00074761</t>
  </si>
  <si>
    <t>Aptomat ngắn mạch RD.MCB 2P2E 20A</t>
  </si>
  <si>
    <t>LED00074782</t>
  </si>
  <si>
    <t>Aptomat ngắn mạch RD.MCB 4P4E C32</t>
  </si>
  <si>
    <t>LED00074790</t>
  </si>
  <si>
    <t>Aptomat chống giật RD.RCBO 1P+N 25A</t>
  </si>
  <si>
    <t>PHN00000964</t>
  </si>
  <si>
    <t>PHN00001328</t>
  </si>
  <si>
    <t>Phích 1040 N3-1L</t>
  </si>
  <si>
    <t>PHN00001344</t>
  </si>
  <si>
    <t>Phích 2035 N1.E-2L-Pioneer (G)</t>
  </si>
  <si>
    <t>PHN00001361</t>
  </si>
  <si>
    <t>Phích Nhựa 203-2L</t>
  </si>
  <si>
    <t>PHN00001368</t>
  </si>
  <si>
    <t>Phích Nhựa 899-2L(nắp có quai-N.Q)</t>
  </si>
  <si>
    <t>LED00075227</t>
  </si>
  <si>
    <t>Hệ điện áp mái NLMT SLS.R1P 8KW (KNC)</t>
  </si>
  <si>
    <t>LED00075228</t>
  </si>
  <si>
    <t>Hệ điện áp mái NLMT SLS.R1P 10KW (KNC)</t>
  </si>
  <si>
    <t>LED00076551</t>
  </si>
  <si>
    <t>Công tắc cảm ứng chữ nhật CTCU.WF CN.03T(trắng, FPT)</t>
  </si>
  <si>
    <t>LED00077482</t>
  </si>
  <si>
    <t>Công tắc núm xoay thông minh CTNX.BLE V01</t>
  </si>
  <si>
    <t>LED00081701</t>
  </si>
  <si>
    <t>Ổ cắm công tắc chữ nhật thông minh OCTC.WF.2T.1C.2W.SP</t>
  </si>
  <si>
    <t>LED00083849</t>
  </si>
  <si>
    <t>Bộ truyền thông hữu tuyến (ICAN) RD-TT.ICAN-TV</t>
  </si>
  <si>
    <t>LED00084141</t>
  </si>
  <si>
    <t>Hệ điện áp mái NLMT SLS.R1P 7.5KW</t>
  </si>
  <si>
    <t>LED00084144</t>
  </si>
  <si>
    <t>Hệ điện áp mái NLMT SLS.1P 3.8KW</t>
  </si>
  <si>
    <t>LED00074749</t>
  </si>
  <si>
    <t>Aptomat ngắn mạch RD.MCB 1P1E 10A</t>
  </si>
  <si>
    <t>PHN00000009</t>
  </si>
  <si>
    <t>PHN00000969</t>
  </si>
  <si>
    <t>PHN00001310</t>
  </si>
  <si>
    <t>Phích 1045 ST1.E-1,0L-Pioneer</t>
  </si>
  <si>
    <t>PHN00001332</t>
  </si>
  <si>
    <t>Phích 1040 ST1.E-1L-Pioneer - RĐ</t>
  </si>
  <si>
    <t>PHN00001338</t>
  </si>
  <si>
    <t>Phích 1045-1L</t>
  </si>
  <si>
    <t>PHN00001345</t>
  </si>
  <si>
    <t>Phích 2045 ST1.E-2L-Pioneer</t>
  </si>
  <si>
    <t>PHN00001364</t>
  </si>
  <si>
    <t>Phích Nhựa 205-2.05L</t>
  </si>
  <si>
    <t>PHN00004007</t>
  </si>
  <si>
    <t>PHN00008643</t>
  </si>
  <si>
    <t>Phích pha trà 1565 N1.E-1.5L (XK)</t>
  </si>
  <si>
    <t>PHN00010767</t>
  </si>
  <si>
    <t>Phích 1340 ST2-1.3L- thân Inox</t>
  </si>
  <si>
    <t>PHN00011401</t>
  </si>
  <si>
    <t>Phích xuất khẩu 1045 N1.E Abu</t>
  </si>
  <si>
    <t>PHN00011631</t>
  </si>
  <si>
    <t>Phích xuất khẩu 1040 N1.E EST</t>
  </si>
  <si>
    <t>PHN00011776</t>
  </si>
  <si>
    <t>Phích xuất khẩu 1038 N2 TRD</t>
  </si>
  <si>
    <t>PHN00011782</t>
  </si>
  <si>
    <t>Phích xuất khẩu 1045 ST1.E TRD</t>
  </si>
  <si>
    <t>PHN00012556</t>
  </si>
  <si>
    <t>Phích xuất khẩu 1542 N2.E (PP) Yemen</t>
  </si>
  <si>
    <t>PHN00013101</t>
  </si>
  <si>
    <t>Phích xuất khẩu 1040 ST3.E AFH</t>
  </si>
  <si>
    <t>PHN00014974</t>
  </si>
  <si>
    <t>Phích xuất khẩu 2045 ST1.E SRE</t>
  </si>
  <si>
    <t>LED00077050</t>
  </si>
  <si>
    <t>Đèn LED gắn tường GT21.2P 15W 3000K</t>
  </si>
  <si>
    <t>LED00018455</t>
  </si>
  <si>
    <t>Bóng LED Tube T8 TT01 1200/18W 3000K (CE) SS</t>
  </si>
  <si>
    <t>LED00025786</t>
  </si>
  <si>
    <t>Bóng LED Tube T8 1200/16W.DA 4000K SS</t>
  </si>
  <si>
    <t>LED00025789</t>
  </si>
  <si>
    <t>Bóng LED Tube T8 1200/20W.DA 6500K SS</t>
  </si>
  <si>
    <t>LED00037378</t>
  </si>
  <si>
    <t>Bóng đèn LED Tube T8 120/18W.EVT 6500K</t>
  </si>
  <si>
    <t>LED00041295</t>
  </si>
  <si>
    <t>Bóng LED Tube T8 1200/18W.EV 6500K SS</t>
  </si>
  <si>
    <t>LED00054472</t>
  </si>
  <si>
    <t>Bóng đèn LED Tube T8 TT 600/9W 6500K KN</t>
  </si>
  <si>
    <t>LED00054832</t>
  </si>
  <si>
    <t>Bóng đèn LED Tube T8 N01 600/9W 4000K (XK Cepco)</t>
  </si>
  <si>
    <t>LED TUBE</t>
  </si>
  <si>
    <t>LED00076845</t>
  </si>
  <si>
    <t>Bóng LED tube T8 1200/20W 4000K BTP</t>
  </si>
  <si>
    <t>00000249</t>
  </si>
  <si>
    <t>Máng đèn HQ-FS-40/36x2-M8-BL đ/tử EIC</t>
  </si>
  <si>
    <t>LED00005557</t>
  </si>
  <si>
    <t>Máng đèn FS-40/36x1-M8-ko nắp(lắp Led Tube)</t>
  </si>
  <si>
    <t>LED00005575</t>
  </si>
  <si>
    <t>Máng đèn FS40/36x1-M9-koBL,ko nắp(lắp Led Tube)</t>
  </si>
  <si>
    <t>LED00005583</t>
  </si>
  <si>
    <t>Máng đèn FS40/36x2-M9- không ballast (XK)</t>
  </si>
  <si>
    <t>LED00062876</t>
  </si>
  <si>
    <t>Bộ máng đèn LED Base light âm trần (XK)</t>
  </si>
  <si>
    <t>LED00019137</t>
  </si>
  <si>
    <t>Đèn LED ốp trần cảm biến LN10.PIR 220x220/18W 6500K SS</t>
  </si>
  <si>
    <t>LED00024949</t>
  </si>
  <si>
    <t>Đèn LED Downlight dự phòng AT04.DP 90/7W 6500K SS</t>
  </si>
  <si>
    <t>LED00025827</t>
  </si>
  <si>
    <t>Đèn LED Downlight dự phòng AT04.DP 110/12W 3000K SS</t>
  </si>
  <si>
    <t>LED00028380</t>
  </si>
  <si>
    <t>Bộ điều khiển hồng ngoại RD IR/WF</t>
  </si>
  <si>
    <t>LED00028754</t>
  </si>
  <si>
    <t>Bộ điều khiển LED dây LD01.RGB.IR 100/8W</t>
  </si>
  <si>
    <t>LED00030630</t>
  </si>
  <si>
    <t>Đèn LED ốp trần cảm biến LN08.RAD 170x170/12W 6500K SS</t>
  </si>
  <si>
    <t>LED00035316</t>
  </si>
  <si>
    <t>Đèn LED Downlight đổi màu AT16.BLE 110/9W</t>
  </si>
  <si>
    <t>LED00036112</t>
  </si>
  <si>
    <t>Bóng LED Bulb đổi màu A65.WF/6W E27 (SSC)</t>
  </si>
  <si>
    <t>LED00036115</t>
  </si>
  <si>
    <t>Bóng LED Bulb đổi màu A65.WF/11.5W E26 (SSC)</t>
  </si>
  <si>
    <t>LED00036912</t>
  </si>
  <si>
    <t>Đèn LED Downlight đổi màu AT18.BLE 60/7W (F24)</t>
  </si>
  <si>
    <t>LED00032238</t>
  </si>
  <si>
    <t>Đèn LED Panel đổi màu PT04 110/7W</t>
  </si>
  <si>
    <t>LED00033387</t>
  </si>
  <si>
    <t>Đèn LED Downlight AT14 200/20W 4000K</t>
  </si>
  <si>
    <t>LED00034478</t>
  </si>
  <si>
    <t>Đèn LED Downlight AT16 110/12W.DA 4000K SS</t>
  </si>
  <si>
    <t>LED00042190</t>
  </si>
  <si>
    <t>Đèn LED Downlight AT16 90/9W.DA 6500K</t>
  </si>
  <si>
    <t>LED00042294</t>
  </si>
  <si>
    <t>Đèn LED Downlight đổi màu AT20 90/8W (G)</t>
  </si>
  <si>
    <t>LED00045876</t>
  </si>
  <si>
    <t>Đèn LED Downlight AT06.V2 110/9W 4000K</t>
  </si>
  <si>
    <t>LED00045932</t>
  </si>
  <si>
    <t>Đèn LED downlight AT25 80x80/10Wx1.PLUS 6500K</t>
  </si>
  <si>
    <t>LED00045938</t>
  </si>
  <si>
    <t>Đèn LED downlight AT25 160x160/10Wx4.PLUS 6500K</t>
  </si>
  <si>
    <t>LED00045942</t>
  </si>
  <si>
    <t>Đèn LED downlight NT02 108x298/10Wx3.PLUS 6500K</t>
  </si>
  <si>
    <t>LED00046112</t>
  </si>
  <si>
    <t>Đèn LED Panel PT05 135/12W 3000K</t>
  </si>
  <si>
    <t>LED00046366</t>
  </si>
  <si>
    <t>Đèn LED Panel đổi màu PT05 90/7W (G)-CT</t>
  </si>
  <si>
    <t>LED00047294</t>
  </si>
  <si>
    <t>Đèn LED Downlight AT24 110/10W.PLUS 6500K</t>
  </si>
  <si>
    <t>LED00048428</t>
  </si>
  <si>
    <t>Đèn LED Downlight đổi màu AT10 110/9W (G)-CTT</t>
  </si>
  <si>
    <t>LED00049162</t>
  </si>
  <si>
    <t>Đèn LED Downlight x/góc AT22 60/7W 4000K</t>
  </si>
  <si>
    <t>LED00049210</t>
  </si>
  <si>
    <t>Đèn LED Downlight AT04 110/9W 6500K-TC</t>
  </si>
  <si>
    <t>LED00049329</t>
  </si>
  <si>
    <t>Đèn LED Downlight x/góc AT22 60/9W 4000K</t>
  </si>
  <si>
    <t>LED00049447</t>
  </si>
  <si>
    <t>Đèn LED Downlight AT04 90/7W.DA 4000K</t>
  </si>
  <si>
    <t>LED00052931</t>
  </si>
  <si>
    <t>Đèn LED Downlight nổi trần NT01 110/10W 4000K (trắng)</t>
  </si>
  <si>
    <t>LED00052935</t>
  </si>
  <si>
    <t>Đèn LED Downlight nổi trần NT01 110/15W 4000K (trắng)</t>
  </si>
  <si>
    <t>LED00057232</t>
  </si>
  <si>
    <t>Đèn LED Downlight AT05 90/10W 5700K (XK)</t>
  </si>
  <si>
    <t>LED00063436</t>
  </si>
  <si>
    <t>Đèn LED Downlight AT05.V3 155/15W 4000K</t>
  </si>
  <si>
    <t>LED00066030</t>
  </si>
  <si>
    <t>Đèn Led nổi trần NT01 110/10W.GOV.V2 6500K</t>
  </si>
  <si>
    <t>LED00067760</t>
  </si>
  <si>
    <t>Đèn LED Ốp trần đổi màu MXL1140-L12K9027W (1c/h,Yankon)</t>
  </si>
  <si>
    <t>LED00064291</t>
  </si>
  <si>
    <t>Công tắc cơ điện tử 2 chiều CTC2C.WF V1.01 (Ralli)</t>
  </si>
  <si>
    <t>LED00065845</t>
  </si>
  <si>
    <t>Công tắc cảm ứng chữ nhật CTCU.WF CN.04T.2W.SP</t>
  </si>
  <si>
    <t>LED00066744</t>
  </si>
  <si>
    <t>Công tắc chuyển mạch 2 chiều CTAT2C.BLE V1.5</t>
  </si>
  <si>
    <t>LED00070455</t>
  </si>
  <si>
    <t>Công tắc 2 chiều không dây CT2C V2.06</t>
  </si>
  <si>
    <t>LED00070479</t>
  </si>
  <si>
    <t>Đèn điều hòa phòng tắm âm trần DHPT 300x300/2050W</t>
  </si>
  <si>
    <t>LED00072389</t>
  </si>
  <si>
    <t>Công tắc cảm ứng chữ nhật CTCU.WF CN.01T.2W.SP MN</t>
  </si>
  <si>
    <t>LED00074969</t>
  </si>
  <si>
    <t>Cảm biến độ ẩm đất NN CB04-NN.SM.BLE</t>
  </si>
  <si>
    <t>LED00075048</t>
  </si>
  <si>
    <t>Cảm biến độ PH nước NN CB07-NN.PH.BLE</t>
  </si>
  <si>
    <t>LED00076557</t>
  </si>
  <si>
    <t>Công tắc cảm ứng chữ nhật CTCU.WF CN.01T(đen, FPT, CSC)</t>
  </si>
  <si>
    <t>LED00078128</t>
  </si>
  <si>
    <t>Công tắc cảm ứng vuông CTCU.BLE S1.01 (Champ, FPT)</t>
  </si>
  <si>
    <t>LED00078637</t>
  </si>
  <si>
    <t>Hệ điện áp mái NLMT SLS.R1P 4.5KW (KNC)-Không Pin</t>
  </si>
  <si>
    <t>LED00080279</t>
  </si>
  <si>
    <t>Công tắc cảm ứng vuông CTCU.WF V.01T(Cham, FPT)</t>
  </si>
  <si>
    <t>LED00083897</t>
  </si>
  <si>
    <t>Công tắc chuyển mạch CT03.WF.BLE.ON/OFF</t>
  </si>
  <si>
    <t>LED00084148</t>
  </si>
  <si>
    <t>Hệ điện áp mái NLMT SLS.1P 10KW V2</t>
  </si>
  <si>
    <t>LED00084149</t>
  </si>
  <si>
    <t>Hệ điện áp mái NLMT SLS.R3P 8.5KW</t>
  </si>
  <si>
    <t>LED00084191</t>
  </si>
  <si>
    <t>Cảm biến nhiệt CB14.TE.RF.V2</t>
  </si>
  <si>
    <t>00000197</t>
  </si>
  <si>
    <t>Ổ cắm kéo dài 10A/5M</t>
  </si>
  <si>
    <t>LED00074747</t>
  </si>
  <si>
    <t>Aptomat gia dụng RD.HB 2P1E 20A</t>
  </si>
  <si>
    <t>LED00074767</t>
  </si>
  <si>
    <t>Aptomat ngắn mạch RD.MCB 3P3E 6A</t>
  </si>
  <si>
    <t>LED00074776</t>
  </si>
  <si>
    <t>Aptomat ngắn mạch RD.MCB 4P4E C6</t>
  </si>
  <si>
    <t>LED00074784</t>
  </si>
  <si>
    <t>Aptomat ngắn mạch RD.MCB 4P4E C50</t>
  </si>
  <si>
    <t>LED00074791</t>
  </si>
  <si>
    <t>Aptomat chống giật RD.RCBO 1P+N 32A</t>
  </si>
  <si>
    <t>PHN00000961</t>
  </si>
  <si>
    <t>Phích 1040 TS-1L-ELNASR</t>
  </si>
  <si>
    <t>PHN00000976</t>
  </si>
  <si>
    <t>LED00074073</t>
  </si>
  <si>
    <t>Đèn LED Panel P08 600x600/40W.PLUS 6500K</t>
  </si>
  <si>
    <t>LED00079340</t>
  </si>
  <si>
    <t>Đèn LED Panel P07 600x600/42W.PLUS 6500K (KPK)</t>
  </si>
  <si>
    <t>LED00082196</t>
  </si>
  <si>
    <t>Đèn LED Panel P01 320x1280/40W 5700K (KC-TOP)</t>
  </si>
  <si>
    <t>LED00082228</t>
  </si>
  <si>
    <t>Đèn LED Panel P06 T320x1280/50W.2H Mbar direct 5700K GB</t>
  </si>
  <si>
    <t>LED00083873</t>
  </si>
  <si>
    <t>Bộ chiếu sáng MQL 1064 2x2 CBT 80C30K SKD (Current)</t>
  </si>
  <si>
    <t>LED00084288</t>
  </si>
  <si>
    <t>Bộ chiếu sáng MQL 1064 2x2 CBT 90C30K SKD (Current)</t>
  </si>
  <si>
    <t>LED00084335</t>
  </si>
  <si>
    <t>Bộ chiếu sáng MQL 1064 2x4 CBT 80C35K SKD (Current)</t>
  </si>
  <si>
    <t>LED00084518</t>
  </si>
  <si>
    <t>Đèn LED Panel P01 320x640/25W.H 5700K (KC-LME-KN)</t>
  </si>
  <si>
    <t>LED00084871</t>
  </si>
  <si>
    <t>Đèn LED Panel P07 300x600/24W.PLUS 6500K (KPK)</t>
  </si>
  <si>
    <t>00000295</t>
  </si>
  <si>
    <t>Đèn LED Nguyệt quang D NG.Q02L/5W 220V-5000K</t>
  </si>
  <si>
    <t>00000304</t>
  </si>
  <si>
    <t>Đèn LED chiếu gương D G01L/8W - Vàng</t>
  </si>
  <si>
    <t>00000374</t>
  </si>
  <si>
    <t>Đèn LED gắn tường GT11 5W 3000K</t>
  </si>
  <si>
    <t>00000534</t>
  </si>
  <si>
    <t>Đèn LED Gắn tường GT03 V/5W 6500K</t>
  </si>
  <si>
    <t>LED00030468</t>
  </si>
  <si>
    <t>Đèn LED gắn tường GT05 T/2.5W E14</t>
  </si>
  <si>
    <t>LED00043188</t>
  </si>
  <si>
    <t>LED 5mm xanh lá (XNT)</t>
  </si>
  <si>
    <t>LED00048475</t>
  </si>
  <si>
    <t>Cọc gá đèn pha L180xH800mm</t>
  </si>
  <si>
    <t>LED00063801</t>
  </si>
  <si>
    <t>Đèn LED gắn tường GTX01 8W 3000K (XK - Nina)</t>
  </si>
  <si>
    <t>LED00082755</t>
  </si>
  <si>
    <t>Đèn LED treo tường GT22.1P 6W.APG 3000K</t>
  </si>
  <si>
    <t>LED00005099</t>
  </si>
  <si>
    <t>Bóng LED Tube T8 1200/18W 6500K SS</t>
  </si>
  <si>
    <t>LED00013991</t>
  </si>
  <si>
    <t>Bóng LED Tube T8 TT01 1200/18W 3000K SS</t>
  </si>
  <si>
    <t>LED00019535</t>
  </si>
  <si>
    <t>Bóng LED Tube T8 600/9W 6500K (XK) SS</t>
  </si>
  <si>
    <t>LED00051059</t>
  </si>
  <si>
    <t>Bóng LED Tube T8 TT01 1200/20W 3000K-CTT</t>
  </si>
  <si>
    <t>LED00074167</t>
  </si>
  <si>
    <t>Bóng LED Tube T8 600/10W 4000K</t>
  </si>
  <si>
    <t>LED00078237</t>
  </si>
  <si>
    <t>Bóng LED Tube T8 1200/22W.PLUS 6500K</t>
  </si>
  <si>
    <t>00000240</t>
  </si>
  <si>
    <t>Máng HQ âmtrần(FS20/18x4-M6MC)BL đ/tử</t>
  </si>
  <si>
    <t>LED00033384</t>
  </si>
  <si>
    <t>Đèn LED Downlight AT14 155/20W 3000K</t>
  </si>
  <si>
    <t>LED00033386</t>
  </si>
  <si>
    <t>Đèn LED Downlight AT14 200/20W 3000K</t>
  </si>
  <si>
    <t>LED00042013</t>
  </si>
  <si>
    <t>Đèn LED downlight AT16 110/11.5W.DA 6500K SS</t>
  </si>
  <si>
    <t>LED00042238</t>
  </si>
  <si>
    <t>Đèn LED Downlight AT06.V2 90/7W 4000K</t>
  </si>
  <si>
    <t>LED00042301</t>
  </si>
  <si>
    <t>Đèn LED Downlight đổi màu AT20 110/12W (G)</t>
  </si>
  <si>
    <t>LED00045426</t>
  </si>
  <si>
    <t>Đèn LED Downlight đổi màu AT02 110/9W SS-CT</t>
  </si>
  <si>
    <t>LED00045433</t>
  </si>
  <si>
    <t>Đèn LED Downlight đổi màu AT20 90/10W-CT</t>
  </si>
  <si>
    <t>LED00046102</t>
  </si>
  <si>
    <t>Đèn LED Panel PT05 90/7W 3000K</t>
  </si>
  <si>
    <t>LED00046114</t>
  </si>
  <si>
    <t>Đèn LED Panel PT05 135/12W 6500K</t>
  </si>
  <si>
    <t>LED00046373</t>
  </si>
  <si>
    <t>Đèn LED Panel PT04.V2 110/9W 6500K-CT</t>
  </si>
  <si>
    <t>LED00048410</t>
  </si>
  <si>
    <t>Đèn LED Downlight AT06.V2 90/7W 6500K-CTT</t>
  </si>
  <si>
    <t>LED00049220</t>
  </si>
  <si>
    <t>Đèn LED Downlight đổi màu AT10 90/7W-TC</t>
  </si>
  <si>
    <t>LED00052762</t>
  </si>
  <si>
    <t>Đèn LED Downlight AT06.V2 110/9W 3000K</t>
  </si>
  <si>
    <t>LED00054457</t>
  </si>
  <si>
    <t>Đèn LED Downlight đổi màu AT26 110/12W</t>
  </si>
  <si>
    <t>LED00055236</t>
  </si>
  <si>
    <t>Đèn LED Downlight AT27 60/6W 4000K (KC)</t>
  </si>
  <si>
    <t>LED00055258</t>
  </si>
  <si>
    <t>Đèn LED Downlight AT27 76/8W 3000K (KC)</t>
  </si>
  <si>
    <t>LED00055330</t>
  </si>
  <si>
    <t>Đèn LED Panel PT05 90/7W 6500K (G)-CT</t>
  </si>
  <si>
    <t>LED00057229</t>
  </si>
  <si>
    <t>Đèn LED Downlight AT05 70/5W 5700K (XK)</t>
  </si>
  <si>
    <t>LED00061215</t>
  </si>
  <si>
    <t>Đèn LED Downlight AT36 95/9W 4000K</t>
  </si>
  <si>
    <t>LED00061742</t>
  </si>
  <si>
    <t>Đèn LED Panel đổi màu DL9T90-10MM Voltex (XK Úc)-CT</t>
  </si>
  <si>
    <t>LED00062286</t>
  </si>
  <si>
    <t>Đèn LED Downlight AT24 110/9W.PLUS 6500K</t>
  </si>
  <si>
    <t>LED00065002</t>
  </si>
  <si>
    <t>Đèn LED Downlight AT20.DIM 110/12W 3000K</t>
  </si>
  <si>
    <t>LED00065007</t>
  </si>
  <si>
    <t>Đèn LED Downlight x/góc AT22.DIM 60/12W 3000K</t>
  </si>
  <si>
    <t>LED00051977</t>
  </si>
  <si>
    <t>Driver P06 600X600 40W TOP HC (108V)</t>
  </si>
  <si>
    <t>LED00057287</t>
  </si>
  <si>
    <t>Driver PN06 320x1280 50W NĐ HC</t>
  </si>
  <si>
    <t>LED00063919</t>
  </si>
  <si>
    <t>Đèn LED dây LD02 1000/9W 3000K (50m)</t>
  </si>
  <si>
    <t>LED00063920</t>
  </si>
  <si>
    <t>Đèn LED dây LD03 1000/7W 6500K (220V-50m)</t>
  </si>
  <si>
    <t>LED00063921</t>
  </si>
  <si>
    <t>Đèn LED dây LD03 1000/7W 3000K (220V-50m)</t>
  </si>
  <si>
    <t>LED00063924</t>
  </si>
  <si>
    <t>Đèn LED dây LD03 đổi màu 1000/9W (220V-50m)</t>
  </si>
  <si>
    <t>LED00065017</t>
  </si>
  <si>
    <t>Đèn tảo lọc không khí ALOXY S10</t>
  </si>
  <si>
    <t>LED00066796</t>
  </si>
  <si>
    <t>Bộ phụ kiện đầu hồi hộp nguồn RAY LED.48/DH-HN</t>
  </si>
  <si>
    <t>LED00075186</t>
  </si>
  <si>
    <t>Đèn LED dây LD03 đổi màu 1000/9W (220V-100m)-CT</t>
  </si>
  <si>
    <t>LED00080419</t>
  </si>
  <si>
    <t>Tai treo Panel 30x120</t>
  </si>
  <si>
    <t>PHN00000018</t>
  </si>
  <si>
    <t>ROLLER 1,8L-STAINLESS STEEL-Aladdin</t>
  </si>
  <si>
    <t>PHN00011179</t>
  </si>
  <si>
    <t>Vỏ phích inox 1,0L-Aladin.N</t>
  </si>
  <si>
    <t>PHN00018030</t>
  </si>
  <si>
    <t>Vỏ phích inox 0.5L - Invicta</t>
  </si>
  <si>
    <t>PHN00018340</t>
  </si>
  <si>
    <t>Bộ cối xay sinh tố kèm dao xay RD MX01 Yemen</t>
  </si>
  <si>
    <t>PHN00025390</t>
  </si>
  <si>
    <t>Vỏ phích inox 1,0L-Termolar (Gold)</t>
  </si>
  <si>
    <t>LED00077838</t>
  </si>
  <si>
    <t>Đèn LED Downlight AT06.V3 90/5W 3000K</t>
  </si>
  <si>
    <t>LED00078641</t>
  </si>
  <si>
    <t>Đèn LED Downlight AT56 90/8W 6500K (G)</t>
  </si>
  <si>
    <t>LED00078791</t>
  </si>
  <si>
    <t>Đèn LED Downlight đổi màu AT46 110/10W (G)</t>
  </si>
  <si>
    <t>LED00080444</t>
  </si>
  <si>
    <t>Đèn LED downlight AT07 75/8W.GOV.V2.DIM 6500K</t>
  </si>
  <si>
    <t>LED00082654</t>
  </si>
  <si>
    <t>Đèn LED Downlight đổi màu AT02 90/10W</t>
  </si>
  <si>
    <t>LED00083374</t>
  </si>
  <si>
    <t>Đèn LED Downlight AT05 155/15W.PLUS 6500K</t>
  </si>
  <si>
    <t>LED00083378</t>
  </si>
  <si>
    <t>Đèn LED Downlight AT24 90/10W.PLUS 6500K (HPF)</t>
  </si>
  <si>
    <t>LED00083500</t>
  </si>
  <si>
    <t>Đèn LED Downlight AT05 110/10W.PLUS 6500K</t>
  </si>
  <si>
    <t>LED00083634</t>
  </si>
  <si>
    <t>Đèn LED Downlight AT60 90/8W 6500K</t>
  </si>
  <si>
    <t>LED00083689</t>
  </si>
  <si>
    <t>Đèn LED Downlight AT60 110/12W 6500K</t>
  </si>
  <si>
    <t>LED00083691</t>
  </si>
  <si>
    <t>Đèn LED Downlight đổi màu AT60 110/10W</t>
  </si>
  <si>
    <t>LED00083969</t>
  </si>
  <si>
    <t>Đèn LED panel P59 9inch/18W 5CCT (YOURZOR)</t>
  </si>
  <si>
    <t>00000217</t>
  </si>
  <si>
    <t>WS5-CL03/10w - 6500K</t>
  </si>
  <si>
    <t>00000222</t>
  </si>
  <si>
    <t>Đèn LED ốp trần LN03 14W</t>
  </si>
  <si>
    <t>00000223</t>
  </si>
  <si>
    <t>Đèn LED ốptrần(DLN08L17x17/12W) trắng SS Hayne</t>
  </si>
  <si>
    <t>LED00005316</t>
  </si>
  <si>
    <t>Đèn LED ốp trần LN05 160/9W 6500K (24VDC) SS</t>
  </si>
  <si>
    <t>LED00020832</t>
  </si>
  <si>
    <t>Đèn LED ốp trần LN12 220x220/18W 6500K</t>
  </si>
  <si>
    <t>LED00034040</t>
  </si>
  <si>
    <t>Đèn LED ốp trần LN09 225/18W 6500K (hayne) SS</t>
  </si>
  <si>
    <t>LED00035993</t>
  </si>
  <si>
    <t>Đèn LED ốp trần đổi màu LN12N 300/24W SS</t>
  </si>
  <si>
    <t>LED00073793</t>
  </si>
  <si>
    <t>Đèn LED ốp trần LN29N 220x220/18W 6500K</t>
  </si>
  <si>
    <t>LED00078038</t>
  </si>
  <si>
    <t>Đèn LED ốp trần LN30N 300/24W 6500K</t>
  </si>
  <si>
    <t>LED00083642</t>
  </si>
  <si>
    <t>Đèn LED ốp trần LN12N 170/12W 6500K</t>
  </si>
  <si>
    <t>LED00083649</t>
  </si>
  <si>
    <t>Đèn LED ốp trần LN12N 220x220/18W 6500K</t>
  </si>
  <si>
    <t>LED00083676</t>
  </si>
  <si>
    <t>Đèn LED ốp trần đổi màu LN12 220x220/22W</t>
  </si>
  <si>
    <t>PHN00018876</t>
  </si>
  <si>
    <t>Phích xuất khẩu 1040 N2 IMT</t>
  </si>
  <si>
    <t>PHN00020269</t>
  </si>
  <si>
    <t>PHN00021496</t>
  </si>
  <si>
    <t>PHN00022864</t>
  </si>
  <si>
    <t>Phích xuất khẩu 2065 N1.E Yemen</t>
  </si>
  <si>
    <t>PHN00023120</t>
  </si>
  <si>
    <t>PHN00024085</t>
  </si>
  <si>
    <t>Bình ủ RD 1300 TS2.E HT</t>
  </si>
  <si>
    <t>PHN00024280</t>
  </si>
  <si>
    <t>Phích xuất khẩu 1038 N3 SP</t>
  </si>
  <si>
    <t>PHN00025659</t>
  </si>
  <si>
    <t>Phích xuất khẩu 0940 N1.E DAC</t>
  </si>
  <si>
    <t>PHN00025663</t>
  </si>
  <si>
    <t>Phích xuất khẩu 1640 TS3 DAC</t>
  </si>
  <si>
    <t>PHN00026974</t>
  </si>
  <si>
    <t>Phích xuất khẩu 1640 ST2 MLL</t>
  </si>
  <si>
    <t>PHN00027111</t>
  </si>
  <si>
    <t>PHN00027987</t>
  </si>
  <si>
    <t>PHN00000024</t>
  </si>
  <si>
    <t>Ruột phích RD 0,5L (RF-0540-C2) loại trần</t>
  </si>
  <si>
    <t>PHN00000029</t>
  </si>
  <si>
    <t>Ruột phích RD 0,75L (RF-27000) loại trần</t>
  </si>
  <si>
    <t>PHN00001057</t>
  </si>
  <si>
    <t>Ruột phích 1040 loại trần</t>
  </si>
  <si>
    <t>PHN00001089</t>
  </si>
  <si>
    <t>Ruột phích RD 1.0L (RF-1055-MC)loại trần</t>
  </si>
  <si>
    <t>PHN00001378</t>
  </si>
  <si>
    <t>Ruột phích 1045 loại trần XK</t>
  </si>
  <si>
    <t>PHN00001393</t>
  </si>
  <si>
    <t>Ruột phích Q-H 1.0L (RP-1040)loại trần</t>
  </si>
  <si>
    <t>PHN00010771</t>
  </si>
  <si>
    <t>PHN00011182</t>
  </si>
  <si>
    <t>Ruột phích RD 0.27L (RF-02740-A3) loại trần</t>
  </si>
  <si>
    <t>PHN00011944</t>
  </si>
  <si>
    <t>Ruột phích RD 1.5L (RF-1542-HEN) loại trần</t>
  </si>
  <si>
    <t>PHN00017758</t>
  </si>
  <si>
    <t>Ruột phích RD 1.0L (RF-1042-BL) loại trần</t>
  </si>
  <si>
    <t>PHN00019797</t>
  </si>
  <si>
    <t>Ruột phích RD 1.9L (RF-1942-HAC) 1019 EU loại trần</t>
  </si>
  <si>
    <t>PHN00019798</t>
  </si>
  <si>
    <t>Ruột phích RD 1.9L (RF-1945-HAC) HG1019F loại trần</t>
  </si>
  <si>
    <t>PHN00021441</t>
  </si>
  <si>
    <t>Ruột phích RD 1.0L (RF-1042 MC4-GU) loại trần</t>
  </si>
  <si>
    <t>PHN00026090</t>
  </si>
  <si>
    <t>Ruột phích RD 1.9L (RF-1948-HB) loại trần</t>
  </si>
  <si>
    <t>PHN00001112</t>
  </si>
  <si>
    <t>Ruột phích RD 2.2L (RF-Y2245-MC)</t>
  </si>
  <si>
    <t>PHN00001384</t>
  </si>
  <si>
    <t>Ruột phích cháo</t>
  </si>
  <si>
    <t>PHN00005256</t>
  </si>
  <si>
    <t>Ruột phích RD 1.5L (RF-1565)</t>
  </si>
  <si>
    <t>PHN00010784</t>
  </si>
  <si>
    <t>Ruột phích RD 1.9L (RF-1945-JOR)</t>
  </si>
  <si>
    <t>PHN00010766</t>
  </si>
  <si>
    <t>PHN00011047</t>
  </si>
  <si>
    <t>PHN00011616</t>
  </si>
  <si>
    <t>Phích xuất khẩu 1340 ST2 Andalosia</t>
  </si>
  <si>
    <t>PHN00012753</t>
  </si>
  <si>
    <t>Phích xuất khẩu 1542 N2.E AFH</t>
  </si>
  <si>
    <t>PHN00014943</t>
  </si>
  <si>
    <t>PHN00014963</t>
  </si>
  <si>
    <t>PHN00015366</t>
  </si>
  <si>
    <t>Phích xuất khẩu 2545 ST1.E UNITERMI</t>
  </si>
  <si>
    <t>PHN00015675</t>
  </si>
  <si>
    <t>PHN00017589</t>
  </si>
  <si>
    <t>Phích xuất khẩu 1038 N1 WIC</t>
  </si>
  <si>
    <t>PHN00018869</t>
  </si>
  <si>
    <t>Phích xuất khẩu 1040 TS2 ALK</t>
  </si>
  <si>
    <t>PHN00018871</t>
  </si>
  <si>
    <t>Phích xuất khẩu 1640 TS2 ALK</t>
  </si>
  <si>
    <t>PHN00018940</t>
  </si>
  <si>
    <t>Phích xuất khẩu 1040 N2 ALK</t>
  </si>
  <si>
    <t>PHN00018945</t>
  </si>
  <si>
    <t>PHN00019774</t>
  </si>
  <si>
    <t>Phích xuất khẩu 1542 N4.E Yemen</t>
  </si>
  <si>
    <t>PHN00020784</t>
  </si>
  <si>
    <t>Phích xuất khẩu 1045 N1.E EFF</t>
  </si>
  <si>
    <t>PHN00020889</t>
  </si>
  <si>
    <t>Phích xuất khẩu 1045 N1.E NAS</t>
  </si>
  <si>
    <t>PHN00021331</t>
  </si>
  <si>
    <t>PHN00024084</t>
  </si>
  <si>
    <t>Phích xuất khẩu 1040 N2 OAC</t>
  </si>
  <si>
    <t>PHN00024134</t>
  </si>
  <si>
    <t>Phích xuất khẩu 1640 TS4 ALK</t>
  </si>
  <si>
    <t>PHN00024575</t>
  </si>
  <si>
    <t>Phích xuất khẩu 2065 N1.E SAM</t>
  </si>
  <si>
    <t>PHN00025479</t>
  </si>
  <si>
    <t>Phích xuất khẩu 0940 N2.E SAM</t>
  </si>
  <si>
    <t>PHN00026844</t>
  </si>
  <si>
    <t>Phích xuất khẩu 1840 (KD) TER</t>
  </si>
  <si>
    <t>PHN00001375</t>
  </si>
  <si>
    <t>Ruột phích 1040 loại trần XK</t>
  </si>
  <si>
    <t>PHN00001396</t>
  </si>
  <si>
    <t>Ruột phích RD 1.0L (RF-1042G-GM)loại trần</t>
  </si>
  <si>
    <t>PHN00008418</t>
  </si>
  <si>
    <t>Ruột phích RD 1.0L (RF-7009011) loại trần</t>
  </si>
  <si>
    <t>PHN00011186</t>
  </si>
  <si>
    <t>Ruột phích RD 1.0L (RF-MG12101100) loại trần</t>
  </si>
  <si>
    <t>PHN00011626</t>
  </si>
  <si>
    <t>Ruột phích MG12134050 (RF-0536-HC) loại trần</t>
  </si>
  <si>
    <t>PHN00015835</t>
  </si>
  <si>
    <t>Ruột phích RD 3.5L (RF-3545-BL) loại trần</t>
  </si>
  <si>
    <t>PHN00019747</t>
  </si>
  <si>
    <t>Ruột phích RD 1.0L (RF-7009001) loại trần</t>
  </si>
  <si>
    <t>PHN00019792</t>
  </si>
  <si>
    <t>Ruột phích RD 1.3L (RF-1342-HAC) 1013 EU loại trần</t>
  </si>
  <si>
    <t>PHN00000027</t>
  </si>
  <si>
    <t>Ruột phích RD 0,75L (RF-07540-D1)</t>
  </si>
  <si>
    <t>PHN00011617</t>
  </si>
  <si>
    <t>Phích xuất khẩu 1640 ST2 Andalosia</t>
  </si>
  <si>
    <t>PHN00013096</t>
  </si>
  <si>
    <t>Phích xuất khẩu 1640 ST2 AFH</t>
  </si>
  <si>
    <t>PHN00013206</t>
  </si>
  <si>
    <t>PHN00013482</t>
  </si>
  <si>
    <t>Phích xuất khẩu 1040 ST2.E Abu</t>
  </si>
  <si>
    <t>PHN00014709</t>
  </si>
  <si>
    <t>Phích xuất khẩu 1040 ST2.E PTI</t>
  </si>
  <si>
    <t>PHN00014961</t>
  </si>
  <si>
    <t>PHN00015045</t>
  </si>
  <si>
    <t>Phích xuất khẩu 1040 ST2.E IMT</t>
  </si>
  <si>
    <t>PHN00015887</t>
  </si>
  <si>
    <t>Phích xuất khẩu 2045 TS2.E Yemen</t>
  </si>
  <si>
    <t>PHN00017590</t>
  </si>
  <si>
    <t>Phích xuất khẩu 2035 N1.E WIC</t>
  </si>
  <si>
    <t>PHN00018877</t>
  </si>
  <si>
    <t>Phích xuất khẩu 1055 N1.E IMT</t>
  </si>
  <si>
    <t>PHN00019426</t>
  </si>
  <si>
    <t>PHN00020241</t>
  </si>
  <si>
    <t>Phích xuất khẩu 1340 TS3 ALK</t>
  </si>
  <si>
    <t>PHN00021332</t>
  </si>
  <si>
    <t>Phích xuất khẩu 04528 N2 Basa</t>
  </si>
  <si>
    <t>PHN00023817</t>
  </si>
  <si>
    <t>Bình giữ nhiệt inox RD-BGN05ST1.E</t>
  </si>
  <si>
    <t>PHN00028733</t>
  </si>
  <si>
    <t>Phích xuất khẩu 1038 N3 Yemen</t>
  </si>
  <si>
    <t>PHN00000028</t>
  </si>
  <si>
    <t>Ruột phích RD 0,75L (RF-07540-D1) loại trần</t>
  </si>
  <si>
    <t>PHN00001097</t>
  </si>
  <si>
    <t>Ruột phích RD 1.0L (RF-Y1040G-MC)loại trần</t>
  </si>
  <si>
    <t>PHN00004128</t>
  </si>
  <si>
    <t>Ruột phích RD 0.9L (RF-0937)loại trần</t>
  </si>
  <si>
    <t>PHN00011942</t>
  </si>
  <si>
    <t>Ruột phích RD 1.9L (RF-1945-HEN) loại trần</t>
  </si>
  <si>
    <t>PHN00021316</t>
  </si>
  <si>
    <t>Ruột phích RD 1.0L (RF-1042-LC) loại trần</t>
  </si>
  <si>
    <t>PHN00021433</t>
  </si>
  <si>
    <t>Ruột phích RD 1.0L (RF-1050-DO) loại trần</t>
  </si>
  <si>
    <t>PHN00022083</t>
  </si>
  <si>
    <t>Ruột phích RD 1.0L (RF-1042-WJ) KM loại trần</t>
  </si>
  <si>
    <t>PHN00025509</t>
  </si>
  <si>
    <t>Ruột phích RD 1.0L (RF-1042-DC) loại trần</t>
  </si>
  <si>
    <t>PHN00001056</t>
  </si>
  <si>
    <t>PHN00010776</t>
  </si>
  <si>
    <t>Ruột phích RD 1.0L (RF-1042-BL)</t>
  </si>
  <si>
    <t>PHN00010782</t>
  </si>
  <si>
    <t>Ruột phích RD 1.3L (RF-1340-JOR)</t>
  </si>
  <si>
    <t>PHN00010783</t>
  </si>
  <si>
    <t>Ruột phích RD 1.6L (RF-1640-JOR)</t>
  </si>
  <si>
    <t>PHN00011393</t>
  </si>
  <si>
    <t>Ruột phích RD 0.5L (RF-0540-S2)</t>
  </si>
  <si>
    <t>PHN00011394</t>
  </si>
  <si>
    <t>Ruột phích RD 1.0L (RF-1042-DF)</t>
  </si>
  <si>
    <t>PHN00011990</t>
  </si>
  <si>
    <t>Ruột phích RD 0.75L (RF-07528-HS)</t>
  </si>
  <si>
    <t>PHN00011994</t>
  </si>
  <si>
    <t>Ruột phích RD 0.65L (RF-06545-IT)</t>
  </si>
  <si>
    <t>00000098</t>
  </si>
  <si>
    <t>Khung treo đèn Panel âm trần 15x120</t>
  </si>
  <si>
    <t>00000466</t>
  </si>
  <si>
    <t>Driver Panel 40W- DE HC (bắt dây và luyện)</t>
  </si>
  <si>
    <t>LED00005663</t>
  </si>
  <si>
    <t>Bóng đèn (LED PAR30N/7W) E27 á/s trắng S</t>
  </si>
  <si>
    <t>LED00005741</t>
  </si>
  <si>
    <t>Đèn LED dây 100/7w 4000K</t>
  </si>
  <si>
    <t>LED00026539</t>
  </si>
  <si>
    <t>Driver U8KCF - 50W</t>
  </si>
  <si>
    <t>LED00032795</t>
  </si>
  <si>
    <t>Bộ Driver LED dây LD01.9W CCT</t>
  </si>
  <si>
    <t>LED00039396</t>
  </si>
  <si>
    <t>Driver U8KC-25W-48V (IDF) HC</t>
  </si>
  <si>
    <t>LED00053692</t>
  </si>
  <si>
    <t>Module LED đèn đường LIOA 200W 4000K</t>
  </si>
  <si>
    <t>LED00056225</t>
  </si>
  <si>
    <t>Đèn LED dây RD-LD01.9W 3000K (100m)-CT</t>
  </si>
  <si>
    <t>LED00061664</t>
  </si>
  <si>
    <t>Vợt bắt muỗi VBM RD.03-CT</t>
  </si>
  <si>
    <t>LED00062559</t>
  </si>
  <si>
    <t>Đèn LED dây LD03 đổi màu 1000/9W (220V-100m)</t>
  </si>
  <si>
    <t>LED00064652</t>
  </si>
  <si>
    <t>Bộ Driver LED dây LD02 1000/7W,9W</t>
  </si>
  <si>
    <t>LED00065030</t>
  </si>
  <si>
    <t>Driver P06 40W PF 0.9 HC</t>
  </si>
  <si>
    <t>LED00065822</t>
  </si>
  <si>
    <t>Đèn Led dây RD-LD01.7W.GOV 3000K</t>
  </si>
  <si>
    <t>LED00066797</t>
  </si>
  <si>
    <t>Bộ phụ kiện RAY LED.48 (1m)</t>
  </si>
  <si>
    <t>LED00067259</t>
  </si>
  <si>
    <t>Đèn LED dây LD03 1000/7W 3000K (220V-100m)-CT</t>
  </si>
  <si>
    <t>LED00067261</t>
  </si>
  <si>
    <t>Đèn LED dây LD03 1000/9W 3000K (220V-100m)-CT</t>
  </si>
  <si>
    <t>LED00072927</t>
  </si>
  <si>
    <t>Đèn LED thanh chuyên dụng T-BigFish 840A 1140/24W (KN)</t>
  </si>
  <si>
    <t>LED00073386</t>
  </si>
  <si>
    <t>Đèn LED thanh chuyên dụng T-Malbec 780C 700/12W (KN)</t>
  </si>
  <si>
    <t>LED00073762</t>
  </si>
  <si>
    <t>Đèn LED thanh chuyên dụng T-711E 500/7W (KN)</t>
  </si>
  <si>
    <t>LED00077600</t>
  </si>
  <si>
    <t>Bộ phụ kiện Tube T8 LT 1200/30W (XK)</t>
  </si>
  <si>
    <t>LED00069129</t>
  </si>
  <si>
    <t>Đèn LED Ốp trần đổi màu MXL1070 L20K9027 (Niken,Yankon)</t>
  </si>
  <si>
    <t>LED00069137</t>
  </si>
  <si>
    <t>Đèn LED Downlight đổi màu MQTL1217-L85K9027S (6c/h,Yankon)</t>
  </si>
  <si>
    <t>LED00069143</t>
  </si>
  <si>
    <t>Đèn LED Ốp trần đổi màu MXL1139-L42K9027H (Đen,Yankon)</t>
  </si>
  <si>
    <t>LED00075527</t>
  </si>
  <si>
    <t>Đèn LED Downlight AT05 200/30W.GOV.V2 6500K</t>
  </si>
  <si>
    <t>LED00075669</t>
  </si>
  <si>
    <t>Đèn LED Downlight AT04 110/12W.PLUS IP44 6500K</t>
  </si>
  <si>
    <t>LED00076054</t>
  </si>
  <si>
    <t>Đèn LED Downlight AT10 90/8W 3000K</t>
  </si>
  <si>
    <t>LED00080015</t>
  </si>
  <si>
    <t>Đèn LED Downlight AT05 170/20W.GOV.V2.DALI 4000K</t>
  </si>
  <si>
    <t>LED00080804</t>
  </si>
  <si>
    <t>Đèn LED downlight AT25 108x208/22Wx2.PLUS 6500K</t>
  </si>
  <si>
    <t>LED00081350</t>
  </si>
  <si>
    <t>VÀNH LED DOWLIGHT LDF170-W ( VOLTEX-WHITE)</t>
  </si>
  <si>
    <t>LED00082661</t>
  </si>
  <si>
    <t>Đèn LED Downlight đổi màu AT02 110/10W</t>
  </si>
  <si>
    <t>LED00083372</t>
  </si>
  <si>
    <t>Đèn LED Downlight AT05 90/10W.PLUS 6500K</t>
  </si>
  <si>
    <t>00000558</t>
  </si>
  <si>
    <t>Đèn LED ốp trần (D LN 03L/9W)-trắng S</t>
  </si>
  <si>
    <t>LED00005311</t>
  </si>
  <si>
    <t>Đèn LED ốp trần LN09 225/18W 3000K (Black) SS</t>
  </si>
  <si>
    <t>LED00025801</t>
  </si>
  <si>
    <t>Đèn LED ốp trần LN08 170x170/12W.DA 6500K</t>
  </si>
  <si>
    <t>LED00035980</t>
  </si>
  <si>
    <t>Đèn LED ốp trần LN12 300x300/30W 6500K SS</t>
  </si>
  <si>
    <t>LED00039661</t>
  </si>
  <si>
    <t>Đèn LED ốp trần LN12N 220x220/18W 3000K SS</t>
  </si>
  <si>
    <t>LED00045443</t>
  </si>
  <si>
    <t>Đèn LED ốp trần đổi màu LN12N 300x300/24W SS-CT</t>
  </si>
  <si>
    <t>LED00050871</t>
  </si>
  <si>
    <t>Đèn LED ốp trần LN09 300/24W 3000K SS-CT</t>
  </si>
  <si>
    <t>LED00051407</t>
  </si>
  <si>
    <t>Đèn LED ốp trần LN12 220x220/22W 6500K-TC</t>
  </si>
  <si>
    <t>LED00056539</t>
  </si>
  <si>
    <t>Đèn LED ốp trần LN08 170x170/15W 6500K</t>
  </si>
  <si>
    <t>LED00056545</t>
  </si>
  <si>
    <t>Đèn LED ốp trần LN08 220x220/22W 6500K</t>
  </si>
  <si>
    <t>LED00056562</t>
  </si>
  <si>
    <t>Đèn LED ốp trần LN09 170/15W 6500K</t>
  </si>
  <si>
    <t>LED00056753</t>
  </si>
  <si>
    <t>Driver OT LN08-09.V2 24W HC trùng tên</t>
  </si>
  <si>
    <t>LED00048018</t>
  </si>
  <si>
    <t>Bộ nguồn điều khiển LED dây LD01 1000/9W.QT</t>
  </si>
  <si>
    <t>LED00050348</t>
  </si>
  <si>
    <t>Bộ điều khiển đèn đường RD-CSD.ĐK02</t>
  </si>
  <si>
    <t>LED00051035</t>
  </si>
  <si>
    <t>Bảng điều khiển cảnh RD-SC06.CN</t>
  </si>
  <si>
    <t>LED00051461</t>
  </si>
  <si>
    <t>Đèn LED Downlight điều khiển Remote AT20.RM4 90/7W.C6</t>
  </si>
  <si>
    <t>LED00054399</t>
  </si>
  <si>
    <t>Bộ đèn LED thủy sinh TS03.WB 1200/25W (12VDC)</t>
  </si>
  <si>
    <t>LED00054413</t>
  </si>
  <si>
    <t>Bộ đèn LED thủy sinh TS03.WBRUV 1200/25W (12VDC)</t>
  </si>
  <si>
    <t>LED00054424</t>
  </si>
  <si>
    <t>Bộ đèn LED thủy sinh TS03.WBR 1200/30W (12VDC)</t>
  </si>
  <si>
    <t>LED00055444</t>
  </si>
  <si>
    <t>Bộ vỏ hình vuông CTCU.BLE S1.03 (trắng, FPT, SGBR0112)</t>
  </si>
  <si>
    <t>LED00055453</t>
  </si>
  <si>
    <t>Bộ vỏ chữ nhật CTCU.BLE R1.02 (đen, FPT, SGBR027)</t>
  </si>
  <si>
    <t>LED00055456</t>
  </si>
  <si>
    <t>Bộ vỏ chữ nhật CTCU.BLE R1.04 (trắng, FPT, SGBR024)</t>
  </si>
  <si>
    <t>LED00059758</t>
  </si>
  <si>
    <t>Công tắc cảm ứng vuông CTCU.BLE V.02T MN</t>
  </si>
  <si>
    <t>LED00064138</t>
  </si>
  <si>
    <t>Công tắc cảm ứng vuông CTCU.BLE V.DOT</t>
  </si>
  <si>
    <t>LED00065701</t>
  </si>
  <si>
    <t>Đèn LED Downlight đổi màu AT41.BLE 86/12W (FPT)</t>
  </si>
  <si>
    <t>LED00065846</t>
  </si>
  <si>
    <t>Công tắc cảm ứng chữ nhật CTCU.WF CN.REMT.2W.SP</t>
  </si>
  <si>
    <t>LED00066314</t>
  </si>
  <si>
    <t>Đèn LED NLMT MXL2149 5000K Yankon</t>
  </si>
  <si>
    <t>LED00066745</t>
  </si>
  <si>
    <t>Công tắc chuyển mạch 2 chiều CTAT2C.BLE V1.3</t>
  </si>
  <si>
    <t>LED00068063</t>
  </si>
  <si>
    <t>Bộ đèn LED Tube dự phòng T8.DP M11/22Wx1 6500K-PCCC (BV TĐ)</t>
  </si>
  <si>
    <t>LED00068512</t>
  </si>
  <si>
    <t>Ổ cắm Wifi đơn OC.01.WF 16A-CT</t>
  </si>
  <si>
    <t>LED00070007</t>
  </si>
  <si>
    <t>Đèn điều hòa phòng tắm âm trần DHPT 300x600/2250W</t>
  </si>
  <si>
    <t>LED00070775</t>
  </si>
  <si>
    <t>Công tắc cảm ứng vuông CTCU.WF V.02T.2W.SP</t>
  </si>
  <si>
    <t>LED00071659</t>
  </si>
  <si>
    <t>Công tắc cảm ứng chữ nhật CTCU.WF CN.02T.DF</t>
  </si>
  <si>
    <t>LED00074333</t>
  </si>
  <si>
    <t>Đèn LED Downlight AT24 110/10W.GOV 3000K.IP54</t>
  </si>
  <si>
    <t>LED00075212</t>
  </si>
  <si>
    <t>Hệ điện áp mái NLMT SLS.1P 8KW</t>
  </si>
  <si>
    <t>LED00076553</t>
  </si>
  <si>
    <t>Công tắc cảm ứng chữ nhật CTCU.WF CN.01T(trắng, FPT, CSC)</t>
  </si>
  <si>
    <t>PHN00011622</t>
  </si>
  <si>
    <t>Ruột phích RD 0.5L (RF-0540-S2) loại trần</t>
  </si>
  <si>
    <t>PHN00016801</t>
  </si>
  <si>
    <t>Ruột phích RD 1.0L (RF-2466-Thermos) loại trần</t>
  </si>
  <si>
    <t>PHN00017686</t>
  </si>
  <si>
    <t>Ruột phích RD 1.0L (RF-1040-A0-BL) loại trần</t>
  </si>
  <si>
    <t>PHN00019755</t>
  </si>
  <si>
    <t>Ruột phích RD 3.2L (RF-3240-SLI) loại trần</t>
  </si>
  <si>
    <t>PHN00021996</t>
  </si>
  <si>
    <t>Ruột phích RD 1.0L (RF-1040T-Yemen) loại trần</t>
  </si>
  <si>
    <t>PHN00025468</t>
  </si>
  <si>
    <t>Ruột phích 28764 loại trần</t>
  </si>
  <si>
    <t>PHN00026972</t>
  </si>
  <si>
    <t>Ruột phích 0980-0.9L loại trần</t>
  </si>
  <si>
    <t>PHN00000022</t>
  </si>
  <si>
    <t>PHN00001063</t>
  </si>
  <si>
    <t>Ruột phích 1636</t>
  </si>
  <si>
    <t>PHN00001096</t>
  </si>
  <si>
    <t>Ruột phích RD 1.0L (RF-Y1040G-MC)</t>
  </si>
  <si>
    <t>PHN00001403</t>
  </si>
  <si>
    <t>Ruột phích RP1640 XK</t>
  </si>
  <si>
    <t>PHN00003872</t>
  </si>
  <si>
    <t>Ruột phích RD 1.0L (RF-37476)</t>
  </si>
  <si>
    <t>PHN00010894</t>
  </si>
  <si>
    <t>Ruột phích RD 3.0L (RF-3045-HX)</t>
  </si>
  <si>
    <t>PHN00011045</t>
  </si>
  <si>
    <t>Ruột phích RD 0.27L (RF-02740-A3)</t>
  </si>
  <si>
    <t>PHN00011804</t>
  </si>
  <si>
    <t>Ruột phích RD 3.5L (RF-3545-HX)</t>
  </si>
  <si>
    <t>PHN00012557</t>
  </si>
  <si>
    <t>Ruột phích RD 3.0L (RF-3045-BL)</t>
  </si>
  <si>
    <t>PHN00018015</t>
  </si>
  <si>
    <t>Ruột phích RD 1.0L (RF-2466-PL)</t>
  </si>
  <si>
    <t>PHN00019748</t>
  </si>
  <si>
    <t>Ruột phích RD 1.0L (RF-7009001)</t>
  </si>
  <si>
    <t>PHN00022622</t>
  </si>
  <si>
    <t>Ruột phích RD 1.0L (RF-1042-DT)</t>
  </si>
  <si>
    <t>00000541</t>
  </si>
  <si>
    <t>Driver LED C/s đường 200W-Inventronic EUG2</t>
  </si>
  <si>
    <t>LED00029229</t>
  </si>
  <si>
    <t>Module LED LVRoom light-LG3-25W-3CCT</t>
  </si>
  <si>
    <t>LED00037839</t>
  </si>
  <si>
    <t>Đèn LED dây LD01.R 1000/7W RED (AC 220V-100m)</t>
  </si>
  <si>
    <t>LED00039332</t>
  </si>
  <si>
    <t>Driver U8KC-50W-48V (IDF) HC</t>
  </si>
  <si>
    <t>LED00040316</t>
  </si>
  <si>
    <t>Driver U8KCF-30W-36V (NEO) HC</t>
  </si>
  <si>
    <t>LED00041187</t>
  </si>
  <si>
    <t>Đèn LED dẫn hướng DH01 650/9W 3000K</t>
  </si>
  <si>
    <t>LED00050860</t>
  </si>
  <si>
    <t>Đèn LED dây đổi màu RD-LD01.9W-CT</t>
  </si>
  <si>
    <t>LED00051675</t>
  </si>
  <si>
    <t>Driver 320x1280/40W LLC PER HC (MBar Direct )</t>
  </si>
  <si>
    <t>LED00051692</t>
  </si>
  <si>
    <t>Driver 320x1280/40W LLC PER  TC (MBar Direct )</t>
  </si>
  <si>
    <t>LED00053793</t>
  </si>
  <si>
    <t>Module LED đèn cảnh quan LIOA D700 75W 4000K</t>
  </si>
  <si>
    <t>PHN00000986</t>
  </si>
  <si>
    <t>Phích trà 1045TS-1L</t>
  </si>
  <si>
    <t>PHN00001371</t>
  </si>
  <si>
    <t>Phích trà 1040-MK-1L</t>
  </si>
  <si>
    <t>PHN00001580</t>
  </si>
  <si>
    <t>PHN00003056</t>
  </si>
  <si>
    <t>Phích đựng nước 2 lít N6</t>
  </si>
  <si>
    <t>PHN00005243</t>
  </si>
  <si>
    <t>PHN00011398</t>
  </si>
  <si>
    <t>Phích 3245 N2 CHIL</t>
  </si>
  <si>
    <t>PHN00011403</t>
  </si>
  <si>
    <t>Phích xuất khẩu 1040 ST2 Abu</t>
  </si>
  <si>
    <t>PHN00011762</t>
  </si>
  <si>
    <t>Phích xuất khẩu 1045 N1.E Yemen</t>
  </si>
  <si>
    <t>PHN00011772</t>
  </si>
  <si>
    <t>Phích xuất khẩu 1340 ST2 Esam</t>
  </si>
  <si>
    <t>PHN00011792</t>
  </si>
  <si>
    <t>Phích xuất khẩu 2045 TS.E TRD</t>
  </si>
  <si>
    <t>PHN00011794</t>
  </si>
  <si>
    <t>Phích xuất khẩu 2545 ST1.E TRD</t>
  </si>
  <si>
    <t>PHN00012236</t>
  </si>
  <si>
    <t>Phích xuất khẩu 1040 N2 Yemen</t>
  </si>
  <si>
    <t>PHN00012554</t>
  </si>
  <si>
    <t>Phích xuất khẩu 1045 N1.E (PP) Yemen</t>
  </si>
  <si>
    <t>PHN00013481</t>
  </si>
  <si>
    <t>Phích xuất khẩu 1040 N2 Abu</t>
  </si>
  <si>
    <t>PHN00013542</t>
  </si>
  <si>
    <t>Phích xuất khẩu 1040 ST2 FCI</t>
  </si>
  <si>
    <t>PHN00014456</t>
  </si>
  <si>
    <t>Phích 1235 N1-1.2 lít (COOP)</t>
  </si>
  <si>
    <t>PHN00015815</t>
  </si>
  <si>
    <t>Phích xuất khẩu 0940 N1.E ALK</t>
  </si>
  <si>
    <t>PHN00016003</t>
  </si>
  <si>
    <t>Phích xuất khẩu 2545 ST1.E Abu</t>
  </si>
  <si>
    <t>PHN00018335</t>
  </si>
  <si>
    <t>Phích xuất khẩu 3240 ST1 IMT</t>
  </si>
  <si>
    <t>PHN00018786</t>
  </si>
  <si>
    <t>Phích xuất khẩu 2035 N6 MUT</t>
  </si>
  <si>
    <t>PHN00019730</t>
  </si>
  <si>
    <t>PHN00020310</t>
  </si>
  <si>
    <t>Phích xuất khẩu 1355 TS2 IMT</t>
  </si>
  <si>
    <t>PHN00020676</t>
  </si>
  <si>
    <t>Phích xuất khẩu 1040 TS1 LLT</t>
  </si>
  <si>
    <t>PHN00020679</t>
  </si>
  <si>
    <t>Phích xuất khẩu 2045 TS.E LLT</t>
  </si>
  <si>
    <t>PHN00022009</t>
  </si>
  <si>
    <t>PHN00023748</t>
  </si>
  <si>
    <t>Phích xuất khẩu 0940 N1.E RAT</t>
  </si>
  <si>
    <t>PHN00026146</t>
  </si>
  <si>
    <t>Phích xuất khẩu 1640 ST2 Esam</t>
  </si>
  <si>
    <t>PHN00000036</t>
  </si>
  <si>
    <t>Ruột phích RD 2,5L (RF-2545-SP)loại trần</t>
  </si>
  <si>
    <t>PHN00001071</t>
  </si>
  <si>
    <t>Ruột phích RD 0.45L(RS-04528-MC)loại trần</t>
  </si>
  <si>
    <t>PHN00020239</t>
  </si>
  <si>
    <t>Phích xuất khẩu 1040 TS3 ALK</t>
  </si>
  <si>
    <t>PHN00020734</t>
  </si>
  <si>
    <t>Phích xuất khẩu 2545 ST6.QT IMT</t>
  </si>
  <si>
    <t>PHN00021333</t>
  </si>
  <si>
    <t>Phích xuất khẩu 1038 N2 Basa</t>
  </si>
  <si>
    <t>PHN00023089</t>
  </si>
  <si>
    <t>Phích xuất khẩu 1040 N1.E ALK</t>
  </si>
  <si>
    <t>PHN00024132</t>
  </si>
  <si>
    <t>Phích xuất khẩu 1040 TS4 ALK</t>
  </si>
  <si>
    <t>PHN00025292</t>
  </si>
  <si>
    <t>Bình giữ nhiệt inox RD-BGN06ST1.QT</t>
  </si>
  <si>
    <t>PHN00025993</t>
  </si>
  <si>
    <t>Bình giữ nhiệt inox RD-BGN10ST1</t>
  </si>
  <si>
    <t>PHN00026027</t>
  </si>
  <si>
    <t>Phích xuất khẩu 697 MUT</t>
  </si>
  <si>
    <t>PHN00001068</t>
  </si>
  <si>
    <t>Ruột phích 2L loại trần</t>
  </si>
  <si>
    <t>PHN00001081</t>
  </si>
  <si>
    <t>Ruột phích RD 1.0L (RF-1040-MC)loại trần</t>
  </si>
  <si>
    <t>PHN00001103</t>
  </si>
  <si>
    <t>Ruột phích RD 1.9L (D99984-9)loại trần</t>
  </si>
  <si>
    <t>PHN00001319</t>
  </si>
  <si>
    <t>Ruột phích 1,2L loại trần</t>
  </si>
  <si>
    <t>PHN00002703</t>
  </si>
  <si>
    <t>Ruột phích RD 1.0L (RF-0940) loại trần</t>
  </si>
  <si>
    <t>PHN00009007</t>
  </si>
  <si>
    <t>Ruột phích RD 1.8L (RF-38481) loại trần</t>
  </si>
  <si>
    <t>PHN00011621</t>
  </si>
  <si>
    <t>Ruột phích RD 1.0L (RF-1040-S0) loại trần</t>
  </si>
  <si>
    <t>PHN00026840</t>
  </si>
  <si>
    <t>Ruột phích 1542-G loại trần</t>
  </si>
  <si>
    <t>PHN00001069</t>
  </si>
  <si>
    <t>Ruột phích 2L trần MN</t>
  </si>
  <si>
    <t>PHN00001380</t>
  </si>
  <si>
    <t>Ruột phích 1L loại 1</t>
  </si>
  <si>
    <t>PHN00005009</t>
  </si>
  <si>
    <t>Ruột phích RD 0.75L(Y-07538-LB)</t>
  </si>
  <si>
    <t>PHN00010718</t>
  </si>
  <si>
    <t>PHN00010787</t>
  </si>
  <si>
    <t>Ruột phích RD 3.0L (RF-3045-HEN)</t>
  </si>
  <si>
    <t>PHN00020682</t>
  </si>
  <si>
    <t>PHN00021303</t>
  </si>
  <si>
    <t>Ruột phích 2.0L (RF-2035 SAI)</t>
  </si>
  <si>
    <t>PHN00021997</t>
  </si>
  <si>
    <t>Ruột phích RD 1.0L (RF-1040T-Yemen)</t>
  </si>
  <si>
    <t>PHN00022620</t>
  </si>
  <si>
    <t>Ruột phích RD 1.0L (RF-1042-DP)</t>
  </si>
  <si>
    <t>PHN00025999</t>
  </si>
  <si>
    <t>Ruột phích RD 1.0L (RF-1042-YL)</t>
  </si>
  <si>
    <t>00000088</t>
  </si>
  <si>
    <t>Đèn LED âm đất 12W (D AD01L/12W)-Trắng</t>
  </si>
  <si>
    <t>LED00026592</t>
  </si>
  <si>
    <t>Driver U4KC  - 40W_35V</t>
  </si>
  <si>
    <t>LED00030463</t>
  </si>
  <si>
    <t>Đèn LED dây 100/7w trắng</t>
  </si>
  <si>
    <t>LED00038113</t>
  </si>
  <si>
    <t>Phụ kiện nối dài đèn linear LR01</t>
  </si>
  <si>
    <t>PHN00001370</t>
  </si>
  <si>
    <t>Phích Nhựa 997-2L</t>
  </si>
  <si>
    <t>PHN00011359</t>
  </si>
  <si>
    <t>Phích xuất khẩu 2.0L (RD-2035 N10.E)</t>
  </si>
  <si>
    <t>PHN00011405</t>
  </si>
  <si>
    <t>Phích xuất khẩu 1045 TS.E Abu</t>
  </si>
  <si>
    <t>PHN00011646</t>
  </si>
  <si>
    <t>Phích xuất khẩu 1235 N1 Yemen</t>
  </si>
  <si>
    <t>PHN00011758</t>
  </si>
  <si>
    <t>Phích xuất khẩu 04528 N1 TRD</t>
  </si>
  <si>
    <t>PHN00011783</t>
  </si>
  <si>
    <t>Phích xuất khẩu 1045 N1.E TRD</t>
  </si>
  <si>
    <t>PHN00011791</t>
  </si>
  <si>
    <t>Phích xuất khẩu 2035 N5 TRD</t>
  </si>
  <si>
    <t>PHN00012553</t>
  </si>
  <si>
    <t>Phích xuất khẩu 1045 N1.E (ABS) Yemen</t>
  </si>
  <si>
    <t>PHN00012751</t>
  </si>
  <si>
    <t>Phích xuất khẩu 1040 ST2.E AFH</t>
  </si>
  <si>
    <t>PHN00015356</t>
  </si>
  <si>
    <t>PHN00016104</t>
  </si>
  <si>
    <t>Phích xuất khẩu 1040 N1.E IMT</t>
  </si>
  <si>
    <t>PHN00018223</t>
  </si>
  <si>
    <t>Phích đựng nước 2035TS3 – 2,0 lít</t>
  </si>
  <si>
    <t>PHN00020894</t>
  </si>
  <si>
    <t>Phích xuất khẩu 2545 ST1.E NAS</t>
  </si>
  <si>
    <t>PHN00022102</t>
  </si>
  <si>
    <t>Phích xuất khẩu 1023 TS.E Yemen</t>
  </si>
  <si>
    <t>PHN00023740</t>
  </si>
  <si>
    <t>Phích xuất khẩu 2065 N1.E ALK</t>
  </si>
  <si>
    <t>PHN00023797</t>
  </si>
  <si>
    <t>PHN00024570</t>
  </si>
  <si>
    <t>Phích xuất khẩu 0940 N1.E SAM</t>
  </si>
  <si>
    <t>PHN00024584</t>
  </si>
  <si>
    <t>Phích xuất khẩu 1235 N1 APT</t>
  </si>
  <si>
    <t>PHN00025087</t>
  </si>
  <si>
    <t>PHN00025332</t>
  </si>
  <si>
    <t>Phích đựng nước RD-1040TS5.INO - 1L</t>
  </si>
  <si>
    <t>PHN00025998</t>
  </si>
  <si>
    <t>Bình giữ nhiệt inox RD-BGN05ST3.E</t>
  </si>
  <si>
    <t>PHN00028316</t>
  </si>
  <si>
    <t>Phích xuất khẩu 0940 N1.E AAI</t>
  </si>
  <si>
    <t>PHN00028801</t>
  </si>
  <si>
    <t>Phích xuất khẩu 1040 N2 RFM</t>
  </si>
  <si>
    <t>PHN00002749</t>
  </si>
  <si>
    <t>Ruột phích 2L loại trần (nối thân)</t>
  </si>
  <si>
    <t>PHN00009449</t>
  </si>
  <si>
    <t>Ruột phích 3240-3,2L loại trần</t>
  </si>
  <si>
    <t>PHN00011071</t>
  </si>
  <si>
    <t>Ruột phích RD 3.0L (RF-3045-GL) loại trần</t>
  </si>
  <si>
    <t>PHN00021899</t>
  </si>
  <si>
    <t>Ruột phích RD 1.0L (RF-1042-LB) loại trần</t>
  </si>
  <si>
    <t>PHN00022580</t>
  </si>
  <si>
    <t>Ruột phích RD 1.6L (RF-1640-Yemen) loại trần</t>
  </si>
  <si>
    <t>PHN00023489</t>
  </si>
  <si>
    <t>Ruột phích RD 1.8L (RF-1840-SAN) loại trần</t>
  </si>
  <si>
    <t>PHN00024213</t>
  </si>
  <si>
    <t>Ruột phích RD 2.0L (RF-2035-BL) loại trần</t>
  </si>
  <si>
    <t>PHN00000031</t>
  </si>
  <si>
    <t>Ruột phích RD 2,0L (RF-2035-ID)</t>
  </si>
  <si>
    <t>LED00084143</t>
  </si>
  <si>
    <t>Hệ điện áp mái NLMT SLS.R1P 10KW V2</t>
  </si>
  <si>
    <t>LED00084421</t>
  </si>
  <si>
    <t>Đèn LED ốp trần LN12.RAD 220/18W 4000K</t>
  </si>
  <si>
    <t>00000187</t>
  </si>
  <si>
    <t>Đui đèn chống thấm nước E27 IP54</t>
  </si>
  <si>
    <t>LED00060348</t>
  </si>
  <si>
    <t>Ổ cắm đa năng OC05 3C/5M/10A</t>
  </si>
  <si>
    <t>LED00060363</t>
  </si>
  <si>
    <t>Ổ cắm đa năng OC06 6C/5M/10A</t>
  </si>
  <si>
    <t>LED00068474</t>
  </si>
  <si>
    <t>Ổ cắm đa năng OC05 3C/5M/10A-CT</t>
  </si>
  <si>
    <t>LED00071163</t>
  </si>
  <si>
    <t>Ổ cắm đa năng công suất cao OC10 3C/6000W (không dây)</t>
  </si>
  <si>
    <t>LED00074755</t>
  </si>
  <si>
    <t>Aptomat ngắn mạch RD.MCB 1P1E 50A</t>
  </si>
  <si>
    <t>LED00074763</t>
  </si>
  <si>
    <t>Aptomat ngắn mạch RD.MCB 2P2E 32A</t>
  </si>
  <si>
    <t>PHN00000007</t>
  </si>
  <si>
    <t>PHN00000965</t>
  </si>
  <si>
    <t>Phích 1055-1L</t>
  </si>
  <si>
    <t>PHN00000981</t>
  </si>
  <si>
    <t>PHN00001309</t>
  </si>
  <si>
    <t>Phích (VF-1045 N1.E-1,0L)-White- TOMIC</t>
  </si>
  <si>
    <t>PHN00001356</t>
  </si>
  <si>
    <t>Phích Nhựa 1099-2L</t>
  </si>
  <si>
    <t>PHN00005244</t>
  </si>
  <si>
    <t>Phích 2035 N3-2Lít (MB)</t>
  </si>
  <si>
    <t>PHN00011048</t>
  </si>
  <si>
    <t>PHN00011645</t>
  </si>
  <si>
    <t>Phích xuất khẩu 1565 N1.E Yemen</t>
  </si>
  <si>
    <t>PHN00011785</t>
  </si>
  <si>
    <t>Phích xuất khẩu 1055 ST1.E TRD</t>
  </si>
  <si>
    <t>PHN00011789</t>
  </si>
  <si>
    <t>Phích xuất khẩu 1640 ST2 TRD</t>
  </si>
  <si>
    <t>PHN00012409</t>
  </si>
  <si>
    <t>PHN00012418</t>
  </si>
  <si>
    <t>Phích xuất khẩu 2045 ST1.E Israel</t>
  </si>
  <si>
    <t>PHN00013097</t>
  </si>
  <si>
    <t>Phích xuất khẩu 1340 ST2 AFH</t>
  </si>
  <si>
    <t>PHN00013540</t>
  </si>
  <si>
    <t>Phích xuất khẩu 1235 N1 FCI</t>
  </si>
  <si>
    <t>PHN00013548</t>
  </si>
  <si>
    <t>Phích xuất khẩu 2035 N5 FCI</t>
  </si>
  <si>
    <t>PHN00013661</t>
  </si>
  <si>
    <t>PHN00013665</t>
  </si>
  <si>
    <t>Phích xuất khẩu 0940 N1.E EFF</t>
  </si>
  <si>
    <t>PHN00011188</t>
  </si>
  <si>
    <t>Ruột phích RD 1,3L (RF-1340)</t>
  </si>
  <si>
    <t>PHN00011395</t>
  </si>
  <si>
    <t>Ruột phích RD 1.5L (RF-1542-DF)</t>
  </si>
  <si>
    <t>PHN00017685</t>
  </si>
  <si>
    <t>Ruột phích RD 1.0L (RF-1040-A0-BL)</t>
  </si>
  <si>
    <t>00000089</t>
  </si>
  <si>
    <t>Đèn LED âm đất 12W (D AD01L/12W)-vàng</t>
  </si>
  <si>
    <t>00000525</t>
  </si>
  <si>
    <t>Jack M684-C*3 pin IP68</t>
  </si>
  <si>
    <t>LED00005662</t>
  </si>
  <si>
    <t>Bóng đèn (LED PAR30N/7W) E27 á/s vàng S</t>
  </si>
  <si>
    <t>LED00005729</t>
  </si>
  <si>
    <t>Đèn LED Chỉ dẫn CD01 40x20/2.2W (1 mặt)</t>
  </si>
  <si>
    <t>LED00005765</t>
  </si>
  <si>
    <t>Đèn bắt muỗi UV LED (D BM01L/4W)</t>
  </si>
  <si>
    <t>LED00026538</t>
  </si>
  <si>
    <t>Driver U8KCF - 25W</t>
  </si>
  <si>
    <t>LED00033403</t>
  </si>
  <si>
    <t>Tủ điều khiển chiếu sáng (cụm đèn 25kW)</t>
  </si>
  <si>
    <t>LED00035247</t>
  </si>
  <si>
    <t>Đèn LED dây RD-LD01.7W 4000K</t>
  </si>
  <si>
    <t>LED00037847</t>
  </si>
  <si>
    <t>Đèn LED dây LD01 1000/9W 4000K (AC 220V-100m)</t>
  </si>
  <si>
    <t>LED00040314</t>
  </si>
  <si>
    <t>Driver U8KCF-40W-36V (NEO) HC</t>
  </si>
  <si>
    <t>LED00045108</t>
  </si>
  <si>
    <t>Driver PN060-120042.F KC V1 (TOP-E) HC</t>
  </si>
  <si>
    <t>LED00046609</t>
  </si>
  <si>
    <t>Vợt bắt muỗi VBM RD.01-CT</t>
  </si>
  <si>
    <t>LED00048185</t>
  </si>
  <si>
    <t>Driver PN06 25W KC HC</t>
  </si>
  <si>
    <t>LED00050836</t>
  </si>
  <si>
    <t>Bộ Driver LED dây LD01.7W-CT</t>
  </si>
  <si>
    <t>LED00050840</t>
  </si>
  <si>
    <t>Bộ phụ kiện nối dài LD01.9W-CT</t>
  </si>
  <si>
    <t>LED00051672</t>
  </si>
  <si>
    <t>Driver 320x1280/40W LLC PER  TC (MBar)</t>
  </si>
  <si>
    <t>LED00059814</t>
  </si>
  <si>
    <t>Đèn LED dây LD02 1000/7W 6500K (100m)</t>
  </si>
  <si>
    <t>LED00061693</t>
  </si>
  <si>
    <t>Đèn LED dây LD03 1000/7W 3000K (220V-100m)</t>
  </si>
  <si>
    <t>LED00063916</t>
  </si>
  <si>
    <t>Đèn LED dây LD02 1000/7W 3000K (50m)</t>
  </si>
  <si>
    <t>LED00064650</t>
  </si>
  <si>
    <t>Bộ phụ kiện nối dài LD02 1000/7W,9W</t>
  </si>
  <si>
    <t>LED00075681</t>
  </si>
  <si>
    <t>Đèn LED dây LD01 1000/10W 4000K (DC 24V-5m, XK)</t>
  </si>
  <si>
    <t>LED00079547</t>
  </si>
  <si>
    <t>Tủ aptomat âm tường TAT01-18 (nhựa)</t>
  </si>
  <si>
    <t>LED00080931</t>
  </si>
  <si>
    <t>Đèn LED trang trí  thả trần 3946-840RP trắng-3000K</t>
  </si>
  <si>
    <t>LED00066335</t>
  </si>
  <si>
    <t>Đèn LED Downlight xoay góc đổi màu AT39 76/12W</t>
  </si>
  <si>
    <t>LED00066337</t>
  </si>
  <si>
    <t>Đèn LED Downlight  đổi màu AT41 86/12W</t>
  </si>
  <si>
    <t>LED00068505</t>
  </si>
  <si>
    <t>Đèn LED Downlight đổi màu LD9T90-W Voltex (XK Úc)-CT</t>
  </si>
  <si>
    <t>LED00072798</t>
  </si>
  <si>
    <t>Đèn LED Downlight MQTL1238-8in_18W/27W/34W (Yankon)</t>
  </si>
  <si>
    <t>LED00073045</t>
  </si>
  <si>
    <t>Đèn LED Downlight AT05.V3 2000/30W 4000K (XK)</t>
  </si>
  <si>
    <t>LED00075745</t>
  </si>
  <si>
    <t>Đèn LED Downlight AT10 90/8W 6500K</t>
  </si>
  <si>
    <t>LED00077037</t>
  </si>
  <si>
    <t>Đèn LED Downlight AT45 54/12W 4000K-(Đen bóng)</t>
  </si>
  <si>
    <t>LED00077105</t>
  </si>
  <si>
    <t>Đèn LED Downlight AT04 110/10W 4000K</t>
  </si>
  <si>
    <t>LED00078019</t>
  </si>
  <si>
    <t>Đèn LED Downlight AT10 90/8W 6500K (G)</t>
  </si>
  <si>
    <t>LED00078643</t>
  </si>
  <si>
    <t>Đèn LED Downlight AT56 90/10W 6500K (G)</t>
  </si>
  <si>
    <t>LED00078785</t>
  </si>
  <si>
    <t>Đèn LED Downlight đổi màu AT46 90/8W (G)</t>
  </si>
  <si>
    <t>LED00079384</t>
  </si>
  <si>
    <t>Đèn LED Downlight AT24 90/10W.PLUS IP44 6500K</t>
  </si>
  <si>
    <t>LED00080443</t>
  </si>
  <si>
    <t>Đèn LED downlight AT07 120/25W.GOV.V2.DIM 6500K</t>
  </si>
  <si>
    <t>LED00080543</t>
  </si>
  <si>
    <t>Đèn LED Panel MXL1198 4inch/10W 5CCT (Yankon)</t>
  </si>
  <si>
    <t>LED00081381</t>
  </si>
  <si>
    <t>Đèn LED Downlight AT04 110/10W 6500K-CT</t>
  </si>
  <si>
    <t>LED00082593</t>
  </si>
  <si>
    <t>Đèn LED Downlight AT05 90/8W 5700K (XK)</t>
  </si>
  <si>
    <t>LED00083220</t>
  </si>
  <si>
    <t>Đèn LED Panel MXL1198 6inch/12W 5CCT (Yankon)</t>
  </si>
  <si>
    <t>LED00083371</t>
  </si>
  <si>
    <t>Đèn LED Downlight AT05 90/8W.PLUS 6500K</t>
  </si>
  <si>
    <t>LED00005332</t>
  </si>
  <si>
    <t>Đèn LED ốp trần LN08 230x230/18W 3000K</t>
  </si>
  <si>
    <t>LED00005831</t>
  </si>
  <si>
    <t>Đèn LED ốp trần LN09 350x350/14W 6500K SS</t>
  </si>
  <si>
    <t>LED00015335</t>
  </si>
  <si>
    <t>Đèn LED ốp trần LN03 320/20W 6500K (Ilshine) SS</t>
  </si>
  <si>
    <t>LED00025799</t>
  </si>
  <si>
    <t>Đèn LED ốp trần LN09 300/24W.DA 6500K SS</t>
  </si>
  <si>
    <t>LED00025800</t>
  </si>
  <si>
    <t>Đèn LED ốp trần đổi màu LN03 480/50W</t>
  </si>
  <si>
    <t>LED00038555</t>
  </si>
  <si>
    <t>Đèn bàn LED cảm ứng RD-RL-39 7W</t>
  </si>
  <si>
    <t>LED00042836</t>
  </si>
  <si>
    <t>Công tắc cảm ứng RD-CT.01 (Trắng)</t>
  </si>
  <si>
    <t>LED00043785</t>
  </si>
  <si>
    <t>Công tắc cảm ứng RD-CT.02.BLE</t>
  </si>
  <si>
    <t>LED00044858</t>
  </si>
  <si>
    <t>Bộ đèn LED thủy sinh đổi màu TS01.RGB 450/24W</t>
  </si>
  <si>
    <t>LED00045204</t>
  </si>
  <si>
    <t>Đèn LED Downlight đổi màu AT20.BLE.RGBCW 110/9W</t>
  </si>
  <si>
    <t>LED00045449</t>
  </si>
  <si>
    <t>Đèn bàn LED cảm ứng RD-RL-36 6W SS-CT</t>
  </si>
  <si>
    <t>LED00047077</t>
  </si>
  <si>
    <t>Công tắc cảm ứng CTCU.BLE.F SNL1.02</t>
  </si>
  <si>
    <t>LED00047474</t>
  </si>
  <si>
    <t>Bộ nguồn điều khiển LED dây LD01.BLE.RGB 1000/7W (FPT)</t>
  </si>
  <si>
    <t>LED00047645</t>
  </si>
  <si>
    <t>Côngtắc cảm ứng chữ nhật CTCU.BLE RL2.04(Trắng,FPT)</t>
  </si>
  <si>
    <t>LED00048297</t>
  </si>
  <si>
    <t>Đèn LED Downlight đổi màu AT20.BLE 110/9W (FPT)</t>
  </si>
  <si>
    <t>LED00049016</t>
  </si>
  <si>
    <t>Cảm biến độ ẩm đất NN CB04-NN.SM.LR</t>
  </si>
  <si>
    <t>LED00051010</t>
  </si>
  <si>
    <t>Công tắc cảm ứng chữ nhật CTCU.BLE CN.03T</t>
  </si>
  <si>
    <t>LED00051018</t>
  </si>
  <si>
    <t>Công tắc cảm ứng chữ nhật CTCU.BLE CN.04T</t>
  </si>
  <si>
    <t>LED00051028</t>
  </si>
  <si>
    <t>Công tắc cảm ứng chữ nhật CTCU.WF CN.04T</t>
  </si>
  <si>
    <t>LED00051033</t>
  </si>
  <si>
    <t>Công tắc cảm ứng vuông CTCU.WF V.04T</t>
  </si>
  <si>
    <t>LED00051459</t>
  </si>
  <si>
    <t>Đèn LED Downlight điều khiển Remote AT20.RM4 90/7W.C10</t>
  </si>
  <si>
    <t>LED00052951</t>
  </si>
  <si>
    <t>Đèn LED Chiếu pha NLMT CP02.SL.RF 30W.TC 6500K</t>
  </si>
  <si>
    <t>LED00053026</t>
  </si>
  <si>
    <t>Đèn LED sân vườn NLMT RD-DSV2204-3W 3000K</t>
  </si>
  <si>
    <t>LED00053036</t>
  </si>
  <si>
    <t>Đèn LED sân vườn NLMT RD-DSV2204-3W 6500K</t>
  </si>
  <si>
    <t>LED00053077</t>
  </si>
  <si>
    <t>Đèn bàn LED cảm ứng RD-RL-34 8W.PLUS</t>
  </si>
  <si>
    <t>LED00053407</t>
  </si>
  <si>
    <t>Bộ nguồn RD-DR 50W Step Dimming (KC)</t>
  </si>
  <si>
    <t>LED00053646</t>
  </si>
  <si>
    <t>Đèn bàn LED cảm ứng RD-RL-45 6W</t>
  </si>
  <si>
    <t>LED00054951</t>
  </si>
  <si>
    <t>Công tắc cảm ứng chữ nhật CTCU.BLE CN.DOT.NC (cửa cuốn)</t>
  </si>
  <si>
    <t>LED00058357</t>
  </si>
  <si>
    <t>Bộ sạc ắc quy NLMT SA01.SL 200W</t>
  </si>
  <si>
    <t>PHN00015836</t>
  </si>
  <si>
    <t>Ruột phích RD 3.5L (RF-3545-BL)</t>
  </si>
  <si>
    <t>PHN00022579</t>
  </si>
  <si>
    <t>Ruột phích RD 1.6L (RF-1640-Yemen)</t>
  </si>
  <si>
    <t>PHN00023488</t>
  </si>
  <si>
    <t>Ruột phích RD 1.8L (RF-1840-SAN)</t>
  </si>
  <si>
    <t>PHN00026346</t>
  </si>
  <si>
    <t>Ruột phích RD 2.0L (RF-2035-PCP)</t>
  </si>
  <si>
    <t>00000100</t>
  </si>
  <si>
    <t>Thanh đỡ đèn Led M15L 60x60</t>
  </si>
  <si>
    <t>LED00005763</t>
  </si>
  <si>
    <t>LED dây (LED 5050 12VDC/IP65)-Vàng</t>
  </si>
  <si>
    <t>LED00029580</t>
  </si>
  <si>
    <t>Driver PNL 320x640-25W CCT V1 KC HC (Home)</t>
  </si>
  <si>
    <t>LED00037652</t>
  </si>
  <si>
    <t>Bóng LED Sunlike MR16 4W GU5.3 2700K(SSC)</t>
  </si>
  <si>
    <t>LED00038223</t>
  </si>
  <si>
    <t>Bộ lưu điện NLMT đa năng LD01.SL/5W 6500K</t>
  </si>
  <si>
    <t>LED00050953</t>
  </si>
  <si>
    <t>Đèn bắt côn trùng DCT01.DA 8W</t>
  </si>
  <si>
    <t>LED00055730</t>
  </si>
  <si>
    <t>Bộ đèn LED Linear LR01 1000/20W 4000K</t>
  </si>
  <si>
    <t>LED00060357</t>
  </si>
  <si>
    <t>Đèn LED dây LD03 1000/9W 6500K (220V-100m)</t>
  </si>
  <si>
    <t>LED00062350</t>
  </si>
  <si>
    <t>Đèn LED dây LD01 5000/40W 3000K (CRI 90, XK)</t>
  </si>
  <si>
    <t>LED00062851</t>
  </si>
  <si>
    <t>Đèn bắt muỗi DBM02 400x250/4W</t>
  </si>
  <si>
    <t>LED00063917</t>
  </si>
  <si>
    <t>Đèn LED dây LD02 1000/7W 6500K (50m)</t>
  </si>
  <si>
    <t>LED00063922</t>
  </si>
  <si>
    <t>Đèn LED dây LD03 1000/9W 6500K (220V-50m)</t>
  </si>
  <si>
    <t>LED00066792</t>
  </si>
  <si>
    <t>Bộ phụ kiện nối thẳng RAY LED.48/NT</t>
  </si>
  <si>
    <t>LED00066795</t>
  </si>
  <si>
    <t>Bộ phụ kiện hộp nguồn RAY LED.48/HN</t>
  </si>
  <si>
    <t>LED00072694</t>
  </si>
  <si>
    <t>Đèn LED dây Pixel LDP01.DMX.RGB 0.8W</t>
  </si>
  <si>
    <t>LED00075162</t>
  </si>
  <si>
    <t>Đèn LED dây LD01 1000/10W 3500K (DC 12V-5m, XK)</t>
  </si>
  <si>
    <t>LED00075388</t>
  </si>
  <si>
    <t>Đèn bắt muỗi DBM02 400x250/4W-CT</t>
  </si>
  <si>
    <t>LED00075682</t>
  </si>
  <si>
    <t>Đèn LED dây LD01 1000/10W 3000K (DC 24V-5m, XK)</t>
  </si>
  <si>
    <t>LED00080091</t>
  </si>
  <si>
    <t>Đèn Led dây RD-LD.12W.GOV (IP) 3000K</t>
  </si>
  <si>
    <t>LED00080934</t>
  </si>
  <si>
    <t>Đèn trang trí hình pha lê LP8651 trắng (không bóng)</t>
  </si>
  <si>
    <t>LED00083195</t>
  </si>
  <si>
    <t>Đèn Led dây RD-LD.6W.GOV (IP) 3000K</t>
  </si>
  <si>
    <t>LED00084357</t>
  </si>
  <si>
    <t>Đèn LED dây UHE4 10W/m NW 6m 4000K (CRI 90, XK)</t>
  </si>
  <si>
    <t>PHN00015816</t>
  </si>
  <si>
    <t>Phích xuất khẩu 1565 N1.E ALK</t>
  </si>
  <si>
    <t>PHN00018252</t>
  </si>
  <si>
    <t>Phích xuất khẩu 1040 ST2.E Esam Nâu</t>
  </si>
  <si>
    <t>PHN00019736</t>
  </si>
  <si>
    <t>Phích xuất khẩu 1040 TS3 Yemen</t>
  </si>
  <si>
    <t>PHN00019737</t>
  </si>
  <si>
    <t>Phích xuất khẩu 1340 TS3 Yemen</t>
  </si>
  <si>
    <t>PHN00020112</t>
  </si>
  <si>
    <t>PHN00021624</t>
  </si>
  <si>
    <t>Phích xuất khẩu 2545 ST1.E ALK</t>
  </si>
  <si>
    <t>PHN00023610</t>
  </si>
  <si>
    <t>Phích xuất khẩu 2035 N3 NAT</t>
  </si>
  <si>
    <t>PHN00023819</t>
  </si>
  <si>
    <t>Bình giữ nhiệt inox RD-BGN045ST1</t>
  </si>
  <si>
    <t>PHN00028501</t>
  </si>
  <si>
    <t>Phích đựng nước RD 1055 TS-DHD</t>
  </si>
  <si>
    <t>PHN00000032</t>
  </si>
  <si>
    <t>Ruột phích RD 2,0L (RF-2035-ID)loại trần</t>
  </si>
  <si>
    <t>PHN00001087</t>
  </si>
  <si>
    <t>Ruột phích RD 1.0L (RF-1045-T)loại trần</t>
  </si>
  <si>
    <t>PHN00001099</t>
  </si>
  <si>
    <t>Ruột phích RD 1.8L (RF-1840-T1) loại trần</t>
  </si>
  <si>
    <t>PHN00005232</t>
  </si>
  <si>
    <t>Ruột phích 09540 loại trần (không viên đệm)</t>
  </si>
  <si>
    <t>PHN00016780</t>
  </si>
  <si>
    <t>Ruột phích RD 1.0L (RF-1042-GM) loại trần</t>
  </si>
  <si>
    <t>PHN00016799</t>
  </si>
  <si>
    <t>Ruột phích RD 1.0L (RF-1045-Thermos) loại trần</t>
  </si>
  <si>
    <t>PHN00018016</t>
  </si>
  <si>
    <t>Ruột phích RD 1.0L (RF-2466-PL) loại trần</t>
  </si>
  <si>
    <t>PHN00018303</t>
  </si>
  <si>
    <t>Ruột phích RD 1.0L (RF-1055-GM) loại trần</t>
  </si>
  <si>
    <t>PHN00021306</t>
  </si>
  <si>
    <t>Ruột phích RD 2.5L (RF-2545-SAI) loại trần</t>
  </si>
  <si>
    <t>PHN00021431</t>
  </si>
  <si>
    <t>Ruột phích RD 0.8L (RF-0842-LC) loại trần</t>
  </si>
  <si>
    <t>PHN00022862</t>
  </si>
  <si>
    <t>Ruột phích RD 2.0L (RF-2065-Yemen) loại trần</t>
  </si>
  <si>
    <t>PHN00026976</t>
  </si>
  <si>
    <t>Ruột phích RD 0.5L (RF-0541-DX) loại trần</t>
  </si>
  <si>
    <t>PHN00027373</t>
  </si>
  <si>
    <t>Ruột phích RD 1.5L (RF-1542-DF) loại trần</t>
  </si>
  <si>
    <t>PHN00000023</t>
  </si>
  <si>
    <t>Ruột phích RD 0,5L (RF-0540-C2)</t>
  </si>
  <si>
    <t>PHN00000025</t>
  </si>
  <si>
    <t>Ruột phích RD 0,5L (RF-31655)</t>
  </si>
  <si>
    <t>PHN00001106</t>
  </si>
  <si>
    <t>Ruột phích RD 1.9L (RF-1948-MC)</t>
  </si>
  <si>
    <t>PHN00001381</t>
  </si>
  <si>
    <t>Ruột phích 2545</t>
  </si>
  <si>
    <t>PHN00002702</t>
  </si>
  <si>
    <t>Ruột phích RD 0.9L (RF-0940)</t>
  </si>
  <si>
    <t>PHN00010775</t>
  </si>
  <si>
    <t>Ruột phích RD 1.0L (RF-1037-LU)</t>
  </si>
  <si>
    <t>PHN00011805</t>
  </si>
  <si>
    <t>Ruột phích RD 2.5L (RF-2545-HX)</t>
  </si>
  <si>
    <t>LED00054559</t>
  </si>
  <si>
    <t>Driver PN06 25W KC HC Mbar Direct</t>
  </si>
  <si>
    <t>LED00058738</t>
  </si>
  <si>
    <t>Đèn LED thanh chuyên dụng T-Malbec 740C 1140/30W (KN)</t>
  </si>
  <si>
    <t>LED00062548</t>
  </si>
  <si>
    <t>Đèn Led dây RD-LD01.7W.GOV 4000K</t>
  </si>
  <si>
    <t>LED00066226</t>
  </si>
  <si>
    <t>Bộ nguồn điều khiển LED Bulb ECO FLAT 40W</t>
  </si>
  <si>
    <t>LED00075683</t>
  </si>
  <si>
    <t>Đèn LED dây LD01 1000/10W 3500K (DC 24V-5m, XK)</t>
  </si>
  <si>
    <t>LED00076036</t>
  </si>
  <si>
    <t>Đèn LED dây LD04 1000/13W 3000K (24V-5m)</t>
  </si>
  <si>
    <t>LED00080420</t>
  </si>
  <si>
    <t>Tai treo Panel 60x60</t>
  </si>
  <si>
    <t>LED00083045</t>
  </si>
  <si>
    <t>Đèn LED thanh chuyên dụng T-Malbec 770D 1140/23W (KN)</t>
  </si>
  <si>
    <t>LED00083588</t>
  </si>
  <si>
    <t>Đèn LED dây HE8B 9.6W/m WW 3000K (CRI 90, XK)</t>
  </si>
  <si>
    <t>PHN00001321</t>
  </si>
  <si>
    <t>Vỏ phích inox 0,5L/T-Termolar</t>
  </si>
  <si>
    <t>PHN00004557</t>
  </si>
  <si>
    <t>Ruột phích RD 0.75L (RF-0737)loại trần</t>
  </si>
  <si>
    <t>PHN00011542</t>
  </si>
  <si>
    <t>Ruột phích RD 1.0L (RF-2466B-GM) loại trần</t>
  </si>
  <si>
    <t>PHN00000035</t>
  </si>
  <si>
    <t>Ruột phích RD 2,5L (RF-2545-SP)</t>
  </si>
  <si>
    <t>PHN00001090</t>
  </si>
  <si>
    <t>Ruột phích RD 1.0L (RF-2466-MC)</t>
  </si>
  <si>
    <t>PHN00010715</t>
  </si>
  <si>
    <t>PHN00010781</t>
  </si>
  <si>
    <t>Ruột phích RD 1.0L (RF-2466-XD)</t>
  </si>
  <si>
    <t>PHN00010785</t>
  </si>
  <si>
    <t>Ruột phích RD 1.9L (RF-1948-DF) DA</t>
  </si>
  <si>
    <t>PHN00011819</t>
  </si>
  <si>
    <t>PHN00011943</t>
  </si>
  <si>
    <t>Ruột phích RD 1.9L (RF-1945-HEN)</t>
  </si>
  <si>
    <t>PHN00013479</t>
  </si>
  <si>
    <t>Ruột phích RD 1.5L (RF-1546-HEN)</t>
  </si>
  <si>
    <t>PHN00021436</t>
  </si>
  <si>
    <t>Ruột phích RD 0.45L (RF-04538-GU)</t>
  </si>
  <si>
    <t>LED00005643</t>
  </si>
  <si>
    <t>Tai treo Panel 30x30</t>
  </si>
  <si>
    <t>LED00005646</t>
  </si>
  <si>
    <t>ống gá đèn Downlight A AT02L-25W</t>
  </si>
  <si>
    <t>LED00005660</t>
  </si>
  <si>
    <t>Bóng đèn (LED PAR30/5W) E27 á/s trắng</t>
  </si>
  <si>
    <t>LED00005764</t>
  </si>
  <si>
    <t>LED dây (LED 5050 12VDC/IP65)-Trắng</t>
  </si>
  <si>
    <t>LED00032253</t>
  </si>
  <si>
    <t>Đèn LED dây RD-LD01.7W 6500K</t>
  </si>
  <si>
    <t>LED00032796</t>
  </si>
  <si>
    <t>Bộ Driver LED dây LD01.9W</t>
  </si>
  <si>
    <t>LED00033356</t>
  </si>
  <si>
    <t>Vợt bắt muỗi VBM RD.01</t>
  </si>
  <si>
    <t>LED00033405</t>
  </si>
  <si>
    <t>Tủ điều khiển chiếu sáng (Gateway)</t>
  </si>
  <si>
    <t>LED00039353</t>
  </si>
  <si>
    <t>Driver U8KC-40W-36V (IDF) HC</t>
  </si>
  <si>
    <t>LED00039361</t>
  </si>
  <si>
    <t>Driver U8KCF-30W-36V (IDF) HC</t>
  </si>
  <si>
    <t>LED00065115</t>
  </si>
  <si>
    <t>Driver P06.UGR.T 50W HC</t>
  </si>
  <si>
    <t>LED00066004</t>
  </si>
  <si>
    <t>Bộ nguồn điều kiển LED linear LC 38W 250-350mA flexC lp ADV</t>
  </si>
  <si>
    <t>LED00066794</t>
  </si>
  <si>
    <t>Bộ phụ kiện nối xoay góc RAY LED.48/NXG</t>
  </si>
  <si>
    <t>LED00075184</t>
  </si>
  <si>
    <t>Đèn LED dây LD01.B 1000/7W BLUE (AC 220V-100m)-CT</t>
  </si>
  <si>
    <t>LED00076137</t>
  </si>
  <si>
    <t>Đèn LED dây 1000/13W Neon Flex (24V-5m)</t>
  </si>
  <si>
    <t>LED00083039</t>
  </si>
  <si>
    <t>Đèn LED thanh chuyên dụng T-Malbec 770C 1140/22W (KN)</t>
  </si>
  <si>
    <t>LED00083624</t>
  </si>
  <si>
    <t>Tủ aptomat nổi tường TAT02-6 (kim loại)</t>
  </si>
  <si>
    <t>LED00084386</t>
  </si>
  <si>
    <t>Bộ khung panel MQL 1064 FRM LENS 2X4 NBT SKD (Current,YK)</t>
  </si>
  <si>
    <t>PHN00000017</t>
  </si>
  <si>
    <t>ROLLER 1,8L-STAINLESS STEEL</t>
  </si>
  <si>
    <t>PHN00001055</t>
  </si>
  <si>
    <t>ROLLER 1L-TALL STAINLESS STEEL</t>
  </si>
  <si>
    <t>PHN00001325</t>
  </si>
  <si>
    <t>Vỏ phích inox 1,0L-Termolar</t>
  </si>
  <si>
    <t>PHN00012412</t>
  </si>
  <si>
    <t>Vỏ phích inox 1,0L-Termolar (màu xanh)</t>
  </si>
  <si>
    <t>PHN00018344</t>
  </si>
  <si>
    <t>Bánh răng chuyển động dưới RD MX01 Yemen</t>
  </si>
  <si>
    <t>LED00039336</t>
  </si>
  <si>
    <t>Driver U8KC-50W-36V (IDF) HC</t>
  </si>
  <si>
    <t>LED00043354</t>
  </si>
  <si>
    <t>Đèn LED dây đổi màu LD01.BLE.RGB 1000/7W (200VDC-100m)</t>
  </si>
  <si>
    <t>LED00053694</t>
  </si>
  <si>
    <t>Module LED đèn đường LIOA 200W 5000K</t>
  </si>
  <si>
    <t>LED00054555</t>
  </si>
  <si>
    <t>Driver PN06 40W KC HC MBar direct</t>
  </si>
  <si>
    <t>LED00058734</t>
  </si>
  <si>
    <t>Đèn LED thanh chuyên dụng T-Malbec 720C 1140/22W (KN)</t>
  </si>
  <si>
    <t>LED00060282</t>
  </si>
  <si>
    <t>Thân đèn Worklight MPL-1026 (Yankon)</t>
  </si>
  <si>
    <t>LED00064651</t>
  </si>
  <si>
    <t>Bộ phụ kiện nối dài LD02 1000/9W</t>
  </si>
  <si>
    <t>LED00065339</t>
  </si>
  <si>
    <t>Bộ nguồn điều kiển đèn LED dây DC 50W 24V VST</t>
  </si>
  <si>
    <t>LED00079551</t>
  </si>
  <si>
    <t>Tủ aptomat nổi tường TAT02-14 (kim loại)</t>
  </si>
  <si>
    <t>LED00080408</t>
  </si>
  <si>
    <t>Tai treo Panel 30x120.</t>
  </si>
  <si>
    <t>LED00080932</t>
  </si>
  <si>
    <t>Đèn LED trang trí  thả trần 3946-840RP xám-3000K</t>
  </si>
  <si>
    <t>LED00080937</t>
  </si>
  <si>
    <t>Đèn trang trí hình pha lê LP8651 đen (không bóng)</t>
  </si>
  <si>
    <t>LED00083003</t>
  </si>
  <si>
    <t>Đèn LED thanh chuyên dụng T-Malbec 770B 1140/22W (KN)</t>
  </si>
  <si>
    <t>PHN00001327</t>
  </si>
  <si>
    <t>Vỏ phích inox 1,8L-Termolar</t>
  </si>
  <si>
    <t>PHN00018028</t>
  </si>
  <si>
    <t>Vỏ phích inox 1.8L - Invicta</t>
  </si>
  <si>
    <t>LED00084275</t>
  </si>
  <si>
    <t>Đèn LED dây SHE4 10W/m NW 6m 4000K (CRI 90, XK)</t>
  </si>
  <si>
    <t>LED00084381</t>
  </si>
  <si>
    <t>Bộ khung panel MQL 1064 FRM LENS 1X4 NBT SKD (Current,RD)</t>
  </si>
  <si>
    <t>LED00084384</t>
  </si>
  <si>
    <t>Bộ khung panel MQL 1064 FRM LENS 1X4 NBT SKD (Current,YK)</t>
  </si>
  <si>
    <t>PHN00001326</t>
  </si>
  <si>
    <t>Vỏ phích inox 1,8L-Aladin</t>
  </si>
  <si>
    <t>PHN00004609</t>
  </si>
  <si>
    <t>Vỏ phích inox 0,5L-Aladin</t>
  </si>
  <si>
    <t>PHN00025389</t>
  </si>
  <si>
    <t>Vỏ phích inox 1,8L-Termolar (Gold)</t>
  </si>
  <si>
    <t>PHN00001066</t>
  </si>
  <si>
    <t>Ruột phích 2045-ST1.E-2L</t>
  </si>
  <si>
    <t>PHN00001078</t>
  </si>
  <si>
    <t>Ruột phích RD 1.0L (RF-1040-CO)</t>
  </si>
  <si>
    <t>PHN00001100</t>
  </si>
  <si>
    <t>Ruột phích RD 1.8L (RF-27002)</t>
  </si>
  <si>
    <t>PHN00001392</t>
  </si>
  <si>
    <t>Ruột phích Q-H 1.0L (RP-1040)</t>
  </si>
  <si>
    <t>PHN00004127</t>
  </si>
  <si>
    <t>Ruột phích RD 0.9L (RF-0937)</t>
  </si>
  <si>
    <t>PHN00010716</t>
  </si>
  <si>
    <t>PHN00010786</t>
  </si>
  <si>
    <t>Ruột phích RD 1.9L (RF-1948-DF) DKA</t>
  </si>
  <si>
    <t>PHN00010891</t>
  </si>
  <si>
    <t>Ruột phích RD 1.0L (RF-1042-IR)</t>
  </si>
  <si>
    <t>PHN00011637</t>
  </si>
  <si>
    <t>Ruột phích RD 3.0L (RF-3045-DF)</t>
  </si>
  <si>
    <t>PHN00013093</t>
  </si>
  <si>
    <t>Ruột phích RD 1.0L (RF-1040G-CIR)</t>
  </si>
  <si>
    <t>PHN00019788</t>
  </si>
  <si>
    <t>Ruột phích RD 1.9L (RF-1945-HAC) HG1019F</t>
  </si>
  <si>
    <t>PHN00019790</t>
  </si>
  <si>
    <t>Ruột phích RD 1.9L (RF-1950-HAC) ADO 1900</t>
  </si>
  <si>
    <t>PHN00022345</t>
  </si>
  <si>
    <t>Ruột phích RD 1.0L (RF-2466-LC)</t>
  </si>
  <si>
    <t>PHN00025508</t>
  </si>
  <si>
    <t>Ruột phích RD 1.0L (RF-1042-DC)</t>
  </si>
  <si>
    <t>PHN00026977</t>
  </si>
  <si>
    <t>Ruột phích RD 0.5L (RF-0541-DX)</t>
  </si>
  <si>
    <t>PHN00028372</t>
  </si>
  <si>
    <t>Ruột phích RD 2.5L (RF-2545-HE)</t>
  </si>
  <si>
    <t>00000096</t>
  </si>
  <si>
    <t>Đầu đèn chuyển từ E27 sang E40</t>
  </si>
  <si>
    <t>00000551</t>
  </si>
  <si>
    <t>Đèn LED chỉ dẫn CD01 40x20/1,5W(1 mặt)</t>
  </si>
  <si>
    <t>LED00005670</t>
  </si>
  <si>
    <t>Đèn LED máy khâu D MK01L/1W-á/s trắng</t>
  </si>
  <si>
    <t>LED00029226</t>
  </si>
  <si>
    <t>Module LED Room light-LG1-25W-3CCT</t>
  </si>
  <si>
    <t>LED00032793</t>
  </si>
  <si>
    <t>Bộ phụ kiện nối dài LD01.9W</t>
  </si>
  <si>
    <t>LED00033473</t>
  </si>
  <si>
    <t>Driver PKL-40W KC HC</t>
  </si>
  <si>
    <t>LED00034434</t>
  </si>
  <si>
    <t>Đèn LED dây đổi màu RD-LD01.9W (100m)</t>
  </si>
  <si>
    <t>LED00036938</t>
  </si>
  <si>
    <t>Bộ đèn LED Linear LR01 1000/20W 6500K</t>
  </si>
  <si>
    <t>LED00039416</t>
  </si>
  <si>
    <t>Driver U8KC-20W-36V (IDF) HC</t>
  </si>
  <si>
    <t>LED00041086</t>
  </si>
  <si>
    <t>Tủ điều khiển chiếu sáng đường PLC 50A (V1)</t>
  </si>
  <si>
    <t>LED00046754</t>
  </si>
  <si>
    <t>Driver PN06 50W KC HC</t>
  </si>
  <si>
    <t>LED00050839</t>
  </si>
  <si>
    <t>Bộ phụ kiện nối dài LD01.7W-CT</t>
  </si>
  <si>
    <t>LED00027869</t>
  </si>
  <si>
    <t>Đèn LED Ốp trần MXL 1020 32W 4000K (Yankon)</t>
  </si>
  <si>
    <t>LED00046350</t>
  </si>
  <si>
    <t>Đèn LED ốp trần LN12 220/22W 6500K SS-CT</t>
  </si>
  <si>
    <t>LED00046832</t>
  </si>
  <si>
    <t>Vành lớn đèn ốp trần 480/40W GC chưa sơn</t>
  </si>
  <si>
    <t>LED00051077</t>
  </si>
  <si>
    <t>Đèn LED ốp trần LN12 300x300/30W 6500K-CTT</t>
  </si>
  <si>
    <t>LED00051079</t>
  </si>
  <si>
    <t>Đèn LED ốp trần LN12N 170x170/12W 6500K-CTT</t>
  </si>
  <si>
    <t>LED00051081</t>
  </si>
  <si>
    <t>Đèn LED ốp trần LN12N 220x220/18W 6500K-CTT</t>
  </si>
  <si>
    <t>LED00051411</t>
  </si>
  <si>
    <t>Đèn LED ốp trần LN12N 170x170/12W 6500K-TC</t>
  </si>
  <si>
    <t>LED00053925</t>
  </si>
  <si>
    <t>Đèn LED ốp trần LN09 120/8W 6500K SS</t>
  </si>
  <si>
    <t>LED00055314</t>
  </si>
  <si>
    <t>Đèn LED ốp trần LN09 120/8W 3000K SS</t>
  </si>
  <si>
    <t>LED00062096</t>
  </si>
  <si>
    <t>Đèn LED ốp trần đổi màu LN28.BLE 400/40W</t>
  </si>
  <si>
    <t>LED00063949</t>
  </si>
  <si>
    <t>Đèn LED Ốp trần Mắt cá MXTL1048 15W 4000K (Yankon)</t>
  </si>
  <si>
    <t>LED00066958</t>
  </si>
  <si>
    <t>Đèn LED ốp trần LN09 300/30W 3000K</t>
  </si>
  <si>
    <t>LED00083643</t>
  </si>
  <si>
    <t>Đèn LED ốp trần đổi màu LN12N 170/12W</t>
  </si>
  <si>
    <t>LED00005434</t>
  </si>
  <si>
    <t>Đèn LED Panel P01 300x1200/50W 3500K</t>
  </si>
  <si>
    <t>LED00005483</t>
  </si>
  <si>
    <t>Bộ đèn LED M15 300x1200/36W 6500K SS</t>
  </si>
  <si>
    <t>LED00024915</t>
  </si>
  <si>
    <t>Đèn LED Panel P07 300x1200/35W.DA 4000K (KPK) SS</t>
  </si>
  <si>
    <t>LED00030929</t>
  </si>
  <si>
    <t>Đèn LED Panel P01 200x1280/40W (TOP-KN) SS</t>
  </si>
  <si>
    <t>LED00031665</t>
  </si>
  <si>
    <t>Đèn LED Panel P07 600x600/40W.DA 6500K (KPK) SS</t>
  </si>
  <si>
    <t>LED00036200</t>
  </si>
  <si>
    <t>Đèn LED Panel P07 600x600/50W.DA 6500K (KPK) SS</t>
  </si>
  <si>
    <t>LED00036830</t>
  </si>
  <si>
    <t>Đèn LED Panel P07 150x1200/28W.DA 6500K (KPK) SS</t>
  </si>
  <si>
    <t>LED00037897</t>
  </si>
  <si>
    <t>Đèn LED Panel P01 180x640/25W 5700K (KC-TOP-KN) SS</t>
  </si>
  <si>
    <t>LED00040798</t>
  </si>
  <si>
    <t>Đèn LED Panel P09 320x1280/50W 5700K (KC-TOP-KN) SS</t>
  </si>
  <si>
    <t>LED00043142</t>
  </si>
  <si>
    <t>Đèn LED Panel P01 180x1280/40W 5700K (KC-TOP-KN) SS</t>
  </si>
  <si>
    <t>LED00043484</t>
  </si>
  <si>
    <t>Đèn LED Panel P09 640x640/50W.H 5700K (KC-TOP-KN)</t>
  </si>
  <si>
    <t>LED00076584</t>
  </si>
  <si>
    <t>Công tắc cảm ứng vuông CTCU.WF V.04T(Cham, FPT)</t>
  </si>
  <si>
    <t>LED00081637</t>
  </si>
  <si>
    <t>Đèn LED ốp trần LN12.RAD 220x220/18W (HL) 4000K</t>
  </si>
  <si>
    <t>LED00084163</t>
  </si>
  <si>
    <t>Hệ điện áp mái NLMT SLS.3P 100KW</t>
  </si>
  <si>
    <t>LED00084168</t>
  </si>
  <si>
    <t>Hệ điện áp mái NLMT SLS.R1P 8.5KW (KNC)</t>
  </si>
  <si>
    <t>LED00084182</t>
  </si>
  <si>
    <t>Hệ điện áp mái NLMT SLS.3P 18.5KW (KNC)</t>
  </si>
  <si>
    <t>LED00042291</t>
  </si>
  <si>
    <t>Ổ cắm đa năng OC02 4C/3M/10A</t>
  </si>
  <si>
    <t>LED00054760</t>
  </si>
  <si>
    <t>Hạt chiết áp quạt âm tường HCA Q01/200W</t>
  </si>
  <si>
    <t>LED00054765</t>
  </si>
  <si>
    <t>Hạt nút nhấn chuông cửa HCT.RING01</t>
  </si>
  <si>
    <t>LED00057779</t>
  </si>
  <si>
    <t>Hạt ổ cắm tivi âm tường HOC.ANTEN02</t>
  </si>
  <si>
    <t>LED00074766</t>
  </si>
  <si>
    <t>Aptomat ngắn mạch RD.MCB 2P2E 63A</t>
  </si>
  <si>
    <t>LED00074786</t>
  </si>
  <si>
    <t>Aptomat chống giật RD.RCBO 1P+N 6A</t>
  </si>
  <si>
    <t>PHN00000980</t>
  </si>
  <si>
    <t>Phích Nhựa 899-2L(nắp có quai-N.Q-1)</t>
  </si>
  <si>
    <t>PHN00001349</t>
  </si>
  <si>
    <t>Phích chân không 1945( vỏ inox) 1.9L</t>
  </si>
  <si>
    <t>PHN00001369</t>
  </si>
  <si>
    <t>Phích Nhựa 899-2Lit (nắp có quai)</t>
  </si>
  <si>
    <t>PHN00011399</t>
  </si>
  <si>
    <t>Phích xuất khẩu 04528 N1 Abu</t>
  </si>
  <si>
    <t>PHN00011647</t>
  </si>
  <si>
    <t>Phích xuất khẩu 0940 N1.E Esam</t>
  </si>
  <si>
    <t>PHN00011777</t>
  </si>
  <si>
    <t>Phích xuất khẩu 1040 TS TRD</t>
  </si>
  <si>
    <t>PHN00011779</t>
  </si>
  <si>
    <t>Phích xuất khẩu 1040 ST2 TRD</t>
  </si>
  <si>
    <t>PHN00012752</t>
  </si>
  <si>
    <t>Phích xuất khẩu 0940 N1.E AFH</t>
  </si>
  <si>
    <t>PHN00013098</t>
  </si>
  <si>
    <t>Phích xuất khẩu 1045 ST1.E AFH</t>
  </si>
  <si>
    <t>PHN00013105</t>
  </si>
  <si>
    <t>Phích xuất khẩu 2045 TS.E Andalosia</t>
  </si>
  <si>
    <t>PHN00014457</t>
  </si>
  <si>
    <t>Phích nhựa 2035 N5 - 2 lít (COOP)</t>
  </si>
  <si>
    <t>PHN00014701</t>
  </si>
  <si>
    <t>Ấm điện siêu tốc AST12ST1 Yemen</t>
  </si>
  <si>
    <t>PHN00017617</t>
  </si>
  <si>
    <t>PHN00018339</t>
  </si>
  <si>
    <t>Máy xay sinh tố RD MX01 Yemen</t>
  </si>
  <si>
    <t>PHN00018873</t>
  </si>
  <si>
    <t>Phích xuất khẩu 1340 TS AFH</t>
  </si>
  <si>
    <t>PHN00018874</t>
  </si>
  <si>
    <t>Phích xuất khẩu 1640 TS AFH</t>
  </si>
  <si>
    <t>PHN00020111</t>
  </si>
  <si>
    <t>00000250</t>
  </si>
  <si>
    <t>Máng HQ-FS-40/36x2-M8 balát đ/từ tụ bù</t>
  </si>
  <si>
    <t>00000510</t>
  </si>
  <si>
    <t>Máng HQ lắpnổiFS40/36x2-M10-BL đ/từ</t>
  </si>
  <si>
    <t>LED00005551</t>
  </si>
  <si>
    <t>Máng đèn HQ-FS-40/36x1-M8 có balát</t>
  </si>
  <si>
    <t>LED00005560</t>
  </si>
  <si>
    <t>Máng đèn HQ-FS-40/36x2-M8 có balát</t>
  </si>
  <si>
    <t>LED00005570</t>
  </si>
  <si>
    <t>Máng đèn FS-20/18x1-M9-k/balát(lắp Led Tube)</t>
  </si>
  <si>
    <t>LED00015761</t>
  </si>
  <si>
    <t>Máng đèn FS20/18x4-M10-k/balát(lắp Led Tube)</t>
  </si>
  <si>
    <t>LED00027776</t>
  </si>
  <si>
    <t>Máng HQ lắpnổiFS40/36x4-M10-BL đ/tử RD</t>
  </si>
  <si>
    <t>LED00040309</t>
  </si>
  <si>
    <t>Bộ máng Parking Light 1200 (TOP-E)</t>
  </si>
  <si>
    <t>LED00013376</t>
  </si>
  <si>
    <t>Đèn LED ốp trần cảm biến LN05.RAD 160/9W 3000K SS</t>
  </si>
  <si>
    <t>LED00024449</t>
  </si>
  <si>
    <t>Đèn LED ốp trần đổi màu LN19.RF 490/40W</t>
  </si>
  <si>
    <t>LED00025159</t>
  </si>
  <si>
    <t>Đèn LED Downlight đổi màu AT16.RF 110/9W</t>
  </si>
  <si>
    <t>LED00025171</t>
  </si>
  <si>
    <t>Công tắc cảm ứng bốn RD SW.04.WF</t>
  </si>
  <si>
    <t>LED00025840</t>
  </si>
  <si>
    <t>Đèn LED ốp trần cảm biến LN09.RAD 300/24W 6500K SS</t>
  </si>
  <si>
    <t>LED00028798</t>
  </si>
  <si>
    <t>Đèn LED Downlight đổi màu AT14.RF 90/9W</t>
  </si>
  <si>
    <t>LED00028861</t>
  </si>
  <si>
    <t>bộ đèn LED đổi màu M20.RF 1200/24W</t>
  </si>
  <si>
    <t>LED00028879</t>
  </si>
  <si>
    <t>Đèn LED Panel dự phòng P08.DP 600x1200/80W 6500K (KPK) SS</t>
  </si>
  <si>
    <t>LED00032012</t>
  </si>
  <si>
    <t>Đèn LED ốp trần LN12.RAD 220/18W (HL) 6500K</t>
  </si>
  <si>
    <t>LED00034311</t>
  </si>
  <si>
    <t>Đèn LED ốp trần đổi màu LN19.BLE 490/40W</t>
  </si>
  <si>
    <t>LED00035317</t>
  </si>
  <si>
    <t>Đèn LED Downlight đổi màu AT16.BLE 90/7W</t>
  </si>
  <si>
    <t>LED00035730</t>
  </si>
  <si>
    <t>Công tắc cảm ứng RD-SW.04.BLE</t>
  </si>
  <si>
    <t>LED00036111</t>
  </si>
  <si>
    <t>Bóng LED Bulb đổi màu A65.WF/6W E26 (SSC)</t>
  </si>
  <si>
    <t>LED00036909</t>
  </si>
  <si>
    <t>Đèn LED Downlight đổi màu AT18.BLE 80/12W (A36)</t>
  </si>
  <si>
    <t>LED00038733</t>
  </si>
  <si>
    <t>Đèn bàn LED cảm ứng RD-RL-38.Plus 6W</t>
  </si>
  <si>
    <t>LED00039442</t>
  </si>
  <si>
    <t>Đèn bàn LED bảo vệ thị lực RD-RL-40 8W(OC-USB) 4000K</t>
  </si>
  <si>
    <t>LED00042829</t>
  </si>
  <si>
    <t>Công tắc cảm ứng RD-CT.04.WF (Đen)</t>
  </si>
  <si>
    <t>LED00061503</t>
  </si>
  <si>
    <t>Đèn LED Downlight AT24 110/12W.GOV 6500K</t>
  </si>
  <si>
    <t>LED00062878</t>
  </si>
  <si>
    <t>Công tắc cảm ứng vuông CTCU.BLE V.DOT.NC (Đen, FPT)</t>
  </si>
  <si>
    <t>LED00064139</t>
  </si>
  <si>
    <t>Công tắc cảm ứng vuông CTCU.BLE V.DOT MN</t>
  </si>
  <si>
    <t>LED00064293</t>
  </si>
  <si>
    <t>Công tắc cơ điện tử 2 chiều CTC2C.WF V1.03 (Ralli)</t>
  </si>
  <si>
    <t>LED00068313</t>
  </si>
  <si>
    <t>Bộ đèn shoplight SP-1-LF9 100W 120V RED100</t>
  </si>
  <si>
    <t>LED00069338</t>
  </si>
  <si>
    <t>Bộ cung cấp điện NLMT RD.SL 2KWP</t>
  </si>
  <si>
    <t>LED00070021</t>
  </si>
  <si>
    <t>Công tắc cảm ứng chữ nhật CTCU.WF CN.DOT(trắng, FPT)</t>
  </si>
  <si>
    <t>LED00071720</t>
  </si>
  <si>
    <t>Cảm biến khói CB11.SM.WF.BLE (FPT)</t>
  </si>
  <si>
    <t>LED00071818</t>
  </si>
  <si>
    <t>Cảm biến độ PH nước NN CB07-NN.PH.LR (DC)</t>
  </si>
  <si>
    <t>LED00074408</t>
  </si>
  <si>
    <t>Bộ nguồn RD-DR P01 50W 36V 1.2A (LME, LLC, hộp tôn)</t>
  </si>
  <si>
    <t>LED00074409</t>
  </si>
  <si>
    <t>Bộ nguồn RD-DR P01 40W 36V 1.0A (LME, LLC, hộp tôn)</t>
  </si>
  <si>
    <t>LED00075239</t>
  </si>
  <si>
    <t>Hệ điện áp mái NLMT SLS.3P 10KW (KNC)</t>
  </si>
  <si>
    <t>LED00076552</t>
  </si>
  <si>
    <t>Công tắc cảm ứng chữ nhật CTCU.WF CN.02T(trắng, FPT)</t>
  </si>
  <si>
    <t>LED00078130</t>
  </si>
  <si>
    <t>Công tắc cảm ứng vuông CTCU.BLE S1.03 (Champ, FPT)</t>
  </si>
  <si>
    <t>LED00081700</t>
  </si>
  <si>
    <t>Ổ cắm công tắc chữ nhật thông minh OCTC.WF.1T.1C.2W.SP</t>
  </si>
  <si>
    <t>LED00084142</t>
  </si>
  <si>
    <t>Hệ điện áp mái NLMT SLS.R1P 8.5KW</t>
  </si>
  <si>
    <t>LED00084155</t>
  </si>
  <si>
    <t>Hệ điện áp mái NLMT SLS.3P 18.5KW</t>
  </si>
  <si>
    <t>LED00054764</t>
  </si>
  <si>
    <t>Hạt ổ cắm tivi âm tường HOC.ANTEN01</t>
  </si>
  <si>
    <t>LED00060349</t>
  </si>
  <si>
    <t>Ổ cắm đa năng OC05 3C/2M/10A</t>
  </si>
  <si>
    <t>LED00066572</t>
  </si>
  <si>
    <t>Ổ cắm đa năng OC05.V2 3C/2M/10A (trắng)</t>
  </si>
  <si>
    <t>LED00074751</t>
  </si>
  <si>
    <t>Aptomat ngắn mạch RD.MCB 1P1E 20A</t>
  </si>
  <si>
    <t>LED00084869</t>
  </si>
  <si>
    <t>Phích cắm điện RD-PC01</t>
  </si>
  <si>
    <t>PHN00000974</t>
  </si>
  <si>
    <t>PHN00000979</t>
  </si>
  <si>
    <t>Phích nhựa 899-2L</t>
  </si>
  <si>
    <t>LED00057384</t>
  </si>
  <si>
    <t>Đèn LED ốp trần LN26 250/18W 6500K</t>
  </si>
  <si>
    <t>LED00060864</t>
  </si>
  <si>
    <t>Đèn LED ốp trần LN12 170/15W 3000K SS</t>
  </si>
  <si>
    <t>LED00083559</t>
  </si>
  <si>
    <t>Đèn LED ốp trần LN09 220/22W.PLUS 6500K</t>
  </si>
  <si>
    <t>LED00083674</t>
  </si>
  <si>
    <t>Đèn LED ốp trần LN12 220x220/22W 6500K</t>
  </si>
  <si>
    <t>LED00083683</t>
  </si>
  <si>
    <t>Đèn LED ốp trần đổi màu LN12 300/30W</t>
  </si>
  <si>
    <t>LED00005407</t>
  </si>
  <si>
    <t>Đèn LED Panel PN03 120x120/8W 3000K SS</t>
  </si>
  <si>
    <t>LED00005416</t>
  </si>
  <si>
    <t>Đèn LED Panel P01 300x600/28W 5000K</t>
  </si>
  <si>
    <t>LED00005426</t>
  </si>
  <si>
    <t>Đèn LED Panel P02 600x600/36W 6500K KPK</t>
  </si>
  <si>
    <t>LED00005445</t>
  </si>
  <si>
    <t>Đèn LED Panel P01 600x1200/75W 5000K (GO)</t>
  </si>
  <si>
    <t>LED00018483</t>
  </si>
  <si>
    <t>Bộ đèn LED M15 600x600/35W 6500K SS</t>
  </si>
  <si>
    <t>LED00019602</t>
  </si>
  <si>
    <t>Đèn LED Panel P04 600x600/40W 6500K (KPK) SS</t>
  </si>
  <si>
    <t>LED00023720</t>
  </si>
  <si>
    <t>Đèn LED Panel P04 600x1200/80W 3000K (KPK) SS</t>
  </si>
  <si>
    <t>LED00024042</t>
  </si>
  <si>
    <t>Đèn LED Panel PN03 160x160/12W.DA 4000K SS</t>
  </si>
  <si>
    <t>LED00028186</t>
  </si>
  <si>
    <t>Đèn LED Panel P01 320x1280/40W 5700K (KC-PER) SS</t>
  </si>
  <si>
    <t>LED00029404</t>
  </si>
  <si>
    <t>Đèn LED Panel P01 640x640/50W 5700K (KC-LG-KN) SS</t>
  </si>
  <si>
    <t>LED00031983</t>
  </si>
  <si>
    <t>Đèn LED Panel P01 320x1280/50W 5700K (KC-TOP-BH) SS</t>
  </si>
  <si>
    <t>LED00043328</t>
  </si>
  <si>
    <t>Đèn LED Panel P08 600x600/54W 6500K (KPK) SS</t>
  </si>
  <si>
    <t>LED00050112</t>
  </si>
  <si>
    <t>Đèn LED Panel P01 640x640/50W 4000K (KC-PER) SS</t>
  </si>
  <si>
    <t>LED00050889</t>
  </si>
  <si>
    <t>Đèn LED Panel P06 320x640/20W M-bar 5700K KN-PER-CT</t>
  </si>
  <si>
    <t>LED00052542</t>
  </si>
  <si>
    <t>Đèn LED Panel P07 600x600/36W.PLUS 6500K (KPK)</t>
  </si>
  <si>
    <t>LED00052787</t>
  </si>
  <si>
    <t>Đèn LED Panel P07 600x600/45W.PLUS 4000K (KPK) SS</t>
  </si>
  <si>
    <t>LED00053315</t>
  </si>
  <si>
    <t>Đèn LED Panel P10 520x520/40W 4000K (KC-TOP) SS</t>
  </si>
  <si>
    <t>LED00053318</t>
  </si>
  <si>
    <t>Đèn LED Panel P10 400x700/50W 5700K (KC-TOP) SS</t>
  </si>
  <si>
    <t>PHN00001088</t>
  </si>
  <si>
    <t>Ruột phích RD 1.0L (RF-1055-MC)</t>
  </si>
  <si>
    <t>PHN00001385</t>
  </si>
  <si>
    <t>Ruột phích cháo loại trần</t>
  </si>
  <si>
    <t>PHN00001386</t>
  </si>
  <si>
    <t>Ruột phích cháo PC-02</t>
  </si>
  <si>
    <t>PHN00001388</t>
  </si>
  <si>
    <t>Ruột phích cốc</t>
  </si>
  <si>
    <t>PHN00005230</t>
  </si>
  <si>
    <t>Ruột phích RD 1.0L (RF-1040-MC) - Special</t>
  </si>
  <si>
    <t>PHN00010778</t>
  </si>
  <si>
    <t>Ruột phích RD 1.0L (RF-1042-JOR)</t>
  </si>
  <si>
    <t>PHN00011540</t>
  </si>
  <si>
    <t>Ruột phích RD 1.0L (RF-1042-GM)</t>
  </si>
  <si>
    <t>PHN00019779</t>
  </si>
  <si>
    <t>Ruột phích RD 1.0L (RF-1040-Yemen)</t>
  </si>
  <si>
    <t>PHN00026350</t>
  </si>
  <si>
    <t>Ruột phích RD 3.0L (RF-3045-HB)</t>
  </si>
  <si>
    <t>PHN00027930</t>
  </si>
  <si>
    <t>Ruột phích 0740-0.7L</t>
  </si>
  <si>
    <t>00000522</t>
  </si>
  <si>
    <t>Thanh ray đèn Spotlight</t>
  </si>
  <si>
    <t>LED00005655</t>
  </si>
  <si>
    <t>Bóng đèn (LED PAR28 4W/120) E27 á/s vàng</t>
  </si>
  <si>
    <t>LED00034433</t>
  </si>
  <si>
    <t>Đèn LED dây RD-LD01.9W 6500K (100m)</t>
  </si>
  <si>
    <t>LED00039378</t>
  </si>
  <si>
    <t>Driver U8KC-30W-48V (IDF) HC</t>
  </si>
  <si>
    <t>LED00039412</t>
  </si>
  <si>
    <t>Driver U8KC-20W-48V (IDF) HC</t>
  </si>
  <si>
    <t>LED00050878</t>
  </si>
  <si>
    <t>Vợt bắt muỗi VBM RD.02-CT</t>
  </si>
  <si>
    <t>LED00051615</t>
  </si>
  <si>
    <t>Driver P06 320x640 20W 36V-V1 HC</t>
  </si>
  <si>
    <t>LED00051673</t>
  </si>
  <si>
    <t>Driver 320x1280/40W LLC PER THT</t>
  </si>
  <si>
    <t>LED00058736</t>
  </si>
  <si>
    <t>Đèn LED thanh chuyên dụng T-Malbec 730C 590/11W (KN)</t>
  </si>
  <si>
    <t>LED00059924</t>
  </si>
  <si>
    <t>Đèn LED dây LD01.V2.R 1000/7W RED (AC 220V-100m)</t>
  </si>
  <si>
    <t>LED00060850</t>
  </si>
  <si>
    <t>Đèn Led dây RD-LD01.8W.GOV 4000K (24VDC-100m)</t>
  </si>
  <si>
    <t>LED00065346</t>
  </si>
  <si>
    <t>Đèn LED thanh T01 1000/12W.APG 3000K (IP66, 24V)</t>
  </si>
  <si>
    <t>LED00066793</t>
  </si>
  <si>
    <t>Bộ phụ kiện nối góc vuông RAY LED.48/NG</t>
  </si>
  <si>
    <t>LED00076181</t>
  </si>
  <si>
    <t>Đèn LED dây LD03 1000/7W 4000K (220V-100m)</t>
  </si>
  <si>
    <t>LED00078829</t>
  </si>
  <si>
    <t>Tủ điều khiển chiếu sáng IOT 150A</t>
  </si>
  <si>
    <t>LED00079548</t>
  </si>
  <si>
    <t>Tủ aptomat âm tường TAT01-22 (nhựa)</t>
  </si>
  <si>
    <t>PHN00021249</t>
  </si>
  <si>
    <t>Ruột phích RD 1.0L (RF-1042-LC)</t>
  </si>
  <si>
    <t>PHN00021438</t>
  </si>
  <si>
    <t>Ruột phích RD 0.5L (RF-0538-GU)</t>
  </si>
  <si>
    <t>00000092</t>
  </si>
  <si>
    <t>LED thanh T01 24VDC 100/14W.GO - 4000K</t>
  </si>
  <si>
    <t>LED00005654</t>
  </si>
  <si>
    <t>Đèn LED chỉ dẫn CD01 40x20/2,2W.DA(1 mặt)</t>
  </si>
  <si>
    <t>LED00005761</t>
  </si>
  <si>
    <t>MODULE LED (LED MD01 MK/0,6W)</t>
  </si>
  <si>
    <t>LED00026839</t>
  </si>
  <si>
    <t>Driver U8KC - 25W</t>
  </si>
  <si>
    <t>LED00027053</t>
  </si>
  <si>
    <t>Driver U4KC - 25W</t>
  </si>
  <si>
    <t>LED00027247</t>
  </si>
  <si>
    <t>Vỏ hộp nguồn và giấy cách điện</t>
  </si>
  <si>
    <t>LED00038495</t>
  </si>
  <si>
    <t>Đèn LED dây LD01.B 1000/7W (100m)</t>
  </si>
  <si>
    <t>LED00039349</t>
  </si>
  <si>
    <t>Driver U8KC-40W-48V (IDF) HC</t>
  </si>
  <si>
    <t>LED00049001</t>
  </si>
  <si>
    <t>Đèn LED TTC 5,5W.QT 120D 3000K (IP65)</t>
  </si>
  <si>
    <t>LED00054557</t>
  </si>
  <si>
    <t>Driver PN06 50W KC HC MBar direct</t>
  </si>
  <si>
    <t>LED00055731</t>
  </si>
  <si>
    <t>Bộ phụ kiện LED Linear PK L-LR01 220x220/8W 4000K</t>
  </si>
  <si>
    <t>LED00059818</t>
  </si>
  <si>
    <t>Bộ Driver LED dây 1000/9W</t>
  </si>
  <si>
    <t>LED00064653</t>
  </si>
  <si>
    <t>Bộ Driver LED dây LD02 1000/7W</t>
  </si>
  <si>
    <t>LED00067177</t>
  </si>
  <si>
    <t>Đèn LED dây LD01 1000/12W 6000K (AC 220V-10m, X)</t>
  </si>
  <si>
    <t>LED00075187</t>
  </si>
  <si>
    <t>Đèn LED dây LD03 đổi màu 1000/9W (220V-50m)-CT</t>
  </si>
  <si>
    <t>LED00075804</t>
  </si>
  <si>
    <t>Module LED đèn quạt trần RD-ML DQ12 ĐM 200/16W (Gcool)</t>
  </si>
  <si>
    <t>LED00079550</t>
  </si>
  <si>
    <t>Tủ aptomat nổi tường TAT02-10 (kim loại)</t>
  </si>
  <si>
    <t>LED00080939</t>
  </si>
  <si>
    <t>Đèn LED trang trí thả trần PL019-400B-3000K</t>
  </si>
  <si>
    <t>LED00084469</t>
  </si>
  <si>
    <t>Driver P06 50W KC HC (Bathpoint)</t>
  </si>
  <si>
    <t>LED00084908</t>
  </si>
  <si>
    <t>Đèn LED dây LD01 5000/40W 4000K (CRI 80, XK)</t>
  </si>
  <si>
    <t>PHN00001054</t>
  </si>
  <si>
    <t>ROLLER 1L-STAINLESS STEEL</t>
  </si>
  <si>
    <t>PHN00018253</t>
  </si>
  <si>
    <t>Phích xuất khẩu 1040 ST2.E Esam Xanh dương</t>
  </si>
  <si>
    <t>PHN00018334</t>
  </si>
  <si>
    <t>Bộ combo bình nước cầm tay 07P1 và 045G1</t>
  </si>
  <si>
    <t>PHN00018941</t>
  </si>
  <si>
    <t>Phích xuất khẩu 1040 TS ALK</t>
  </si>
  <si>
    <t>PHN00020673</t>
  </si>
  <si>
    <t>Phích xuất khẩu 1040 TS3 LLT</t>
  </si>
  <si>
    <t>PHN00020733</t>
  </si>
  <si>
    <t>Phích xuất khẩu 1542 N4.E IMT</t>
  </si>
  <si>
    <t>PHN00021251</t>
  </si>
  <si>
    <t>Phích xuất khẩu 2545 TS IMT</t>
  </si>
  <si>
    <t>PHN00021330</t>
  </si>
  <si>
    <t>PHN00021618</t>
  </si>
  <si>
    <t>Phích xuất khẩu 1038 N2 ALK</t>
  </si>
  <si>
    <t>PHN00021623</t>
  </si>
  <si>
    <t>Phích xuất khẩu 2045 ST1.E ALK</t>
  </si>
  <si>
    <t>PHN00022094</t>
  </si>
  <si>
    <t>PHN00023440</t>
  </si>
  <si>
    <t>PHN00023518</t>
  </si>
  <si>
    <t>Phích xuất khẩu 2035 S1 Madagasca</t>
  </si>
  <si>
    <t>PHN00023815</t>
  </si>
  <si>
    <t>Bình giữ nhiệt inox RD-BGN036ST1</t>
  </si>
  <si>
    <t>PHN00024375</t>
  </si>
  <si>
    <t>Phích xuất khẩu 1542 N2.E ALK</t>
  </si>
  <si>
    <t>PHN00024578</t>
  </si>
  <si>
    <t>Phích xuất khẩu 04528 N1 APT</t>
  </si>
  <si>
    <t>PHN00024583</t>
  </si>
  <si>
    <t>Phích xuất khẩu 1640 ST2 APT</t>
  </si>
  <si>
    <t>PHN00025697</t>
  </si>
  <si>
    <t>Phích xuất khẩu 1640 ST2 HHG</t>
  </si>
  <si>
    <t>PHN00026841</t>
  </si>
  <si>
    <t>PHN00026842</t>
  </si>
  <si>
    <t>Phích xuất khẩu 0540 (KD) TER</t>
  </si>
  <si>
    <t>PHN00027292</t>
  </si>
  <si>
    <t>PHN00027933</t>
  </si>
  <si>
    <t>Bình giữ nhiệt inox RD-BGN12ST1</t>
  </si>
  <si>
    <t>PHN00001065</t>
  </si>
  <si>
    <t>Ruột phích 2045 loại trần</t>
  </si>
  <si>
    <t>PHN00001073</t>
  </si>
  <si>
    <t>Ruột phích RD 0.75L(RS-07528-NP)loại trần</t>
  </si>
  <si>
    <t>PHN00001079</t>
  </si>
  <si>
    <t>Ruột phích RD 1.0L (RF-1040-CO)loại trần</t>
  </si>
  <si>
    <t>PHN00001382</t>
  </si>
  <si>
    <t>Ruột phích 2545 loại trần</t>
  </si>
  <si>
    <t>PHN00001582</t>
  </si>
  <si>
    <t>Ruột phích 1542 loại trần</t>
  </si>
  <si>
    <t>PHN00003602</t>
  </si>
  <si>
    <t>Ruột phích RD 1.9L (RF-1945-SP)loại trần- đệm ko amiang</t>
  </si>
  <si>
    <t>PHN00003605</t>
  </si>
  <si>
    <t>Ruột phích RD 2,5L (RF-2545-SP) loại trần - đệm ko amiang</t>
  </si>
  <si>
    <t>PHN00012000</t>
  </si>
  <si>
    <t>Ruột phích RD 1.0L (RF-1070-HS) loại trần</t>
  </si>
  <si>
    <t>PHN00026000</t>
  </si>
  <si>
    <t>Ruột phích RD 1.0L (RF-1042-YL) loại trần</t>
  </si>
  <si>
    <t>PHN00001102</t>
  </si>
  <si>
    <t>Ruột phích RD 1.9L (D99984-9)</t>
  </si>
  <si>
    <t>LED00080935</t>
  </si>
  <si>
    <t>Đèn trang trí hình pha lê LP8651 đồng (không bóng)</t>
  </si>
  <si>
    <t>PHN00000014</t>
  </si>
  <si>
    <t>ROLLER 0,5L- TALL STAINLESS STEEL</t>
  </si>
  <si>
    <t>PHN00012411</t>
  </si>
  <si>
    <t>Vỏ phích inox 1,0L-Termolar (màu đồng)</t>
  </si>
  <si>
    <t>PHN00026016</t>
  </si>
  <si>
    <t>Vỏ phích inox 0,5L-Termolar (Gold)</t>
  </si>
  <si>
    <t>LED00051693</t>
  </si>
  <si>
    <t>Driver 320x640/20W Mbar Direct LLC PER SMT</t>
  </si>
  <si>
    <t>LED00059599</t>
  </si>
  <si>
    <t>Đèn LED thanh chuyên dụng T-Malbec 720D 1140/23W (KN)</t>
  </si>
  <si>
    <t>LED00060851</t>
  </si>
  <si>
    <t>Bộ nguồn điều kiển đèn LED dây LC 150W 24V bDW SC PRE2</t>
  </si>
  <si>
    <t>LED00064376</t>
  </si>
  <si>
    <t>Đèn bắt muỗi DBM01 6W (YEMEN)</t>
  </si>
  <si>
    <t>LED00075631</t>
  </si>
  <si>
    <t>Bộ nguồn cho đèn LED 150W 12V</t>
  </si>
  <si>
    <t>LED00080933</t>
  </si>
  <si>
    <t>Đèn LED trang trí  thả trần LP6671 trắng mờ</t>
  </si>
  <si>
    <t>LED00081778</t>
  </si>
  <si>
    <t>Vỏ hộp Aptomat nổi tường HAT01-1</t>
  </si>
  <si>
    <t>LED00083623</t>
  </si>
  <si>
    <t>Tủ aptomat âm tường TAT01-6 (nhựa)</t>
  </si>
  <si>
    <t>LED00083876</t>
  </si>
  <si>
    <t>Đèn LED dây UHE6 50W/5m NW 4000K (CRI 90, XK)</t>
  </si>
  <si>
    <t>LED00053319</t>
  </si>
  <si>
    <t>Đèn LED Panel P10 300x300/25W 4000K (KC-TOP) SS</t>
  </si>
  <si>
    <t>LED00053917</t>
  </si>
  <si>
    <t>Đèn LED Panel P07 600x600/40W.PLUS 6500K (KPK) SS</t>
  </si>
  <si>
    <t>LED00055687</t>
  </si>
  <si>
    <t>Đèn LED Panel P06 M320x1280/50W Mbar 5700K HP</t>
  </si>
  <si>
    <t>LED00056219</t>
  </si>
  <si>
    <t>Đèn LED Panel P07 600x600/35W.PLUS 6500K (KPK) SS-CT</t>
  </si>
  <si>
    <t>LED00056732</t>
  </si>
  <si>
    <t>Đèn LED Panel P06 300x1200/40W T-bar 5700K TOP</t>
  </si>
  <si>
    <t>LED00057466</t>
  </si>
  <si>
    <t>Đèn LED Panel P08 300x1200/50W 6500K (KPK) SS</t>
  </si>
  <si>
    <t>LED00063187</t>
  </si>
  <si>
    <t>Đèn LED Panel P06 600x600/50W 3000K</t>
  </si>
  <si>
    <t>LED00064163</t>
  </si>
  <si>
    <t>Đèn LED Panel P07 600x600/48W.PLUS 4000K (KPK) SS</t>
  </si>
  <si>
    <t>LED00068292</t>
  </si>
  <si>
    <t>Đèn LED Panel P07 600x600/48W.PLUS 3000K (KPK) SS</t>
  </si>
  <si>
    <t>LED00069389</t>
  </si>
  <si>
    <t>Đèn LED Panel P06 M320x1280/50W.2 Mbar 5700K HB (bracket)</t>
  </si>
  <si>
    <t>LED00073256</t>
  </si>
  <si>
    <t>Đèn LED Panel P01 320x1280/40W.H 5700K (KC-LG-KN)</t>
  </si>
  <si>
    <t>LED00073989</t>
  </si>
  <si>
    <t>Đèn LED Panel P07 150x750/14W.PLUS 4000K (KPK) SS</t>
  </si>
  <si>
    <t>LED00075188</t>
  </si>
  <si>
    <t>Đèn LED Panel P07 150x750/14W.PLUS 4000K (KPK) SS-CT</t>
  </si>
  <si>
    <t>LED00075190</t>
  </si>
  <si>
    <t>Đèn LED Panel P07 300x1200/40W.PLUS 4000K (KPK) SS-CT</t>
  </si>
  <si>
    <t>LED00075193</t>
  </si>
  <si>
    <t>Đèn LED Panel P07 300x1800/50W.PLUS 4000K (KPK) SS-CT</t>
  </si>
  <si>
    <t>LED00079827</t>
  </si>
  <si>
    <t>Đèn LED Panel P07 300x3600/80W.PLUS 4000K (KPK)</t>
  </si>
  <si>
    <t>LED00079879</t>
  </si>
  <si>
    <t>Đèn LED Panel P08 600x600/36W 6500K (KPK)</t>
  </si>
  <si>
    <t>LED00081303</t>
  </si>
  <si>
    <t>Đèn LED Panel P06 300x1200/60W 6500K</t>
  </si>
  <si>
    <t>LED00082242</t>
  </si>
  <si>
    <t>Đèn LED Panel P07 300x600/28W.PLUS 4000K (KPK)</t>
  </si>
  <si>
    <t>00000211</t>
  </si>
  <si>
    <t>B/đèn LED thả trần (BDTT02L 220/9W) 6500K</t>
  </si>
  <si>
    <t>LED00005650</t>
  </si>
  <si>
    <t>Đèn LED Gắn tường GT06 CD/5W 3000K</t>
  </si>
  <si>
    <t>LED00043187</t>
  </si>
  <si>
    <t>LED 5mm xanh lá</t>
  </si>
  <si>
    <t>LED00075464</t>
  </si>
  <si>
    <t>Đèn LED gắn tường GT20.1P 20W 6500K</t>
  </si>
  <si>
    <t>LED00005435</t>
  </si>
  <si>
    <t>Đèn LED Panel P01 300x1200/50W 5000K</t>
  </si>
  <si>
    <t>LED00025624</t>
  </si>
  <si>
    <t>Đèn LED Panel P07 600x600/35W.DA 4000K (KPK) SS</t>
  </si>
  <si>
    <t>LED00026240</t>
  </si>
  <si>
    <t>Đèn LED Panel P06 300x1200/40W 6500K (IP54-KPK) SS</t>
  </si>
  <si>
    <t>LED00027409</t>
  </si>
  <si>
    <t>Đèn LED Panel P08 300x1200/40W 6500K (KPK) SS</t>
  </si>
  <si>
    <t>LED00032392</t>
  </si>
  <si>
    <t>Đèn LED Panel 3CCT P04 180x640/25W (TOP E) SS</t>
  </si>
  <si>
    <t>LED00032959</t>
  </si>
  <si>
    <t>Đèn LED Panel P06 320x1280/50W 6500K SS</t>
  </si>
  <si>
    <t>LED00033433</t>
  </si>
  <si>
    <t>Đèn LED Panel P04 520x520/40W 5700K (TOP H-BR) SS</t>
  </si>
  <si>
    <t>LED00033882</t>
  </si>
  <si>
    <t>Đèn LED Panel P07 300x1200/48W.DA 6500K (KPK) SS</t>
  </si>
  <si>
    <t>LED00035522</t>
  </si>
  <si>
    <t>Đèn LED Panel P01 640x640/50W 5700K (KC-PER-KN) SS</t>
  </si>
  <si>
    <t>LED00049396</t>
  </si>
  <si>
    <t>Đèn LED Panel P06 320x1280/40W M-bar 4000K KN-PER</t>
  </si>
  <si>
    <t>LED00050873</t>
  </si>
  <si>
    <t>Đèn LED Panel P08 600x1200/80W 6500K (KPK) SS-CT</t>
  </si>
  <si>
    <t>LED00051168</t>
  </si>
  <si>
    <t>Đèn LED Panel P07 600x600/45W.PLUS 6500K (KPK) SS</t>
  </si>
  <si>
    <t>LED00051375</t>
  </si>
  <si>
    <t>Đèn LED Panel P05 300x1200/50W.PLUS 5700K SS</t>
  </si>
  <si>
    <t>LED00052910</t>
  </si>
  <si>
    <t>Đèn LED Panel P06 320x1280/40W M-bar Direct 5700K KN FW</t>
  </si>
  <si>
    <t>LED00053312</t>
  </si>
  <si>
    <t>Đèn LED Panel P10 320x1280/50W 5700K (KC-TOP) SS</t>
  </si>
  <si>
    <t>LED00055681</t>
  </si>
  <si>
    <t>Đèn LED Panel P06 T320x1280/50W Mbar direct 5700K HP</t>
  </si>
  <si>
    <t>LED00055697</t>
  </si>
  <si>
    <t>Đèn LED Panel P06 M640X640/50W Mbar 5700K HP</t>
  </si>
  <si>
    <t>LED00062839</t>
  </si>
  <si>
    <t>Đèn LED Panel đổi màu P01 320x1280/50W (KC-TOP-KN)</t>
  </si>
  <si>
    <t>LED00072485</t>
  </si>
  <si>
    <t>Đèn LED Panel P07 600x1200/54W.PLUS 6500K (KPK) SS</t>
  </si>
  <si>
    <t>LED00073275</t>
  </si>
  <si>
    <t>Đèn LED Panel P07 600x600/35W.PLUS 6500K (KPK)</t>
  </si>
  <si>
    <t>LED00075788</t>
  </si>
  <si>
    <t>Đèn LED Panel đổi màu P06 600x600/50W</t>
  </si>
  <si>
    <t>LED00076674</t>
  </si>
  <si>
    <t>Đèn LED Panel P06.UGR19 600x600/50W 6500K</t>
  </si>
  <si>
    <t>LED00081122</t>
  </si>
  <si>
    <t>Đèn LED Panel P06 300x1200/50W 4000K</t>
  </si>
  <si>
    <t>PHN00000983</t>
  </si>
  <si>
    <t>Phích Nhựa 899-2Lit (nắp có quai-N.Q-1)</t>
  </si>
  <si>
    <t>PHN00001312</t>
  </si>
  <si>
    <t>Phích 2545 ST1.E-2,5L-Pioneer</t>
  </si>
  <si>
    <t>PHN00001363</t>
  </si>
  <si>
    <t>Phích Nhựa 204-2L</t>
  </si>
  <si>
    <t>PHN00001366</t>
  </si>
  <si>
    <t>Phích Nhựa 899 MN-2L</t>
  </si>
  <si>
    <t>PHN00001933</t>
  </si>
  <si>
    <t>Phích nước TRDC-1000 (RD-1040ST2.E)</t>
  </si>
  <si>
    <t>PHN00001934</t>
  </si>
  <si>
    <t>Phích nước TRDB-1000 (RD-1040N.E)</t>
  </si>
  <si>
    <t>PHN00011630</t>
  </si>
  <si>
    <t>Phích xuất khẩu 0940 N1.E EST</t>
  </si>
  <si>
    <t>PHN00011767</t>
  </si>
  <si>
    <t>Phích xuất khẩu 1040 N1.E Esam</t>
  </si>
  <si>
    <t>PHN00011769</t>
  </si>
  <si>
    <t>Phích xuất khẩu 1040 ST2 Esam</t>
  </si>
  <si>
    <t>PHN00012555</t>
  </si>
  <si>
    <t>Phích xuất khẩu 1542 N2.E (ABS) Yemen</t>
  </si>
  <si>
    <t>PHN00013100</t>
  </si>
  <si>
    <t>Phích xuất khẩu 1040 TS AFH</t>
  </si>
  <si>
    <t>PHN00013539</t>
  </si>
  <si>
    <t>Phích xuất khẩu 1100 N1 FCI</t>
  </si>
  <si>
    <t>PHN00013547</t>
  </si>
  <si>
    <t>Phích xuất khẩu 2035 N1.E FCI</t>
  </si>
  <si>
    <t>PHN00014016</t>
  </si>
  <si>
    <t>PHN00014826</t>
  </si>
  <si>
    <t>Phích xuất khẩu 1055 TS Andalosia</t>
  </si>
  <si>
    <t>PHN00015046</t>
  </si>
  <si>
    <t>Phích xuất khẩu 1640 ST2 IMT</t>
  </si>
  <si>
    <t>PHN00015048</t>
  </si>
  <si>
    <t>Phích xuất khẩu 2045 ST1.E IMT</t>
  </si>
  <si>
    <t>PHN00016105</t>
  </si>
  <si>
    <t>Phích xuất khẩu 1565 N1.E IMT</t>
  </si>
  <si>
    <t>PHN00017591</t>
  </si>
  <si>
    <t>Phích xuất khẩu 2545 ST1.E WIC</t>
  </si>
  <si>
    <t>PHN00018864</t>
  </si>
  <si>
    <t>Phích xuất khẩu 1045 N1.E ALK</t>
  </si>
  <si>
    <t>PHN00020311</t>
  </si>
  <si>
    <t>Phích xuất khẩu 2045 ST6.QT IMT</t>
  </si>
  <si>
    <t>PHN00021621</t>
  </si>
  <si>
    <t>Phích xuất khẩu 1340 ST2 ALK</t>
  </si>
  <si>
    <t>PHN00021631</t>
  </si>
  <si>
    <t>Phích xuất khẩu 1045 N1.E Prime</t>
  </si>
  <si>
    <t>PHN00025696</t>
  </si>
  <si>
    <t>Phích xuất khẩu 1340 ST2 HHG</t>
  </si>
  <si>
    <t>PHN00028271</t>
  </si>
  <si>
    <t>Phích xuất khẩu 0540 N2.E DAC</t>
  </si>
  <si>
    <t>PHN00028318</t>
  </si>
  <si>
    <t>Phích xuất khẩu 1045 N3.E AAI</t>
  </si>
  <si>
    <t>PHN00001400</t>
  </si>
  <si>
    <t>Ruột phích RD 800ml (RF-0856) loại trần</t>
  </si>
  <si>
    <t>PHN00011187</t>
  </si>
  <si>
    <t>Ruột phích RD 1.0L (RF-MG12117100) loại trần</t>
  </si>
  <si>
    <t>PHN00011992</t>
  </si>
  <si>
    <t>Ruột phích RD 1.0L (RF-1046-IT) loại trần</t>
  </si>
  <si>
    <t>PHN00013207</t>
  </si>
  <si>
    <t>Ruột phích 1355 loại trần</t>
  </si>
  <si>
    <t>PHN00026349</t>
  </si>
  <si>
    <t>Ruột phích RD 3.5L (RF-3545-HEN) loại trần</t>
  </si>
  <si>
    <t>00000293</t>
  </si>
  <si>
    <t>Bóng đèn LED TUBE 01 120/22W.GO 5000K</t>
  </si>
  <si>
    <t>LED00005134</t>
  </si>
  <si>
    <t>Bóng LED Tube T8 TT01 600/10W 3000K SS</t>
  </si>
  <si>
    <t>LED00033389</t>
  </si>
  <si>
    <t>Bóng LED Tube T8 TT01 600/10W 3000K</t>
  </si>
  <si>
    <t>LED00033565</t>
  </si>
  <si>
    <t>Bóng LED Tube T8 TT01 1200/18W (Fiji) 6500K</t>
  </si>
  <si>
    <t>LED00035134</t>
  </si>
  <si>
    <t>Bóng LED Tube T8 1200/11W 5000K (Nhật) SS</t>
  </si>
  <si>
    <t>LED00049806</t>
  </si>
  <si>
    <t>Bóng LED Tube T8 1200/18W.DA 6500K</t>
  </si>
  <si>
    <t>LED00057584</t>
  </si>
  <si>
    <t>Bóng LED Tube T8 N02 1200/17.5W (DC,XK) 5700K</t>
  </si>
  <si>
    <t>LED00065029</t>
  </si>
  <si>
    <t>Bóng LED tube T8 1200/20W 4000K</t>
  </si>
  <si>
    <t>00000444</t>
  </si>
  <si>
    <t>Máng đèn HQ MC-FS40/36*1M2-balát đ/tử</t>
  </si>
  <si>
    <t>LED00005537</t>
  </si>
  <si>
    <t>Máng đèn HQ 0,6m ĐĐT:01</t>
  </si>
  <si>
    <t>LED00005563</t>
  </si>
  <si>
    <t>Máng đèn HQ-FS-40/36x2-M8 K/balát</t>
  </si>
  <si>
    <t>LED00005579</t>
  </si>
  <si>
    <t>Máng đèn HQ-FS-40/36x2-M8 ko nắp,có balát</t>
  </si>
  <si>
    <t>LED00005581</t>
  </si>
  <si>
    <t>Máng đèn s/mỏngFS40/36x2-M9 ko nắp,balát đ/tử</t>
  </si>
  <si>
    <t>LED00005585</t>
  </si>
  <si>
    <t>Máng đèn FS20/18x2-M9- không ballast (XK)</t>
  </si>
  <si>
    <t>LED00016396</t>
  </si>
  <si>
    <t>Máng HQ-FS 40/36*1 M8,Ko nắp,Ko ballat (PK rời)</t>
  </si>
  <si>
    <t>LED00025521</t>
  </si>
  <si>
    <t>Máng HQ âmtrầnFS40/36x4-M6-balát đ/tử</t>
  </si>
  <si>
    <t>LED00042221</t>
  </si>
  <si>
    <t>Máng dự phòng FS.DP 1200/20Wx2-TG</t>
  </si>
  <si>
    <t>LED00045482</t>
  </si>
  <si>
    <t>Máng đèn FS-40/36x2-M9-k/balát(lắp Led Tube)-CT</t>
  </si>
  <si>
    <t>00000307</t>
  </si>
  <si>
    <t>Đèn LED thanh D T01 120/20W.RF</t>
  </si>
  <si>
    <t>LED00019140</t>
  </si>
  <si>
    <t>Đèn LED ốp trần cảm biến LN11.PIR 220/18W 6500K SS</t>
  </si>
  <si>
    <t>LED00025837</t>
  </si>
  <si>
    <t>Đèn LED ốp trần cảm biến LN09.RAD 230/18W 3000K SS</t>
  </si>
  <si>
    <t>LED00026381</t>
  </si>
  <si>
    <t>Bộ đèn LED Tube dự phòng T8.DP M9/20Wx2.DA 6500K SS</t>
  </si>
  <si>
    <t>LED00031809</t>
  </si>
  <si>
    <t>Đèn LED dây đổi màu LD01.BLE.RGBCW 1000/3W (12VDC)</t>
  </si>
  <si>
    <t>LED00031877</t>
  </si>
  <si>
    <t>Đèn LED dây đổi màu LD01.CW.BLE 100/7W - sai đơn vị</t>
  </si>
  <si>
    <t>LED00034195</t>
  </si>
  <si>
    <t>Đèn LED Tracklight đổi màu TRL04.BLE 20W</t>
  </si>
  <si>
    <t>LED00034295</t>
  </si>
  <si>
    <t>Bảng điều khiển cảnh âm tường RD-SC03 (AC)</t>
  </si>
  <si>
    <t>PHN00020309</t>
  </si>
  <si>
    <t>Phích xuất khẩu 0850 N1.T IMT</t>
  </si>
  <si>
    <t>PHN00020893</t>
  </si>
  <si>
    <t>Phích xuất khẩu 1055 ST1.E NAS</t>
  </si>
  <si>
    <t>PHN00022419</t>
  </si>
  <si>
    <t>Phích xuất khẩu 3245 N1.E MUT</t>
  </si>
  <si>
    <t>PHN00024571</t>
  </si>
  <si>
    <t>Phích xuất khẩu 1040 N2 SAM</t>
  </si>
  <si>
    <t>PHN00024580</t>
  </si>
  <si>
    <t>Phích xuất khẩu 0940 N1.E APT</t>
  </si>
  <si>
    <t>PHN00025657</t>
  </si>
  <si>
    <t>Phích xuất khẩu 1150 N1.E Yemen</t>
  </si>
  <si>
    <t>PHN00025661</t>
  </si>
  <si>
    <t>Phích xuất khẩu 1040 TS3 DAC</t>
  </si>
  <si>
    <t>PHN00025662</t>
  </si>
  <si>
    <t>Phích xuất khẩu 1340 TS3 DAC</t>
  </si>
  <si>
    <t>PHN00026701</t>
  </si>
  <si>
    <t>Phích xuất khẩu 0940 N2.E Yemen</t>
  </si>
  <si>
    <t>PHN00027022</t>
  </si>
  <si>
    <t>PHN00028500</t>
  </si>
  <si>
    <t>Phích đựng nước RD 1040 TS4.E-DHD</t>
  </si>
  <si>
    <t>PHN00001061</t>
  </si>
  <si>
    <t>Ruột phích 1055 loại trần</t>
  </si>
  <si>
    <t>PHN00012406</t>
  </si>
  <si>
    <t>Ruột phích 1100-1.1L loại trần</t>
  </si>
  <si>
    <t>PHN00019794</t>
  </si>
  <si>
    <t>Ruột phích RD 1.6L (RF-1642-HAC) 1016 EU loại trần</t>
  </si>
  <si>
    <t>PHN00021437</t>
  </si>
  <si>
    <t>Ruột phích RD 0.45L (RF-04538-GU) loại trần</t>
  </si>
  <si>
    <t>PHN00024066</t>
  </si>
  <si>
    <t>Ruột phích RD 1.8L (RF-1850-HAC) RICHARD 1900 loại trần</t>
  </si>
  <si>
    <t>PHN00026347</t>
  </si>
  <si>
    <t>Ruột phích RD 2.0L (RF-2035-PCP) loại trần</t>
  </si>
  <si>
    <t>PHN00028374</t>
  </si>
  <si>
    <t>Ruột phích RD 2.5L (RF-2545-HX-2) loại trần</t>
  </si>
  <si>
    <t>PHN00000033</t>
  </si>
  <si>
    <t>Ruột phích RD 2,5L (RF-2545-ID)</t>
  </si>
  <si>
    <t>PHN00001084</t>
  </si>
  <si>
    <t>Ruột phích RD 1.0L (RF-1045-SP)</t>
  </si>
  <si>
    <t>PHN00001094</t>
  </si>
  <si>
    <t>Ruột phích RD 1.0L (RF-28764)</t>
  </si>
  <si>
    <t>PHN00004558</t>
  </si>
  <si>
    <t>Ruột phích RD 0.75L (RF-0737)</t>
  </si>
  <si>
    <t>PHN00010788</t>
  </si>
  <si>
    <t>Ruột phích RD 3.0L (RF-3045-JP)</t>
  </si>
  <si>
    <t>PHN00011068</t>
  </si>
  <si>
    <t>Ruột phích RD 2.5L (RF-2545-HEN)</t>
  </si>
  <si>
    <t>PHN00011999</t>
  </si>
  <si>
    <t>Ruột phích RD 1.0L (RF-1070-HS)</t>
  </si>
  <si>
    <t>PHN00012407</t>
  </si>
  <si>
    <t>PHN00013313</t>
  </si>
  <si>
    <t>Ruột phích RD 1.8L (RF-7009004)</t>
  </si>
  <si>
    <t>PHN00019789</t>
  </si>
  <si>
    <t>Ruột phích RD 1.9L (RF-1950_HAC) ELI 1900</t>
  </si>
  <si>
    <t>00000472</t>
  </si>
  <si>
    <t>Đèn LED dây 100/8w vàng</t>
  </si>
  <si>
    <t>00000523</t>
  </si>
  <si>
    <t>Đầu nối thẳng chữ I cho thanh ray đèn Spotlight</t>
  </si>
  <si>
    <t>LED00005658</t>
  </si>
  <si>
    <t>Bóng đèn (LED PAR30N/5W) E27 á/s trắng S</t>
  </si>
  <si>
    <t>PHN00001058</t>
  </si>
  <si>
    <t>PHN00001383</t>
  </si>
  <si>
    <t>Ruột phích 2L loại không hộp con</t>
  </si>
  <si>
    <t>PHN00001402</t>
  </si>
  <si>
    <t>Ruột phích RP1045 XK</t>
  </si>
  <si>
    <t>PHN00005260</t>
  </si>
  <si>
    <t>Ruột phích RD 1.0L (RF-7009014-Ti)</t>
  </si>
  <si>
    <t>PHN00010717</t>
  </si>
  <si>
    <t>PHN00013663</t>
  </si>
  <si>
    <t>Ruột phích RD 1.0L (RF-1042G-HS)</t>
  </si>
  <si>
    <t>PHN00019784</t>
  </si>
  <si>
    <t>Ruột phích RD 1.6L (RF-1642-HAC) 1016 EU</t>
  </si>
  <si>
    <t>PHN00021432</t>
  </si>
  <si>
    <t>Ruột phích RD 1.0L (RF-1050-DO)</t>
  </si>
  <si>
    <t>LED00005644</t>
  </si>
  <si>
    <t>Tai treo Panel 60x60.</t>
  </si>
  <si>
    <t>LED00005652</t>
  </si>
  <si>
    <t>Bóng đèn (LED PAR20N/3W) E27 á/s trắng S</t>
  </si>
  <si>
    <t>LED00005731</t>
  </si>
  <si>
    <t>Đèn LED Chỉ dẫn CD01 40x20/2.2W (2 mặt)</t>
  </si>
  <si>
    <t>LED00037545</t>
  </si>
  <si>
    <t>Đèn LED chỉ dẫn CD01 40x20/2,2W.DA(PCCC-1 mặt)</t>
  </si>
  <si>
    <t>LED00038494</t>
  </si>
  <si>
    <t>Đèn LED dây LD01.R 1000/7W (100m)</t>
  </si>
  <si>
    <t>LED00038718</t>
  </si>
  <si>
    <t>Đèn LED cắm đất CĐ01 5x2W 3000K</t>
  </si>
  <si>
    <t>LED00039328</t>
  </si>
  <si>
    <t>Driver U8KCF-50W-36V (IDF) HC</t>
  </si>
  <si>
    <t>LED00039408</t>
  </si>
  <si>
    <t>Driver U8KCF-20W-36V (IDF) HC</t>
  </si>
  <si>
    <t>LED00039525</t>
  </si>
  <si>
    <t>Đèn LED dây LD01 1000/12W 6500K (12VDC-100m)</t>
  </si>
  <si>
    <t>LED00043355</t>
  </si>
  <si>
    <t>Đèn LED dây đổi màu LD01.BLE 1000/9W (200VDC-100m)</t>
  </si>
  <si>
    <t>LED00048327</t>
  </si>
  <si>
    <t>Đèn LED âm đất AD01 300/36W.QT 10D 3000K (IP67,DC)</t>
  </si>
  <si>
    <t>LED00048329</t>
  </si>
  <si>
    <t>Đèn LED âm đất AD02 1050x115/36W.QT 30D 3000K (IP68,DC)</t>
  </si>
  <si>
    <t>LED00048894</t>
  </si>
  <si>
    <t>Đèn LED thanh T01 1000/12W.QT 30D 4000K (IP65)</t>
  </si>
  <si>
    <t>LED00051961</t>
  </si>
  <si>
    <t>Driver P06 600x600 50W T-Bar  HC TOP</t>
  </si>
  <si>
    <t>LED00056226</t>
  </si>
  <si>
    <t>Đèn LED dây RD-LD01.9W 6500K (100m)-CT</t>
  </si>
  <si>
    <t>LED00061306</t>
  </si>
  <si>
    <t>Bộ phụ kiện LED Linear PK V-LR01.BLE 210x210/6W</t>
  </si>
  <si>
    <t>LED00063918</t>
  </si>
  <si>
    <t>Đèn LED dây LD02 1000/9W 6500K (50m)</t>
  </si>
  <si>
    <t>LED00071763</t>
  </si>
  <si>
    <t>Đèn LED thanh chuyên dụng T-Malbec 780A 620/13W (KN)</t>
  </si>
  <si>
    <t>PHN00018983</t>
  </si>
  <si>
    <t>Nắp phích 1040 TS FCI (Màu bã trầu)</t>
  </si>
  <si>
    <t>LED00042839</t>
  </si>
  <si>
    <t>Đèn LED Downlight đổi màu AT20.BLE 90/7W</t>
  </si>
  <si>
    <t>LED00042843</t>
  </si>
  <si>
    <t>Đèn LED Downlight đổi màu AT20.BLE 110/9W</t>
  </si>
  <si>
    <t>LED00043784</t>
  </si>
  <si>
    <t>Công tắc cảm ứng chữ nhật CTCU.BLE R1.01 (trắng, FPT)</t>
  </si>
  <si>
    <t>LED00043801</t>
  </si>
  <si>
    <t>Điều khiển cảnh đa năng ĐK02.TP.BLE</t>
  </si>
  <si>
    <t>LED00044155</t>
  </si>
  <si>
    <t>Công tắc cảm ứng RD-CT.02.WF</t>
  </si>
  <si>
    <t>LED00044860</t>
  </si>
  <si>
    <t>Bộ đèn LED thủy sinh đổi màu TS01.RGB 900/48W</t>
  </si>
  <si>
    <t>LED00047068</t>
  </si>
  <si>
    <t>Công tắc cảm ứng CTCU.BLE SL1.01</t>
  </si>
  <si>
    <t>LED00048356</t>
  </si>
  <si>
    <t>Đèn LED Tracklight đổi màu TRL04.BLE 25W (FPT)</t>
  </si>
  <si>
    <t>LED00049304</t>
  </si>
  <si>
    <t>Công tắc cảm ứng vuông CTCU.BLE S1.REM (đen, FPT)</t>
  </si>
  <si>
    <t>LED00050414</t>
  </si>
  <si>
    <t>Đèn LED Chiếu pha NLMT CP02.SL.RF 40W</t>
  </si>
  <si>
    <t>LED00051290</t>
  </si>
  <si>
    <t>Đèn LED chiếu sáng đường CSD04 150W.NEMA 5000K (QB)</t>
  </si>
  <si>
    <t>LED00051458</t>
  </si>
  <si>
    <t>Đèn LED Downlight điều khiển Remote AT20.RM4 110/9W.C4</t>
  </si>
  <si>
    <t>LED00052954</t>
  </si>
  <si>
    <t>Đèn LED Chiếu pha NLMT CP02.SL.RF 50W.TC 6500K</t>
  </si>
  <si>
    <t>LED00054899</t>
  </si>
  <si>
    <t>Đèn LED Chiếu pha NLMT CP02.SL.RF 70W 3000K</t>
  </si>
  <si>
    <t>LED00054900</t>
  </si>
  <si>
    <t>Đèn LED Chiếu pha NLMT CP02.SL.RF 100W 3000K</t>
  </si>
  <si>
    <t>LED00054902</t>
  </si>
  <si>
    <t>Đèn LED Chiếu pha NLMT CP02.SL.RF 90W 6500K</t>
  </si>
  <si>
    <t>LED00055461</t>
  </si>
  <si>
    <t>Bộ vỏ hình vuông CTCU.BLE S1.REM (trắng, FPT, SGBR02108)</t>
  </si>
  <si>
    <t>LED00058345</t>
  </si>
  <si>
    <t>Ổ cắm đơn OC.01.WF.BLE 16A (Viettel)</t>
  </si>
  <si>
    <t>LED00059768</t>
  </si>
  <si>
    <t>Công tắc cảm ứng chữ nhật CTCU.BLE CN.DOT.NC MN</t>
  </si>
  <si>
    <t>LED00059772</t>
  </si>
  <si>
    <t>Công tắc cảm ứng vuông CTCU.WF V.04T MN</t>
  </si>
  <si>
    <t>LED00061331</t>
  </si>
  <si>
    <t>Đèn LED Downlight AT35.BLE.UGR 75/7W 4000K</t>
  </si>
  <si>
    <t>LED00062518</t>
  </si>
  <si>
    <t>Công tắc cảm ứng chữ nhật CTCU.ZB CN.01T.DF</t>
  </si>
  <si>
    <t>LED00063986</t>
  </si>
  <si>
    <t>Ray dẫn điện đèn LED ray (48V)</t>
  </si>
  <si>
    <t>LED00067395</t>
  </si>
  <si>
    <t>Đèn LED thanh T03.DMX.RGBW 500/8W 120D (W3000K, 24VDC)</t>
  </si>
  <si>
    <t>PHN00005258</t>
  </si>
  <si>
    <t>Ruột phích RD 1.8L (RF-18046-Ti)</t>
  </si>
  <si>
    <t>PHN00010681</t>
  </si>
  <si>
    <t>PHN00010721</t>
  </si>
  <si>
    <t>PHN00011070</t>
  </si>
  <si>
    <t>Ruột phích RD 3.0L (RF-3045-GL)</t>
  </si>
  <si>
    <t>PHN00011383</t>
  </si>
  <si>
    <t>Ruột phích RD 1.5L (RF-1542-HEN)</t>
  </si>
  <si>
    <t>PHN00011389</t>
  </si>
  <si>
    <t>Ruột phích RD 1.0L (RF-1042-XD)</t>
  </si>
  <si>
    <t>PHN00011991</t>
  </si>
  <si>
    <t>Ruột phích RD 2.0L (RF-2035-PL)</t>
  </si>
  <si>
    <t>PHN00015292</t>
  </si>
  <si>
    <t>Ruột phích RD 2.5L (RF-2545-HAC)</t>
  </si>
  <si>
    <t>PHN00021430</t>
  </si>
  <si>
    <t>Ruột phích RD 0.8L (RF-0842-LC)</t>
  </si>
  <si>
    <t>PHN00022863</t>
  </si>
  <si>
    <t>Ruột phích RD 2.0L (RF-2065-Yemen)</t>
  </si>
  <si>
    <t>PHN00024065</t>
  </si>
  <si>
    <t>Ruột phích RD 1.8L (RF-1850-HAC) RICHARD 1900</t>
  </si>
  <si>
    <t>00000097</t>
  </si>
  <si>
    <t>Khung treo bộ đèn LED M15L 60x60</t>
  </si>
  <si>
    <t>00000465</t>
  </si>
  <si>
    <t>Driver D AT04L 7w-9w V5-HC-Giắc</t>
  </si>
  <si>
    <t>LED00005653</t>
  </si>
  <si>
    <t>Đèn LED chỉ dẫn CD01 40x20/2,2W.DA (2 mặt)</t>
  </si>
  <si>
    <t>LED00023221</t>
  </si>
  <si>
    <t>Bộ phụ kiện cho LED dây 7W</t>
  </si>
  <si>
    <t>LED00023784</t>
  </si>
  <si>
    <t>Giá treo đèn LED panel 60x120</t>
  </si>
  <si>
    <t>LED00030464</t>
  </si>
  <si>
    <t>Đèn LED dây 100/7w vàng</t>
  </si>
  <si>
    <t>LED00033516</t>
  </si>
  <si>
    <t>Đèn LED cắm đất ZDL 1108 13W 3000K (Yankon)</t>
  </si>
  <si>
    <t>LED00035248</t>
  </si>
  <si>
    <t>Đèn LED dây RD-LD01.7W 4000K (100m)</t>
  </si>
  <si>
    <t>LED00048033</t>
  </si>
  <si>
    <t>Đèn LED dây LD01 1000/9W.QT 3000K (DC 220V-20m, IP65)</t>
  </si>
  <si>
    <t>LED00049608</t>
  </si>
  <si>
    <t>Đèn bắt côn trùng DCT01 8W</t>
  </si>
  <si>
    <t>LED00049840</t>
  </si>
  <si>
    <t>Driver PN06 320x1280 50W M-Bar HC</t>
  </si>
  <si>
    <t>LED00049937</t>
  </si>
  <si>
    <t>Driver PN06 320x1280 40W M-Bar HC</t>
  </si>
  <si>
    <t>LED00051696</t>
  </si>
  <si>
    <t>Driver 320x640/20W MBar Direct LLC PER HC</t>
  </si>
  <si>
    <t>LED00056224</t>
  </si>
  <si>
    <t>Đèn LED dây RD-LD01.7W 3000K (100m)-CT</t>
  </si>
  <si>
    <t>LED00058733</t>
  </si>
  <si>
    <t>Đèn LED thanh chuyên dụng T-Malbec 720B 1140/22W (KN)</t>
  </si>
  <si>
    <t>LED00044734</t>
  </si>
  <si>
    <t>Đèn LED Panel P06 320x640/25W T-bar 5700K KN-PER</t>
  </si>
  <si>
    <t>LED00045052</t>
  </si>
  <si>
    <t>Đèn LED Panel P06 320x1280/50W M-bar 5700K XK-KN</t>
  </si>
  <si>
    <t>LED00045150</t>
  </si>
  <si>
    <t>Đèn LED Panel P06 320x1280/42W M-bar 5700K TOP</t>
  </si>
  <si>
    <t>LED00045340</t>
  </si>
  <si>
    <t>Đèn LED Panel P06 640x640/40W T-bar 4000K KN-PER</t>
  </si>
  <si>
    <t>LED00052778</t>
  </si>
  <si>
    <t>Đèn LED Panel P06 640x640/50W M-bar Direct 4000K TOP</t>
  </si>
  <si>
    <t>LED00053113</t>
  </si>
  <si>
    <t>Đèn LED Panel đổi màu P10 180x640/25W (KC-TOP) SS</t>
  </si>
  <si>
    <t>LED00055682</t>
  </si>
  <si>
    <t>Đèn LED Panel P06 T320x1280/50W Mbar direct 5700K HB</t>
  </si>
  <si>
    <t>LED00055701</t>
  </si>
  <si>
    <t>Đèn LED Panel P06 T320x1280/40W Mbar direct 5700K HP</t>
  </si>
  <si>
    <t>LED00058808</t>
  </si>
  <si>
    <t>Đèn LED Panel P06 300x1200/40W.2 T-bar 5700K TOP</t>
  </si>
  <si>
    <t>LED00063514</t>
  </si>
  <si>
    <t>Đèn LED Panel P08 600x600/36W 6500K (KPK) SS</t>
  </si>
  <si>
    <t>LED00063806</t>
  </si>
  <si>
    <t>Đèn LED Panel P08 300x1200/36W 6500K (KPK) SS</t>
  </si>
  <si>
    <t>LED00064983</t>
  </si>
  <si>
    <t>Đèn LED Panel P07 300x2400/48W.PLUS 6500K (KPK) SS</t>
  </si>
  <si>
    <t>LED00064984</t>
  </si>
  <si>
    <t>Đèn LED Panel P07 300x2400/72W.PLUS 4000K (KPK) SS</t>
  </si>
  <si>
    <t>LED00066040</t>
  </si>
  <si>
    <t>Đèn LED Panel P07 1200x600/60W.GOV.V4 6500K</t>
  </si>
  <si>
    <t>LED00066182</t>
  </si>
  <si>
    <t>Đèn LED Panel P07 600x600/35W.PLUS 5000K (KPK) SS</t>
  </si>
  <si>
    <t>LED00071579</t>
  </si>
  <si>
    <t>Đèn LED Panel P06 T640X640/40W.2 Mbar direct 4000K GB</t>
  </si>
  <si>
    <t>LED00073265</t>
  </si>
  <si>
    <t>Đèn LED Panel P01 640x640/40W.H 5700K (KC-LG-KN)</t>
  </si>
  <si>
    <t>LED00081117</t>
  </si>
  <si>
    <t>Đèn LED Panel P08 600x1200/100W 4000K (KPK)</t>
  </si>
  <si>
    <t>LED00084397</t>
  </si>
  <si>
    <t>Bộ tán xạ panel MQL 1064 NBT24-LENS PS SKD (Current)</t>
  </si>
  <si>
    <t>00000296</t>
  </si>
  <si>
    <t>Đèn LED Nhật quang D NH.Q01L/5W 220V-5000K</t>
  </si>
  <si>
    <t>LED00043941</t>
  </si>
  <si>
    <t>Đèn LED Gắn tường GT18.3M 6W 4000K</t>
  </si>
  <si>
    <t>LED00044110</t>
  </si>
  <si>
    <t>Đèn LED ốp tường đổi màu LN18.V2 110x75/6W SS</t>
  </si>
  <si>
    <t>LED00005131</t>
  </si>
  <si>
    <t>Bóng LED Tube T8 1200/20W 6500K (ĐX) SS</t>
  </si>
  <si>
    <t>LED00034786</t>
  </si>
  <si>
    <t>Đèn LED Downlight đổi màu AT18.BLE 100/9W</t>
  </si>
  <si>
    <t>LED00036826</t>
  </si>
  <si>
    <t>Đèn LED Downlight đổi màu AT18.BLE 80/12W (F36)</t>
  </si>
  <si>
    <t>LED00037611</t>
  </si>
  <si>
    <t>Bộ đèn LED c/ẩm c/b BD M18L 120/35W.RAD.EVT 6500K SS</t>
  </si>
  <si>
    <t>LED00037612</t>
  </si>
  <si>
    <t>Đèn LED ốp trần c/biến D LN12L 160/12W .RAD.EVT - 6500K</t>
  </si>
  <si>
    <t>LED00037661</t>
  </si>
  <si>
    <t>Bộ đèn LED c/ẩm BD M18L 120/35W.EVT 6500K SS</t>
  </si>
  <si>
    <t>LED00039569</t>
  </si>
  <si>
    <t>Ổ cắm Wifi đơn OC.01.WF 16A</t>
  </si>
  <si>
    <t>LED00041966</t>
  </si>
  <si>
    <t>Đèn LED panel đổi màu P07.BLE 230x1000/40W (ko LGP,KPK)</t>
  </si>
  <si>
    <t>LED00042838</t>
  </si>
  <si>
    <t>Công tắc cảm ứng RD-CT.04 (Trắng)</t>
  </si>
  <si>
    <t>LED00043388</t>
  </si>
  <si>
    <t>Đèn bàn LED cảm ứng RD-RL-41 6W</t>
  </si>
  <si>
    <t>LED00044157</t>
  </si>
  <si>
    <t>Công tắc cảm ứng RD-CT.03.WF</t>
  </si>
  <si>
    <t>LED00044859</t>
  </si>
  <si>
    <t>Bộ đèn LED thủy sinh đổi màu TS01.RGB 600/32W</t>
  </si>
  <si>
    <t>LED00047074</t>
  </si>
  <si>
    <t>Công tắc cảm ứng CTCU.BLE SNL1.03</t>
  </si>
  <si>
    <t>LED00047494</t>
  </si>
  <si>
    <t>Đèn LED Downlight đổi màu AT18.BLE 100/9W (FPT)</t>
  </si>
  <si>
    <t>LED00047642</t>
  </si>
  <si>
    <t>Công tắc cảm ứng chữ nhật CTCU.BLE RL2.04 (đen,FPT)</t>
  </si>
  <si>
    <t>LED00047721</t>
  </si>
  <si>
    <t>Ổ cắm đa năng chống giật OC04 4C/3M/10A</t>
  </si>
  <si>
    <t>LED00048884</t>
  </si>
  <si>
    <t>Bộ nguồn điều khiển LED dây DR-LD01.RGB ĐM 1000/7W</t>
  </si>
  <si>
    <t>LED00049686</t>
  </si>
  <si>
    <t>Ổ cắm đa năng USB chống giật OC04.USB 3C/5M/10A</t>
  </si>
  <si>
    <t>LED00051029</t>
  </si>
  <si>
    <t>Công tắc cảm ứng chữ nhật CTCU.WF CN.REMT</t>
  </si>
  <si>
    <t>LED00051460</t>
  </si>
  <si>
    <t>Đèn LED Downlight điều khiển Remote AT20.RM4 90/7W.C8</t>
  </si>
  <si>
    <t>LED00052964</t>
  </si>
  <si>
    <t>Đèn LED Chiếu pha NLMT CP02.SL.RF 150W 6500K</t>
  </si>
  <si>
    <t>LED00053477</t>
  </si>
  <si>
    <t>Đèn LED ốp trần LN12.RAD 220/18W (WC) 3000K</t>
  </si>
  <si>
    <t>LED00053942</t>
  </si>
  <si>
    <t>Bộ đèn LED M66.BLE 1200/40W</t>
  </si>
  <si>
    <t>LED00054121</t>
  </si>
  <si>
    <t>Đèn LED Chiếu pha NLMT CP02.SL.RF 30W 3000K</t>
  </si>
  <si>
    <t>LED00054853</t>
  </si>
  <si>
    <t>Ổ cắm âm tường OCAT04K 2C/16A (chữ nhật, Ralli)</t>
  </si>
  <si>
    <t>LED00082063</t>
  </si>
  <si>
    <t>Đèn Led downlight vuông PN03 156x156/12W.GOV.V2 3000K</t>
  </si>
  <si>
    <t>LED00082236</t>
  </si>
  <si>
    <t>Đèn LED Panel P06 320x640/25W.2 Mbar direct 5700K GB</t>
  </si>
  <si>
    <t>LED00082343</t>
  </si>
  <si>
    <t>Đèn LED Panel PT07 600/38W.GOV.V2 6500K (KPK)</t>
  </si>
  <si>
    <t>LED00084260</t>
  </si>
  <si>
    <t>Bộ chiếu sáng MQL 1064 1x4 CBT 90C40K SKD (Current)</t>
  </si>
  <si>
    <t>LED00005649</t>
  </si>
  <si>
    <t>Đèn LED Gắn tường GT05 T/5W 3000K</t>
  </si>
  <si>
    <t>LED00076455</t>
  </si>
  <si>
    <t>Đèn LED gắn tường GT21.1P 10W 6500K</t>
  </si>
  <si>
    <t>LED00082101</t>
  </si>
  <si>
    <t>Đèn LED gắn tường GT21.2P 15W 4000K</t>
  </si>
  <si>
    <t>LED00005097</t>
  </si>
  <si>
    <t>Bóng LED Tube 1200/22W 6500K</t>
  </si>
  <si>
    <t>LED00014358</t>
  </si>
  <si>
    <t>Bóng LED Tube T8 1200/18W 5000K SS</t>
  </si>
  <si>
    <t>LED00029538</t>
  </si>
  <si>
    <t>Bóng LED tube T8 1200/20W 4000K SS</t>
  </si>
  <si>
    <t>LED00041413</t>
  </si>
  <si>
    <t>Bóng LED Tube T8 1200/36W 6500K SS</t>
  </si>
  <si>
    <t>LED00047395</t>
  </si>
  <si>
    <t>Bóng LED Tube T8 1200/20W 6500K</t>
  </si>
  <si>
    <t>LED00051391</t>
  </si>
  <si>
    <t>Bóng LED Tube T8 600/10W 6500K-TC</t>
  </si>
  <si>
    <t>LED00053259</t>
  </si>
  <si>
    <t>Bóng đèn LED Tube T8 TT 1200/18W 6500K KN</t>
  </si>
  <si>
    <t>LED00056175</t>
  </si>
  <si>
    <t>Bóng LED Tube NN T8 1200/12.5W 6500K (XK)</t>
  </si>
  <si>
    <t>LED00005567</t>
  </si>
  <si>
    <t>Mángđèn s/mỏng20/18x1-M9 cób/látđ/tử</t>
  </si>
  <si>
    <t>LED00005576</t>
  </si>
  <si>
    <t>Máng đèn s/mỏngFS40/36x2-M9balát đ/tử</t>
  </si>
  <si>
    <t>LED00005588</t>
  </si>
  <si>
    <t>Máng HQ lắpnổiFS20/18x3-M10-BL đ/tử</t>
  </si>
  <si>
    <t>LED00011963</t>
  </si>
  <si>
    <t>Máng HQ lắpnổiFS20/18x3-M10 (lắp Led Tube)</t>
  </si>
  <si>
    <t>LED00032810</t>
  </si>
  <si>
    <t>Máng đènFS-20/18x2-M8-ko nắp(lắp Led Tube)</t>
  </si>
  <si>
    <t>LED00040552</t>
  </si>
  <si>
    <t>Bộ  máng FS M21.1 1.2m</t>
  </si>
  <si>
    <t>LED00050875</t>
  </si>
  <si>
    <t>Máng đèn FS40/36x2-M9-koBL,ko nắp(lắp Led Tube)-CT</t>
  </si>
  <si>
    <t>LED00025838</t>
  </si>
  <si>
    <t>Đèn LED ốp trần cảm biến LN09.RAD 230/18W 6500K SS</t>
  </si>
  <si>
    <t>LED00028283</t>
  </si>
  <si>
    <t>Đèn LED Panel đổi màu P07.WF 600x600/40W SS</t>
  </si>
  <si>
    <t>LED00030325</t>
  </si>
  <si>
    <t>Đèn bàn LED cảm ứng RD-RL-36 6W SS</t>
  </si>
  <si>
    <t>LED00063278</t>
  </si>
  <si>
    <t>Bộ đèn LED Linear LR01 1000/18W.GOV 4000K</t>
  </si>
  <si>
    <t>LED00065016</t>
  </si>
  <si>
    <t>Đèn tảo lọc không khí ALOXY T1.5B</t>
  </si>
  <si>
    <t>LED00080938</t>
  </si>
  <si>
    <t>Đèn LED ốp tường trang trí LWA0176L -3000K</t>
  </si>
  <si>
    <t>LED00081300</t>
  </si>
  <si>
    <t>Tủ điều khiển chiếu sáng thông minh TĐKCS IOT 75A 3P 3NR</t>
  </si>
  <si>
    <t>LED00082142</t>
  </si>
  <si>
    <t>Đèn Led dây RD-LD.9W.GOV 4000K</t>
  </si>
  <si>
    <t>LED00082373</t>
  </si>
  <si>
    <t>Đèn LED thanh âm đất, hắt tường AD.TT01 1000/15W.APG 3000K</t>
  </si>
  <si>
    <t>LED00083148</t>
  </si>
  <si>
    <t>Đèn Led dây RD-LD.9W.GOV 3000K</t>
  </si>
  <si>
    <t>LED00084383</t>
  </si>
  <si>
    <t>Bộ khung panel MQL 1064 FRM LENS 2X4 NBT SKD (Current,RD)</t>
  </si>
  <si>
    <t>PHN00000366</t>
  </si>
  <si>
    <t>ĐẦU PHÍCH ẤN SOPRANO</t>
  </si>
  <si>
    <t>PHN00004610</t>
  </si>
  <si>
    <t>Vỏ phích inox 1,0L-Aladin new</t>
  </si>
  <si>
    <t>PHN00018029</t>
  </si>
  <si>
    <t>Vỏ phích inox 1.0L - Invicta</t>
  </si>
  <si>
    <t>PHN00018345</t>
  </si>
  <si>
    <t>Motor máy xay RD MX01 Yemen</t>
  </si>
  <si>
    <t>LED00032851</t>
  </si>
  <si>
    <t>Bóng LED Tube T8 600/10W.DA 4000K SS</t>
  </si>
  <si>
    <t>LED00034317</t>
  </si>
  <si>
    <t>Bóng LED Tube T8 1200/20W 5000K SS</t>
  </si>
  <si>
    <t>LED00034449</t>
  </si>
  <si>
    <t>Bóng LED Tube T8 1200/20W 6500K LPF SS</t>
  </si>
  <si>
    <t>LED00037842</t>
  </si>
  <si>
    <t>Bóng LED Tube T8 1200/18W.DA 6500K SS</t>
  </si>
  <si>
    <t>LED00041493</t>
  </si>
  <si>
    <t>Bóng LED Tube T8 600/10W 5000K LPF SS</t>
  </si>
  <si>
    <t>LED00048273</t>
  </si>
  <si>
    <t>Bóng LED Tube T8 1200/20W.DA 6500K</t>
  </si>
  <si>
    <t>LED00051390</t>
  </si>
  <si>
    <t>Bóng LED Tube T8 1200/20W 6500K LPF SS-TC</t>
  </si>
  <si>
    <t>LED00054833</t>
  </si>
  <si>
    <t>Bóng đèn LED Tube T8 N01 1200/18W 6500K (XK Cepco)</t>
  </si>
  <si>
    <t>LED00055332</t>
  </si>
  <si>
    <t>Bóng LED Tube T8 600/10W 6500K-CT</t>
  </si>
  <si>
    <t>LED00061242</t>
  </si>
  <si>
    <t>Đèn LED T3 600/9W 5700K (XK-KV)</t>
  </si>
  <si>
    <t>LED00081916</t>
  </si>
  <si>
    <t>Bóng LED Tube T8 TT01 1200/20W (Yemen) 12000K-VH-SKD</t>
  </si>
  <si>
    <t>LED00084378</t>
  </si>
  <si>
    <t>Bóng LED Tube T8 1200/20W 4000K Plus (BTP) (EMC)</t>
  </si>
  <si>
    <t>00000230</t>
  </si>
  <si>
    <t>Máng đèn HQ 1,2mđôiCCK/nắp,có Ch.lưu</t>
  </si>
  <si>
    <t>00000231</t>
  </si>
  <si>
    <t>Máng đèn HQ 1,2mđơn caocấp cóCh.lưu</t>
  </si>
  <si>
    <t>00000442</t>
  </si>
  <si>
    <t>Máng HQ âmtrầnFS40/36x3-M6-balát đ/từ</t>
  </si>
  <si>
    <t>00000520</t>
  </si>
  <si>
    <t>Nắp máng đèn HQ 1,2m đôi c/cấp</t>
  </si>
  <si>
    <t>LED00005536</t>
  </si>
  <si>
    <t>Máng đèn HQ 1,2m không chấn lưu</t>
  </si>
  <si>
    <t>LED00005547</t>
  </si>
  <si>
    <t>Máng HQ âmtrầnFS40/36x4-M6-(lắp led tube)</t>
  </si>
  <si>
    <t>LED00005565</t>
  </si>
  <si>
    <t>Máng đèn FS-40/36x2-M8-có nắp(lắp Led Tube)</t>
  </si>
  <si>
    <t>LED00005572</t>
  </si>
  <si>
    <t>Máng đèn s/mỏngFS40/36x1-M9balát đ/tử</t>
  </si>
  <si>
    <t>LED00005577</t>
  </si>
  <si>
    <t>Máng đèn FS-40/36x2-M9-k/balát(lắp Led Tube)</t>
  </si>
  <si>
    <t>LED00005584</t>
  </si>
  <si>
    <t>Máng đèn FS20/18x1-M9- không ballast (XK)</t>
  </si>
  <si>
    <t>LED00012709</t>
  </si>
  <si>
    <t>Máng đèn âm trần FS20/18x4-M6-(lắp Led Tube)</t>
  </si>
  <si>
    <t>LED00043005</t>
  </si>
  <si>
    <t>Mángđèn s/mỏng20/18x2-M9 cób/látđ/tử</t>
  </si>
  <si>
    <t>LED00046256</t>
  </si>
  <si>
    <t>HN máng đèn HQ s/mỏng FS40/36x1-M9 ko in(XNT)</t>
  </si>
  <si>
    <t>LED00055333</t>
  </si>
  <si>
    <t>Đèn bàn LED cảm ứng RD-RL-41 6W-CT</t>
  </si>
  <si>
    <t>LED00055717</t>
  </si>
  <si>
    <t>Công tắc cảm ứng vuông CTCU.BLE V.01T (Viettel)</t>
  </si>
  <si>
    <t>LED00056418</t>
  </si>
  <si>
    <t>Bộ đèn LED cảm biến PKL.PIR.BLE 1200/40W 6500K (DIM)</t>
  </si>
  <si>
    <t>LED00058339</t>
  </si>
  <si>
    <t>Đèn LED Chiếu pha NLMT CP05.SL.RF 350W 6500K</t>
  </si>
  <si>
    <t>LED00059175</t>
  </si>
  <si>
    <t>Điều khiển từ xa đa năng thông minh ĐK01.IR.WF.DF (Dofa)</t>
  </si>
  <si>
    <t>LED00059763</t>
  </si>
  <si>
    <t>Công tắc cảm ứng chữ nhật CTCU.BLE CN.02T MN</t>
  </si>
  <si>
    <t>LED00063573</t>
  </si>
  <si>
    <t>Điều khiển từ xa đa năng thông minh ĐK01.IR.RF.WF</t>
  </si>
  <si>
    <t>LED00067256</t>
  </si>
  <si>
    <t>Đèn bàn LED cảm ứng RD-RL-38.Plus 6W-CT</t>
  </si>
  <si>
    <t>LED00067257</t>
  </si>
  <si>
    <t>Đèn bàn LED cảm ứng RD-RL-46 6W-CT</t>
  </si>
  <si>
    <t>LED00069275</t>
  </si>
  <si>
    <t>Tủ điện kỹ thuật KTB</t>
  </si>
  <si>
    <t>LED00071107</t>
  </si>
  <si>
    <t>Công tắc cảm ứng vuông CTCU.WF V.DOT.2W.SP</t>
  </si>
  <si>
    <t>LED00071656</t>
  </si>
  <si>
    <t>Bộ điều khiển trung tâm NN RD-NN.GW02</t>
  </si>
  <si>
    <t>LED00072394</t>
  </si>
  <si>
    <t>Công tắc cảm ứng vuông CTCU.WF V.01T.2W.SP MN</t>
  </si>
  <si>
    <t>LED00075052</t>
  </si>
  <si>
    <t>Cảm biến oxy hòa tan trong nước CB09-NN.DO.BLE</t>
  </si>
  <si>
    <t>LED00075240</t>
  </si>
  <si>
    <t>Hệ điện áp mái NLMT SLS.3P 12.5KW (KNC)</t>
  </si>
  <si>
    <t>LED00084169</t>
  </si>
  <si>
    <t>Hệ điện áp mái NLMT SLS.R1P 10KW V2 (KNC)</t>
  </si>
  <si>
    <t>LED00084177</t>
  </si>
  <si>
    <t>Hệ điện áp mái NLMT SLS.R3P 16KW (KNC)</t>
  </si>
  <si>
    <t>00000186</t>
  </si>
  <si>
    <t>Đui đèn cài B22</t>
  </si>
  <si>
    <t>00000195</t>
  </si>
  <si>
    <t>Công tắc và ổcắm 3 chân 15A-250V(S9UK)</t>
  </si>
  <si>
    <t>LED00074764</t>
  </si>
  <si>
    <t>Aptomat ngắn mạch RD.MCB 2P2E 40A</t>
  </si>
  <si>
    <t>LED00074777</t>
  </si>
  <si>
    <t>Aptomat ngắn mạch RD.MCB 4P4E C10</t>
  </si>
  <si>
    <t>LED00074781</t>
  </si>
  <si>
    <t>Aptomat ngắn mạch RD.MCB 4P4E C25</t>
  </si>
  <si>
    <t>LED00074783</t>
  </si>
  <si>
    <t>Aptomat ngắn mạch RD.MCB 4P4E C40</t>
  </si>
  <si>
    <t>LED00074785</t>
  </si>
  <si>
    <t>Aptomat ngắn mạch RD.MCB 4P4E C63</t>
  </si>
  <si>
    <t>LED00005762</t>
  </si>
  <si>
    <t>MODULE LED (LED MD01/0,6W DC12V-Trắng</t>
  </si>
  <si>
    <t>LED00028750</t>
  </si>
  <si>
    <t>Đèn LED dây LD01 1000/12W 6000K (AC 220V-10m, XK)</t>
  </si>
  <si>
    <t>LED00034422</t>
  </si>
  <si>
    <t>Đèn LED dây RD-LD01.7W 6500K (100m)</t>
  </si>
  <si>
    <t>LED00034432</t>
  </si>
  <si>
    <t>Đèn LED dây RD-LD01.9W 3000K (100m)</t>
  </si>
  <si>
    <t>LED00039386</t>
  </si>
  <si>
    <t>Driver U8KCF-25W-48V (IDF) HC</t>
  </si>
  <si>
    <t>LED00039400</t>
  </si>
  <si>
    <t>Driver U8KC-25W-36V (IDF) HC</t>
  </si>
  <si>
    <t>LED00047176</t>
  </si>
  <si>
    <t>Vợt bắt muỗi VBM RD.02</t>
  </si>
  <si>
    <t>LED00048176</t>
  </si>
  <si>
    <t>Driver PN06 40W KC HC</t>
  </si>
  <si>
    <t>LED00048326</t>
  </si>
  <si>
    <t>Đèn LED thanh T02 500/9W.QT 30D 3000K (IP65)</t>
  </si>
  <si>
    <t>LED00050837</t>
  </si>
  <si>
    <t>Bộ Driver LED dây LD01.9W-CT</t>
  </si>
  <si>
    <t>LED00051546</t>
  </si>
  <si>
    <t>Driver 320x1280/40W LLC PER HC (M-Bar)</t>
  </si>
  <si>
    <t>LED00051990</t>
  </si>
  <si>
    <t>Driver PN06 40W KC HC (SC dùng 600x600 40W) TOP</t>
  </si>
  <si>
    <t>LED00060283</t>
  </si>
  <si>
    <t>Thân đèn Worklight MPL-1027 (Yankon)</t>
  </si>
  <si>
    <t>LED00065119</t>
  </si>
  <si>
    <t>Driver P06.UGR.T 50W TC</t>
  </si>
  <si>
    <t>LED00081484</t>
  </si>
  <si>
    <t>Đèn LED Chỉ dẫn CD01 40x20/2.2W (PCCC-2 mặt)-CT</t>
  </si>
  <si>
    <t>LED00081486</t>
  </si>
  <si>
    <t>Đèn LED dây Neon LED FLEX NEON RGBW</t>
  </si>
  <si>
    <t>LED00081550</t>
  </si>
  <si>
    <t>Máy quang phổ không dây Bluetooth BN330P</t>
  </si>
  <si>
    <t>LED00084906</t>
  </si>
  <si>
    <t>Đèn LED dây LD01 5000/40W 3000K (CRI 80, XK)</t>
  </si>
  <si>
    <t>PHN00000016</t>
  </si>
  <si>
    <t>ROLLER 1,0L-STAINLESS STEEL-Aladdin</t>
  </si>
  <si>
    <t>PHN00012062</t>
  </si>
  <si>
    <t>Vỏ phích inox 1,0L/T-Termolar (màu đồng)</t>
  </si>
  <si>
    <t>PHN00017615</t>
  </si>
  <si>
    <t>Vỏ phích Inox 1.9L-MOR</t>
  </si>
  <si>
    <t>LED00067397</t>
  </si>
  <si>
    <t>Bộ điều khiển trung tâm RD-GW.RJ45.DMX (IP20)</t>
  </si>
  <si>
    <t>LED00069998</t>
  </si>
  <si>
    <t>Tủ điện kỹ thuật KTA</t>
  </si>
  <si>
    <t>LED00071616</t>
  </si>
  <si>
    <t>Công tắc cảm ứng vuông CTCU.WF V.DOT(trắng, FPT)</t>
  </si>
  <si>
    <t>LED00075218</t>
  </si>
  <si>
    <t>Hệ điện áp mái NLMT SLS.3P 10KW</t>
  </si>
  <si>
    <t>LED00075238</t>
  </si>
  <si>
    <t>Hệ điện áp mái NLMT SLS.3P 8KW (KNC)</t>
  </si>
  <si>
    <t>LED00076556</t>
  </si>
  <si>
    <t>Công tắc cảm ứng chữ nhật CTCU.WF CN.02T(đen, FPT)</t>
  </si>
  <si>
    <t>LED00082695</t>
  </si>
  <si>
    <t>Đèn LED Panel dự phòng P08.DP 600x600/50W 6500K (KPK)</t>
  </si>
  <si>
    <t>LED00084167</t>
  </si>
  <si>
    <t>Hệ điện áp mái NLMT SLS.R1P 7.5KW (KNC)</t>
  </si>
  <si>
    <t>LED00084172</t>
  </si>
  <si>
    <t>Hệ điện áp mái NLMT SLS.1P 6KW V2 (KNC)</t>
  </si>
  <si>
    <t>LED00084173</t>
  </si>
  <si>
    <t>Hệ điện áp mái NLMT SLS.1P 8.5KW (KNC)</t>
  </si>
  <si>
    <t>LED00056221</t>
  </si>
  <si>
    <t>Ổ cắm đa năng OC02 4C/3M/10A-CT</t>
  </si>
  <si>
    <t>LED00065627</t>
  </si>
  <si>
    <t>Ổ cắm đa năng OC05.V2 3C/5M/10A</t>
  </si>
  <si>
    <t>LED00074753</t>
  </si>
  <si>
    <t>Aptomat ngắn mạch RD.MCB 1P1E 32A</t>
  </si>
  <si>
    <t>LED00074762</t>
  </si>
  <si>
    <t>Aptomat ngắn mạch RD.MCB 2P2E 25A</t>
  </si>
  <si>
    <t>LED00074787</t>
  </si>
  <si>
    <t>Aptomat chống giật RD.RCBO 1P+N 10A</t>
  </si>
  <si>
    <t>LED00083248</t>
  </si>
  <si>
    <t>Hạt công tắc âm tường 1 chiều HCT02 1C/10A</t>
  </si>
  <si>
    <t>PHN00000004</t>
  </si>
  <si>
    <t>PHN00000012</t>
  </si>
  <si>
    <t>PHN00000982</t>
  </si>
  <si>
    <t>Phích Nhựa 899-2Lit (nắp có quai-N.Q)</t>
  </si>
  <si>
    <t>PHN00001352</t>
  </si>
  <si>
    <t>Phích cháo (PC-02)-1L</t>
  </si>
  <si>
    <t>PHN00008462</t>
  </si>
  <si>
    <t>PHN00011629</t>
  </si>
  <si>
    <t>Phích xuất khẩu 1055 ST1.E Esam</t>
  </si>
  <si>
    <t>PHN00011770</t>
  </si>
  <si>
    <t>Phích xuất khẩu 1040 ST2.E Esam</t>
  </si>
  <si>
    <t>PHN00011771</t>
  </si>
  <si>
    <t>Phích xuất khẩu 1045 N1.E Esam</t>
  </si>
  <si>
    <t>LED00075189</t>
  </si>
  <si>
    <t>Máng đèn FS40/36x1-M9-koBL,ko nắp(lắp Led Tube)-CT</t>
  </si>
  <si>
    <t>LED00011656</t>
  </si>
  <si>
    <t>Bộ đèn LED Tube T8 dự phòng CA0.DP/18Wx2.DA 6500K</t>
  </si>
  <si>
    <t>LED00012782</t>
  </si>
  <si>
    <t>Đèn bàn LED cảm ứng RD-RL-22 6W</t>
  </si>
  <si>
    <t>LED00021653</t>
  </si>
  <si>
    <t>Đèn LED ốp trần cảm biến LN08.RAD 230x230/18W 6500K SS</t>
  </si>
  <si>
    <t>LED00024531</t>
  </si>
  <si>
    <t>Đèn LED Downlight đổi màu AT16.WF 110/9W</t>
  </si>
  <si>
    <t>LED00024777</t>
  </si>
  <si>
    <t>Đèn LED Panel đổi màu P07.RF 600x600/40W SS</t>
  </si>
  <si>
    <t>LED00025835</t>
  </si>
  <si>
    <t>Đèn LED ốp trần cảm biến LN05.RAD 220/14W 110V 6500K SS</t>
  </si>
  <si>
    <t>LED00025844</t>
  </si>
  <si>
    <t>Đèn bàn LED cảm ứng RD-RL-31 5W</t>
  </si>
  <si>
    <t>LED00035652</t>
  </si>
  <si>
    <t>Bộ điều khiển không dây gắn tường RD SC.M1 V2</t>
  </si>
  <si>
    <t>LED00036320</t>
  </si>
  <si>
    <t>Bảng điều khiển cảnh RD-SC.M3 (DC)</t>
  </si>
  <si>
    <t>LED00038184</t>
  </si>
  <si>
    <t>Đèn LED Downlight đổi màu AT04.BLE 155/16W</t>
  </si>
  <si>
    <t>LED00042290</t>
  </si>
  <si>
    <t>Ổ cắm đa năng USB OC02.USB 3C/5M/10A</t>
  </si>
  <si>
    <t>LED00043464</t>
  </si>
  <si>
    <t>Đèn LED Downlight điều khiển Remote AT20.RM 110/9W.C6</t>
  </si>
  <si>
    <t>LED00043787</t>
  </si>
  <si>
    <t>Công tắc cảm ứng RD-CT.03.BLE</t>
  </si>
  <si>
    <t>LED00044124</t>
  </si>
  <si>
    <t>Đèn LED Downlight xoay góc đổi màu AT22.BLE 60/7W</t>
  </si>
  <si>
    <t>LED00047482</t>
  </si>
  <si>
    <t>Ổ cắm đơn BLE OC.01.BLE 16A (FPT)</t>
  </si>
  <si>
    <t>LED00047722</t>
  </si>
  <si>
    <t>Ổ cắm đa năng USB chống giật OC04.USB 3C/3M/10A</t>
  </si>
  <si>
    <t>LED00048360</t>
  </si>
  <si>
    <t>Đèn LED Panel đổi màu P07.BLE 600x600/40W (FPT)</t>
  </si>
  <si>
    <t>LED00048883</t>
  </si>
  <si>
    <t>Bộ nguồn điều khiển LED dây DR-LD01 ĐM 1000/9W</t>
  </si>
  <si>
    <t>LED00050300</t>
  </si>
  <si>
    <t>Đèn LED chiếu sáng đường CSD08 120W.NEMA 4000K</t>
  </si>
  <si>
    <t>LED00051280</t>
  </si>
  <si>
    <t>Công tắc cơ điện tử CTC.BLE V1.01</t>
  </si>
  <si>
    <t>LED00051462</t>
  </si>
  <si>
    <t>Đèn LED Downlight điều khiển Remote AT20.RM4 90/7W.C4</t>
  </si>
  <si>
    <t>LED00053491</t>
  </si>
  <si>
    <t>Bộ đèn LED Tube dự phòng T8.DP M11/22Wx1 6500K-PCCC</t>
  </si>
  <si>
    <t>LED00053647</t>
  </si>
  <si>
    <t>Đèn bàn LED cảm ứng RD-RL-46 6W</t>
  </si>
  <si>
    <t>LED00033582</t>
  </si>
  <si>
    <t>Bộ đèn LED Tube dự phòng T8.DP M11/14Wx1 6500K SS</t>
  </si>
  <si>
    <t>LED00033755</t>
  </si>
  <si>
    <t>Cảm biến chuyển động CB02.MS.BLE (DC)</t>
  </si>
  <si>
    <t>LED00034302</t>
  </si>
  <si>
    <t>Đèn LED Panel đổi màu P07.BLE 600x600/40W</t>
  </si>
  <si>
    <t>LED00035296</t>
  </si>
  <si>
    <t>Đèn LED dây đổi màu LD01.RF.BLE 1000/7W (24VDC)</t>
  </si>
  <si>
    <t>LED00035299</t>
  </si>
  <si>
    <t>Đui đèn cảm biến ĐCB01.PIR E27/60W</t>
  </si>
  <si>
    <t>LED00035740</t>
  </si>
  <si>
    <t>Công tắc cảm ứng RD-SW.03.BLE</t>
  </si>
  <si>
    <t>LED00035742</t>
  </si>
  <si>
    <t>Công tắc cảm ứng RD-SW.01.BLE</t>
  </si>
  <si>
    <t>LED00036875</t>
  </si>
  <si>
    <t>Đèn LED Panel đổi màu P07.BLE 300x300/24W</t>
  </si>
  <si>
    <t>LED00038534</t>
  </si>
  <si>
    <t>Đèn bàn LED cảm ứng RD-RL-68.WF 12W</t>
  </si>
  <si>
    <t>LED00041790</t>
  </si>
  <si>
    <t>Đèn LED Downlight điều khiển Remote AT16.RM 90/7W.C4</t>
  </si>
  <si>
    <t>LED00041791</t>
  </si>
  <si>
    <t>Đèn LED Downlight điều khiển Remote AT16.RM 90/7W.C6</t>
  </si>
  <si>
    <t>LED00042288</t>
  </si>
  <si>
    <t>Ổ cắm thông minh OC02.WF 3C/5M/10A</t>
  </si>
  <si>
    <t>LED00042840</t>
  </si>
  <si>
    <t>Đèn LED Downlight đổi màu AT20.BLE 90/9W</t>
  </si>
  <si>
    <t>LED00043099</t>
  </si>
  <si>
    <t>Cảm biến nhiệt độ, độ ẩm CB07.TE.BLE</t>
  </si>
  <si>
    <t>LED00043899</t>
  </si>
  <si>
    <t>Đèn LED Downlight cảm biến AT04.PIR 110/12W 6500K SS</t>
  </si>
  <si>
    <t>LED00044158</t>
  </si>
  <si>
    <t>Công tắc cảm ứng RD-CT.03.WF.REM</t>
  </si>
  <si>
    <t>LED00047480</t>
  </si>
  <si>
    <t>Ổ cắm đơn BLE OC.01.BLE 16A</t>
  </si>
  <si>
    <t>LED00047565</t>
  </si>
  <si>
    <t>Công tắc cảm ứng vuông CTCU.BLE S1.01 (đen, FPT)</t>
  </si>
  <si>
    <t>LED00049147</t>
  </si>
  <si>
    <t>Công tắc cơ điện tử CTC N1.03</t>
  </si>
  <si>
    <t>LED00051008</t>
  </si>
  <si>
    <t>Công tắc cảm ứng chữ nhật CTCU.BLE CN.01T</t>
  </si>
  <si>
    <t>LED00053017</t>
  </si>
  <si>
    <t>Đèn LED sân vườn NLMT RD-DSV2204 6500K</t>
  </si>
  <si>
    <t>LED00053095</t>
  </si>
  <si>
    <t>Đèn LED chiếu sáng đường CSD04 240W.NEMA 4000K</t>
  </si>
  <si>
    <t>LED00054047</t>
  </si>
  <si>
    <t>Đèn LED Downlight đổi màu AT20.DIM DM 90/7W</t>
  </si>
  <si>
    <t>LED00054417</t>
  </si>
  <si>
    <t>Bộ đèn LED thủy sinh TS03.WB 600/12W (12VDC)</t>
  </si>
  <si>
    <t>LED00055439</t>
  </si>
  <si>
    <t>Bộ vỏ hình vuông CTCU.BLE S1.01 (đen, FPT, SGBR0133)</t>
  </si>
  <si>
    <t>LED00055505</t>
  </si>
  <si>
    <t>Cảm biến chuyển động CB09.PIR.BLE (DC)</t>
  </si>
  <si>
    <t>LED00055755</t>
  </si>
  <si>
    <t>Công tắc cơ điện tử CTC.WF V1.03 (Ralli)</t>
  </si>
  <si>
    <t>LED00059764</t>
  </si>
  <si>
    <t>Công tắc cảm ứng chữ nhật CTCU.BLE CN.03T MN</t>
  </si>
  <si>
    <t>LED00059769</t>
  </si>
  <si>
    <t>Công tắc cảm ứng vuông CTCU.WF V.01T MN</t>
  </si>
  <si>
    <t>LED00059775</t>
  </si>
  <si>
    <t>Công tắc cảm ứng chữ nhật CTCU.WF CN.02T MN</t>
  </si>
  <si>
    <t>LED00059977</t>
  </si>
  <si>
    <t>Cảm biến khói CB11.SM.WF</t>
  </si>
  <si>
    <t>LED00065137</t>
  </si>
  <si>
    <t>Ổ cắm công tắc chữ nhật thông minh OCT.01T.BLE</t>
  </si>
  <si>
    <t>LED00065844</t>
  </si>
  <si>
    <t>Công tắc cảm ứng chữ nhật CTCU.WF CN.03T.2W.SP</t>
  </si>
  <si>
    <t>LED00067267</t>
  </si>
  <si>
    <t>Đèn LED ốp trần LN12.RAD 220/18W (HL) 6500K-CT</t>
  </si>
  <si>
    <t>LED00069605</t>
  </si>
  <si>
    <t>Bộ sạc đèn NLMT AC-DC 5V-3v</t>
  </si>
  <si>
    <t>LED00071168</t>
  </si>
  <si>
    <t>Bộ điều khiển trung tâm RD-HC04.LCD</t>
  </si>
  <si>
    <t>LED00075046</t>
  </si>
  <si>
    <t>Cảm biến độ PH đất NN CB05-NN.PH.BLE</t>
  </si>
  <si>
    <t>LED00075063</t>
  </si>
  <si>
    <t>Cảm biến oxy hòa tan trong nước CB09-NN.DO.LR</t>
  </si>
  <si>
    <t>LED00075203</t>
  </si>
  <si>
    <t>Hệ điện áp mái NLMT SLS.R1P 4.5KW</t>
  </si>
  <si>
    <t>LED00075211</t>
  </si>
  <si>
    <t>Hệ điện áp mái NLMT SLS.1P 7KW</t>
  </si>
  <si>
    <t>LED00075387</t>
  </si>
  <si>
    <t>Đèn bàn LED cảm ứng RD-RL-45 6W-CT</t>
  </si>
  <si>
    <t>LED00077602</t>
  </si>
  <si>
    <t>Đèn LED chiếu sáng đường CSD12 80W.NEMA.CT 5000K</t>
  </si>
  <si>
    <t>LED00078129</t>
  </si>
  <si>
    <t>Công tắc cảm ứng vuông CTCU.BLE S1.02 (Champ, FPT)</t>
  </si>
  <si>
    <t>LED00078131</t>
  </si>
  <si>
    <t>Công tắc cảm ứng vuông CTCU.BLE S1.04 (Champ, FPT)</t>
  </si>
  <si>
    <t>LED00081704</t>
  </si>
  <si>
    <t>Công tắc cảm ứng chữ nhật CTCU.BLE CN.03T.CSC</t>
  </si>
  <si>
    <t>LED00084139</t>
  </si>
  <si>
    <t>Hệ điện áp mái NLMT SLS.R1P 5KW</t>
  </si>
  <si>
    <t>LED00084152</t>
  </si>
  <si>
    <t>Hệ điện áp mái NLMT SLS.3P 8.5KW</t>
  </si>
  <si>
    <t>LED00084185</t>
  </si>
  <si>
    <t>Hệ điện áp mái NLMT SLS.3P 30KW (KNC)</t>
  </si>
  <si>
    <t>PHN00000960</t>
  </si>
  <si>
    <t>PHN00000966</t>
  </si>
  <si>
    <t>Phích 1099 RD-2035 N4(G)-2L</t>
  </si>
  <si>
    <t>PHN00000975</t>
  </si>
  <si>
    <t>PHN00001315</t>
  </si>
  <si>
    <t>Phích 3245 N1.E-3,2L-Pioneer (G)</t>
  </si>
  <si>
    <t>PHN00001330</t>
  </si>
  <si>
    <t>Phích 1040 ST1 N1.E-1L-Pioneer</t>
  </si>
  <si>
    <t>PHN00008644</t>
  </si>
  <si>
    <t>PHN00011397</t>
  </si>
  <si>
    <t>Phích 2035 N4 CHIL</t>
  </si>
  <si>
    <t>PHN00011402</t>
  </si>
  <si>
    <t>Phích xuất khẩu 1055 N1.E Abu</t>
  </si>
  <si>
    <t>PHN00011404</t>
  </si>
  <si>
    <t>Phích xuất khẩu 1055 ST1.E Abu</t>
  </si>
  <si>
    <t>PHN00011411</t>
  </si>
  <si>
    <t>Phích xuất khẩu 2035 N6.X FLT</t>
  </si>
  <si>
    <t>PHN00011793</t>
  </si>
  <si>
    <t>Phích xuất khẩu 2045 ST1.E TRD</t>
  </si>
  <si>
    <t>PHN00012754</t>
  </si>
  <si>
    <t>Phích xuất khẩu 1040 N1.E AFH</t>
  </si>
  <si>
    <t>PHN00013102</t>
  </si>
  <si>
    <t>Phích xuất khẩu 0538 N1 Andalosia</t>
  </si>
  <si>
    <t>PHN00013205</t>
  </si>
  <si>
    <t>PHN00014348</t>
  </si>
  <si>
    <t>PHN00014700</t>
  </si>
  <si>
    <t>Phích xuất khẩu 1565 N1.E EFF</t>
  </si>
  <si>
    <t>PHN00014966</t>
  </si>
  <si>
    <t>Phích xuất khẩu 1340 TS Yemen</t>
  </si>
  <si>
    <t>PHN00014968</t>
  </si>
  <si>
    <t>PHN00015309</t>
  </si>
  <si>
    <t>PHN00017588</t>
  </si>
  <si>
    <t>Phích xuất khẩu 04528 N1 WIC</t>
  </si>
  <si>
    <t>PHN00018226</t>
  </si>
  <si>
    <t>Phích đựng nước 1040TS3.E - 1 lít</t>
  </si>
  <si>
    <t>PHN00018336</t>
  </si>
  <si>
    <t>Phích xuất khẩu 1800 N1.T IMT</t>
  </si>
  <si>
    <t>PHN00018785</t>
  </si>
  <si>
    <t>Phích xuất khẩu 2035 N3 MUT</t>
  </si>
  <si>
    <t>PHN00019739</t>
  </si>
  <si>
    <t>Phích xuất khẩu 1045 N3.E Yemen</t>
  </si>
  <si>
    <t>PHN00020242</t>
  </si>
  <si>
    <t>Phích xuất khẩu 1640 TS3 ALK</t>
  </si>
  <si>
    <t>PHN00021620</t>
  </si>
  <si>
    <t>Phích xuất khẩu 1040 ST2 ALK</t>
  </si>
  <si>
    <t>PHN00023112</t>
  </si>
  <si>
    <t>Phích xuất khẩu 0538 N1 ALK</t>
  </si>
  <si>
    <t>PHN00024573</t>
  </si>
  <si>
    <t>Phích xuất khẩu 1235 N1 SAM</t>
  </si>
  <si>
    <t>PHN00024582</t>
  </si>
  <si>
    <t>Phích xuất khẩu 1040 TS1.E APT</t>
  </si>
  <si>
    <t>PHN00025333</t>
  </si>
  <si>
    <t>Phích đựng nước RD-1055TS5.INO - 1L</t>
  </si>
  <si>
    <t>PHN00027932</t>
  </si>
  <si>
    <t>Bình giữ nhiệt inox RD-BGN095ST1</t>
  </si>
  <si>
    <t>PHN00028524</t>
  </si>
  <si>
    <t>Phích đựng nước RD 1038 N3.QT</t>
  </si>
  <si>
    <t>PHN00011787</t>
  </si>
  <si>
    <t>Phích xuất khẩu 1340 ST2 TRD</t>
  </si>
  <si>
    <t>PHN00013104</t>
  </si>
  <si>
    <t>Phích xuất khẩu 2035 N6 Andalosia</t>
  </si>
  <si>
    <t>PHN00014967</t>
  </si>
  <si>
    <t>Phích xuất khẩu 1640 TS Yemen</t>
  </si>
  <si>
    <t>PHN00014971</t>
  </si>
  <si>
    <t>Phích xuất khẩu 1340 ST2 SRE</t>
  </si>
  <si>
    <t>PHN00016102</t>
  </si>
  <si>
    <t>Phích xuất khẩu 0940 N1.E IMT</t>
  </si>
  <si>
    <t>PHN00016107</t>
  </si>
  <si>
    <t>Phích xuất khẩu 2045 TS.E IMT</t>
  </si>
  <si>
    <t>PHN00018867</t>
  </si>
  <si>
    <t>Phích xuất khẩu 1340 TS1 ALK</t>
  </si>
  <si>
    <t>PHN00018878</t>
  </si>
  <si>
    <t>Phích xuất khẩu 2035 N1.E IMT</t>
  </si>
  <si>
    <t>PHN00020892</t>
  </si>
  <si>
    <t>Phích xuất khẩu 1640 ST2 NAS</t>
  </si>
  <si>
    <t>PHN00022199</t>
  </si>
  <si>
    <t>Phích xuất khẩu 0940 N1.E RVK</t>
  </si>
  <si>
    <t>PHN00023820</t>
  </si>
  <si>
    <t>Bình giữ nhiệt inox RD-BGN04ST1</t>
  </si>
  <si>
    <t>PHN00024133</t>
  </si>
  <si>
    <t>Phích xuất khẩu 1340 TS4 ALK</t>
  </si>
  <si>
    <t>PHN00025995</t>
  </si>
  <si>
    <t>Bình giữ nhiệt inox RD-BGN05ST2.E</t>
  </si>
  <si>
    <t>PHN00027293</t>
  </si>
  <si>
    <t>PHN00028423</t>
  </si>
  <si>
    <t>Bình giữ nhiệt inox RD-BGN095ST1.QT</t>
  </si>
  <si>
    <t>Phụ tùng</t>
  </si>
  <si>
    <t>LED00046833</t>
  </si>
  <si>
    <t>Vành nhỏ đèn ốp trần 480/40W GC chưa sơn (1084)</t>
  </si>
  <si>
    <t>PHN00001077</t>
  </si>
  <si>
    <t>Ruột phích RD 1.0L (RF-1040-Ao) loại trần</t>
  </si>
  <si>
    <t>PHN00008420</t>
  </si>
  <si>
    <t>Ruột phích RD 0.75L (RF-7009006) loại trần</t>
  </si>
  <si>
    <t>PHN00009005</t>
  </si>
  <si>
    <t>Ruột phích RD 0.4L (RF-7009007) loại trần</t>
  </si>
  <si>
    <t>PHN00011608</t>
  </si>
  <si>
    <t>Ruột phích RD 1945 DKA loại trần</t>
  </si>
  <si>
    <t>PHN00022912</t>
  </si>
  <si>
    <t>Ruột phích RD 3.0L (RF-3045-JP) loại trần</t>
  </si>
  <si>
    <t>PHN00028371</t>
  </si>
  <si>
    <t>Ruột phích RD 2.5L (RF-2545-HE) loại trần</t>
  </si>
  <si>
    <t>PHN00001110</t>
  </si>
  <si>
    <t>Ruột phích RD 2.0L (RF-Y2048-MC)</t>
  </si>
  <si>
    <t>PHN00010772</t>
  </si>
  <si>
    <t>Ruột phích RD 0.45L (RF-04528-BL)</t>
  </si>
  <si>
    <t>PHN00010780</t>
  </si>
  <si>
    <t>Ruột phích RD 1.0L (RF-2466-BL)</t>
  </si>
  <si>
    <t>PHN00011189</t>
  </si>
  <si>
    <t>Ruột phích 2045</t>
  </si>
  <si>
    <t>PHN00019783</t>
  </si>
  <si>
    <t>Ruột phích RD 1.3L (RF-1342-HAC) 1013 EU</t>
  </si>
  <si>
    <t>PHN00021307</t>
  </si>
  <si>
    <t>Ruột phích 3.2L (RF-3240 SAI)</t>
  </si>
  <si>
    <t>00000297</t>
  </si>
  <si>
    <t>Đèn LED Phòng ngủ D P.N D240/9W</t>
  </si>
  <si>
    <t>LED00026899</t>
  </si>
  <si>
    <t>Driver PNL 320x1280-50W CCT V1 KC HC</t>
  </si>
  <si>
    <t>LED00029583</t>
  </si>
  <si>
    <t>Driver PNL 320x1280-50W CCT V1 KC HC (Home)</t>
  </si>
  <si>
    <t>LED00036937</t>
  </si>
  <si>
    <t>Bộ phụ kiện LED Linear PK V-LR01 210x210/8W 6500K</t>
  </si>
  <si>
    <t>LED00055235</t>
  </si>
  <si>
    <t>Đèn LED Panel đổi màu P07.BLE 600x1200/75W</t>
  </si>
  <si>
    <t>LED00055454</t>
  </si>
  <si>
    <t>Bộ vỏ chữ nhật CTCU.BLE R1.03 (trắng, FPT, SGBR023)</t>
  </si>
  <si>
    <t>LED00055460</t>
  </si>
  <si>
    <t>Bộ vỏ hình vuông CTCU.BLE S1.REM (đen, FPT, SGBR02109)</t>
  </si>
  <si>
    <t>LED00062529</t>
  </si>
  <si>
    <t>Công tắc cảm ứng chữ nhật CTCU.BLE CN.DOT.NC (Trắng, FPT)</t>
  </si>
  <si>
    <t>LED00062579</t>
  </si>
  <si>
    <t>Ổ cắm thông minh WiFi OC09.WF.USB 5C/10A (Trắng)</t>
  </si>
  <si>
    <t>LED00064600</t>
  </si>
  <si>
    <t>Công tắc chuyển mạch CT.WF.ON/OFF</t>
  </si>
  <si>
    <t>LED00070778</t>
  </si>
  <si>
    <t>Công tắc cảm ứng vuông CTCU.WF V.04T.2W.SP</t>
  </si>
  <si>
    <t>LED00072398</t>
  </si>
  <si>
    <t>Công tắc cảm ứng vuông CTCU.WF V.REMT.2W.SP MN</t>
  </si>
  <si>
    <t>LED00073523</t>
  </si>
  <si>
    <t>Bộ cung cấp điện NLMT RD.Resi 5kW</t>
  </si>
  <si>
    <t>LED00074656</t>
  </si>
  <si>
    <t>Bộ nguồn SS-240CNS-260BHD (M10/AC)</t>
  </si>
  <si>
    <t>LED00074916</t>
  </si>
  <si>
    <t>Cảm biến nhiệt độ, độ ẩm NN CB01-NN.TH.BLE</t>
  </si>
  <si>
    <t>LED00075223</t>
  </si>
  <si>
    <t>Hệ điện áp mái NLMT SLS.R1P 3.5KW (KNC)</t>
  </si>
  <si>
    <t>LED00075236</t>
  </si>
  <si>
    <t>Hệ điện áp mái NLMT SLS.R3P 10KW (KNC)</t>
  </si>
  <si>
    <t>LED00075243</t>
  </si>
  <si>
    <t>Hệ điện áp mái NLMT SLS.3P 20.5KW (KNC)</t>
  </si>
  <si>
    <t>LED00076426</t>
  </si>
  <si>
    <t>Bộ cung cấp điện NLMT RD.SL.TL 2KWP</t>
  </si>
  <si>
    <t>LED00076561</t>
  </si>
  <si>
    <t>Công tắc cảm ứng vuông CTCU.WF V.04T(đen, FPT)</t>
  </si>
  <si>
    <t>LED00078133</t>
  </si>
  <si>
    <t>Công tắc cảm ứng vuông CTCU.BLE S1.DOT.NC (Champ, FPT)</t>
  </si>
  <si>
    <t>LED00079438</t>
  </si>
  <si>
    <t>Đèn bàn LED cảm ứng RD-RL-45 8W</t>
  </si>
  <si>
    <t>LED00080275</t>
  </si>
  <si>
    <t>Đèn bàn LED cảm ứng RD-RL-41 8W</t>
  </si>
  <si>
    <t>LED00081749</t>
  </si>
  <si>
    <t>Đèn LED chiếu sáng đường CSD04 150W.NEMA 5000K</t>
  </si>
  <si>
    <t>LED00083896</t>
  </si>
  <si>
    <t>Bộ điều khiển IOT NEMA-SLD02</t>
  </si>
  <si>
    <t>LED00084146</t>
  </si>
  <si>
    <t>Hệ điện áp mái NLMT SLS.1P 6KW V2</t>
  </si>
  <si>
    <t>LED00084156</t>
  </si>
  <si>
    <t>Hệ điện áp mái NLMT SLS.3P 20KW</t>
  </si>
  <si>
    <t>LED00084166</t>
  </si>
  <si>
    <t>Hệ điện áp mái NLMT SLS.R1P 6KW V2 (KNC)</t>
  </si>
  <si>
    <t>LED00054761</t>
  </si>
  <si>
    <t>Hạt ổ cắm mạng internet âm tường HOC.LAN01</t>
  </si>
  <si>
    <t>LED00074768</t>
  </si>
  <si>
    <t>Aptomat ngắn mạch RD.MCB 3P3E 10A</t>
  </si>
  <si>
    <t>LED00080495</t>
  </si>
  <si>
    <t>Aptomat gia dụng RD.HB 2P1E 40A</t>
  </si>
  <si>
    <t>PHN00000002</t>
  </si>
  <si>
    <t>Phích (VF-1045 N1.E-1,0L)-Pioneer</t>
  </si>
  <si>
    <t>PHN00000013</t>
  </si>
  <si>
    <t>PHN00000972</t>
  </si>
  <si>
    <t>Phích 899-2 lit</t>
  </si>
  <si>
    <t>PHN00001335</t>
  </si>
  <si>
    <t>Phích 1040-NTP</t>
  </si>
  <si>
    <t>PHN00001340</t>
  </si>
  <si>
    <t>Phích 1055 ST1 N1.E-1L-Pioneer</t>
  </si>
  <si>
    <t>PHN00001367</t>
  </si>
  <si>
    <t>Phích Nhựa 899-2L (nắp có quai)</t>
  </si>
  <si>
    <t>PHN00011356</t>
  </si>
  <si>
    <t>Phích xuất khẩu 0.5L (RD-0538 N1)</t>
  </si>
  <si>
    <t>PHN00011357</t>
  </si>
  <si>
    <t>Phích xuất khẩu 1.0L (RD-1040 ST2)</t>
  </si>
  <si>
    <t>PHN00011764</t>
  </si>
  <si>
    <t>Phích xuất khẩu 1542 N2.E Yemen</t>
  </si>
  <si>
    <t>PHN00011773</t>
  </si>
  <si>
    <t>Phích xuất khẩu 1565 N1.E Esam</t>
  </si>
  <si>
    <t>PHN00011774</t>
  </si>
  <si>
    <t>Phích xuất khẩu 0538 N1 TRD</t>
  </si>
  <si>
    <t>PHN00013483</t>
  </si>
  <si>
    <t>Phích xuất khẩu 1640 ST2 Abu</t>
  </si>
  <si>
    <t>PHN00013538</t>
  </si>
  <si>
    <t>Phích xuất khẩu 0538 N1 FCI</t>
  </si>
  <si>
    <t>PHN00013545</t>
  </si>
  <si>
    <t>Phích xuất khẩu 1055 TS FCI</t>
  </si>
  <si>
    <t>PHN00014245</t>
  </si>
  <si>
    <t>PHN00015049</t>
  </si>
  <si>
    <t>Phích xuất khẩu 1040 ST2 IMT</t>
  </si>
  <si>
    <t>PHN00016103</t>
  </si>
  <si>
    <t>Phích xuất khẩu 1040 TS IMT</t>
  </si>
  <si>
    <t>PHN00018250</t>
  </si>
  <si>
    <t>Phích cao cấp 2045TS5.E -  2,0 lít</t>
  </si>
  <si>
    <t>PHN00018784</t>
  </si>
  <si>
    <t>Phích xuất khẩu 1565 N1.E Prime</t>
  </si>
  <si>
    <t>PHN00018870</t>
  </si>
  <si>
    <t>Phích xuất khẩu 1340 TS2 ALK</t>
  </si>
  <si>
    <t>PHN00018880</t>
  </si>
  <si>
    <t>Phích xuất khẩu 2045 ST3.E IMT</t>
  </si>
  <si>
    <t>PHN00020136</t>
  </si>
  <si>
    <t>Bình ủ RD 1300 TS1 (PP)</t>
  </si>
  <si>
    <t>PHN00020678</t>
  </si>
  <si>
    <t>Phích xuất khẩu 0740 ST3.E LLT</t>
  </si>
  <si>
    <t>PHN00021619</t>
  </si>
  <si>
    <t>Phích xuất khẩu 04528 N1 ALK</t>
  </si>
  <si>
    <t>PHN00023749</t>
  </si>
  <si>
    <t>Phích xuất khẩu 1565 N1.E RAT</t>
  </si>
  <si>
    <t>PHN00024585</t>
  </si>
  <si>
    <t>Phích xuất khẩu 1565 N1.E APT</t>
  </si>
  <si>
    <t>PHN00024964</t>
  </si>
  <si>
    <t>PHN00025206</t>
  </si>
  <si>
    <t>LED00048034</t>
  </si>
  <si>
    <t>Đèn LED dây LD01.R 1000/7W.QT RED (DC 220V-25m, IP65)</t>
  </si>
  <si>
    <t>LED00048328</t>
  </si>
  <si>
    <t>Đèn LED dẫn lối CD02 110x110/1W.QT 90D 3000K (IP67)</t>
  </si>
  <si>
    <t>LED00048330</t>
  </si>
  <si>
    <t>Đèn LED thanh T02.RGBW 1000/48W.QT 45D (IP65)</t>
  </si>
  <si>
    <t>LED00051676</t>
  </si>
  <si>
    <t>Driver 640x640/40W LLC PER HC (Mbar Direct)</t>
  </si>
  <si>
    <t>LED00072932</t>
  </si>
  <si>
    <t>Đèn LED thanh chuyên dụng T-BigFish 840B 1140/24W (KN)</t>
  </si>
  <si>
    <t>LED00084868</t>
  </si>
  <si>
    <t>Đèn LED dây 5000/20W 3000K (CRI 90, XK)</t>
  </si>
  <si>
    <t>PHN00001324</t>
  </si>
  <si>
    <t>Vỏ phích inox 1,0L-Aladin</t>
  </si>
  <si>
    <t>PHN00018981</t>
  </si>
  <si>
    <t>Nắp phích 1040 N1.E FCI (Màu vàng)</t>
  </si>
  <si>
    <t>PHN00018982</t>
  </si>
  <si>
    <t>Nắp phích 1055 ST1.E FCI</t>
  </si>
  <si>
    <t>PHN00001085</t>
  </si>
  <si>
    <t>Ruột phích RD 1.0L (RF-1045-SP)loại trần</t>
  </si>
  <si>
    <t>PHN00001376</t>
  </si>
  <si>
    <t>Ruột phích 1040-Tiger loại trần</t>
  </si>
  <si>
    <t>PHN00008422</t>
  </si>
  <si>
    <t>Ruột phích RD 3.0L (RF-Y3045-MC) loại trần</t>
  </si>
  <si>
    <t>PHN00011623</t>
  </si>
  <si>
    <t>Ruột phích MG12132050 (RF-0541-HC)</t>
  </si>
  <si>
    <t>PHN00011624</t>
  </si>
  <si>
    <t>Ruột phích MG12132050 (RF-0541-HC) loại trần</t>
  </si>
  <si>
    <t>PHN00011803</t>
  </si>
  <si>
    <t>Ruột phích RD 3.0L (RF-3045-HEN) loại trần</t>
  </si>
  <si>
    <t>PHN00016797</t>
  </si>
  <si>
    <t>Ruột phích RD 0.45L (RF-04528-BL) loại trần</t>
  </si>
  <si>
    <t>PHN00019800</t>
  </si>
  <si>
    <t>Ruột phích RD 1.9L (RF-1950_HAC) ELI 1900 loại trần</t>
  </si>
  <si>
    <t>PHN00001064</t>
  </si>
  <si>
    <t>PHN00005231</t>
  </si>
  <si>
    <t>Ruột phích RD 1.0L (RF-1040-MC) - Standard</t>
  </si>
  <si>
    <t>PHN00010895</t>
  </si>
  <si>
    <t>Ruột phích RD 1.9L (RF-1948-DF)</t>
  </si>
  <si>
    <t>PHN00010897</t>
  </si>
  <si>
    <t>Ruột phích RD 1.0L (RF-MG12101100)</t>
  </si>
  <si>
    <t>PHN00011996</t>
  </si>
  <si>
    <t>Ruột phích RD 1.0L (RF-1060-HS)</t>
  </si>
  <si>
    <t>PHN00026973</t>
  </si>
  <si>
    <t>Ruột phích 0900-0.9L</t>
  </si>
  <si>
    <t>LED00005656</t>
  </si>
  <si>
    <t>Bóng đèn (LED PAR28 4W/120) E27 á/s trắng</t>
  </si>
  <si>
    <t>LED00005661</t>
  </si>
  <si>
    <t>Bóng đèn (LED PAR38N/5W) E27 6500K</t>
  </si>
  <si>
    <t>LED00029227</t>
  </si>
  <si>
    <t>Module LED Kitchen light-LG2-25W-3CCT</t>
  </si>
  <si>
    <t>LED00033400</t>
  </si>
  <si>
    <t>Tủ điều khiển chiếu sáng (cụm đèn 10kW)</t>
  </si>
  <si>
    <t>LED00033401</t>
  </si>
  <si>
    <t>Tủ điều khiển chiếu sáng (cụm đèn 15kW)</t>
  </si>
  <si>
    <t>LED00033402</t>
  </si>
  <si>
    <t>Tủ điều khiển chiếu sáng (cụm đèn 20kW)</t>
  </si>
  <si>
    <t>LED00037544</t>
  </si>
  <si>
    <t>Đèn LED chỉ dẫn CD01 40x20/2,2W.DA (PCCC-2 mặt)</t>
  </si>
  <si>
    <t>LED00037840</t>
  </si>
  <si>
    <t>Đèn LED dây LD01.B 1000/7W BLUE (AC 220V-100m)</t>
  </si>
  <si>
    <t>LED00039324</t>
  </si>
  <si>
    <t>Driver U8KCF-50W-48V (IDF) HC</t>
  </si>
  <si>
    <t>LED00039340</t>
  </si>
  <si>
    <t>Driver U8KCF-40W-48V (IDF) HC</t>
  </si>
  <si>
    <t>LED00043351</t>
  </si>
  <si>
    <t>Driver NCM 16W-DIMMING HC</t>
  </si>
  <si>
    <t>LED00044259</t>
  </si>
  <si>
    <t>Module LED đèn Tennis LIOA 200W 4000K</t>
  </si>
  <si>
    <t>LED00047124</t>
  </si>
  <si>
    <t>Bộ phụ kiện đèn DC05-500W (Driver ngoài)</t>
  </si>
  <si>
    <t>LED00054068</t>
  </si>
  <si>
    <t>Đèn LED dây đổi màu LD01.BLE.RGB 1000/7W(200VDC-50m)</t>
  </si>
  <si>
    <t>LED00056223</t>
  </si>
  <si>
    <t>Đèn LED dây RD-LD01.7W 3000K-CT</t>
  </si>
  <si>
    <t>LED00062877</t>
  </si>
  <si>
    <t>Đèn bắt muỗi DBM02 500x250/4W</t>
  </si>
  <si>
    <t>LED00079544</t>
  </si>
  <si>
    <t>Tủ aptomat âm tường TAT01-4 (nhựa)</t>
  </si>
  <si>
    <t>LED00079545</t>
  </si>
  <si>
    <t>Tủ aptomat âm tường TAT01-10 (nhựa)</t>
  </si>
  <si>
    <t>LED00084170</t>
  </si>
  <si>
    <t>Hệ điện áp mái NLMT SLS.1P 3.8KW (KNC)</t>
  </si>
  <si>
    <t>LED00084181</t>
  </si>
  <si>
    <t>Hệ điện áp mái NLMT SLS.3P 16KW (KNC)</t>
  </si>
  <si>
    <t>LED00084188</t>
  </si>
  <si>
    <t>Hệ điện áp mái NLMT SLS.3P 60KW (KNC)</t>
  </si>
  <si>
    <t>LED00060362</t>
  </si>
  <si>
    <t>Ổ cắm đa năng OC06 6C/2M/10A</t>
  </si>
  <si>
    <t>LED00066575</t>
  </si>
  <si>
    <t>Ổ cắm đa năng OC06.V2 6C/5M/10A ( trắng)</t>
  </si>
  <si>
    <t>LED00074745</t>
  </si>
  <si>
    <t>Aptomat gia dụng RD.HB 2P1E 10A</t>
  </si>
  <si>
    <t>LED00074779</t>
  </si>
  <si>
    <t>Aptomat ngắn mạch RD.MCB 4P4E C16</t>
  </si>
  <si>
    <t>LED00074788</t>
  </si>
  <si>
    <t>Aptomat chống giật RD.RCBO 1P+N 16A</t>
  </si>
  <si>
    <t>PHN00000967</t>
  </si>
  <si>
    <t>Phích 1636</t>
  </si>
  <si>
    <t>PHN00000978</t>
  </si>
  <si>
    <t>PHN00001362</t>
  </si>
  <si>
    <t>Phích nhựa 2035 N5-2Lít</t>
  </si>
  <si>
    <t>PHN00001935</t>
  </si>
  <si>
    <t>Phích nước TRDA-1000 (RD-1045N.E)</t>
  </si>
  <si>
    <t>PHN00003296</t>
  </si>
  <si>
    <t>Phích 697-2L XK</t>
  </si>
  <si>
    <t>PHN00005238</t>
  </si>
  <si>
    <t>PHN00010765</t>
  </si>
  <si>
    <t>PHN00011760</t>
  </si>
  <si>
    <t>Phích xuất khẩu 1038 N2 Yemen</t>
  </si>
  <si>
    <t>PHN00011765</t>
  </si>
  <si>
    <t>Phích xuất khẩu 2545 ST1.E Yemen</t>
  </si>
  <si>
    <t>PHN00013310</t>
  </si>
  <si>
    <t>Phích xuất khẩu 2045 TS.E Israel</t>
  </si>
  <si>
    <t>PHN00014499</t>
  </si>
  <si>
    <t>Phích xuất khẩu 2545 ST1.E Esam</t>
  </si>
  <si>
    <t>PHN00018669</t>
  </si>
  <si>
    <t>Phích xuất khẩu 2035 TS1 Úc</t>
  </si>
  <si>
    <t>PHN00021622</t>
  </si>
  <si>
    <t>Phích xuất khẩu 1640 ST2 ALK</t>
  </si>
  <si>
    <t>PHN00023517</t>
  </si>
  <si>
    <t>Phích xuất khẩu 1840 (KCD) SAN</t>
  </si>
  <si>
    <t>PHN00024393</t>
  </si>
  <si>
    <t>Bình ủ RD- 1300.LS.E - 1.3L</t>
  </si>
  <si>
    <t>PHN00024587</t>
  </si>
  <si>
    <t>Phích xuất khẩu 2065 N1.E APT</t>
  </si>
  <si>
    <t>PHN00024780</t>
  </si>
  <si>
    <t>PHN00025660</t>
  </si>
  <si>
    <t>Phích xuất khẩu 1565 N1.E DAC</t>
  </si>
  <si>
    <t>PHN00026843</t>
  </si>
  <si>
    <t>Phích xuất khẩu 1040 (KD) TER</t>
  </si>
  <si>
    <t>PHN00000034</t>
  </si>
  <si>
    <t>Ruột phích RD 2,5L (RF-2545-ID)loại trần</t>
  </si>
  <si>
    <t>PHN00001111</t>
  </si>
  <si>
    <t>Ruột phích RD 2.0L (RF-Y2048-MC)loại trần</t>
  </si>
  <si>
    <t>PHN00025695</t>
  </si>
  <si>
    <t>Phích xuất khẩu 1040 ST2 HHG</t>
  </si>
  <si>
    <t>PHN00025996</t>
  </si>
  <si>
    <t>Bình giữ nhiệt inox RD-BGN05ST1</t>
  </si>
  <si>
    <t>PHN00026088</t>
  </si>
  <si>
    <t>Phích xuất khẩu 1640 ST2.E Esam</t>
  </si>
  <si>
    <t>PHN00026925</t>
  </si>
  <si>
    <t>Phích xuất khẩu 1340 ST2 APT</t>
  </si>
  <si>
    <t>PHN00027009</t>
  </si>
  <si>
    <t>Phích xuất khẩu 1038 N2 MUT</t>
  </si>
  <si>
    <t>PHN00027020</t>
  </si>
  <si>
    <t>PHN00028317</t>
  </si>
  <si>
    <t>Phích xuất khẩu 1040 N1.E AAI</t>
  </si>
  <si>
    <t>PHN00028391</t>
  </si>
  <si>
    <t>Phích xuất khẩu 2035 N6 MUT (Hologram)</t>
  </si>
  <si>
    <t>PHN00028430</t>
  </si>
  <si>
    <t>Phích xuất khẩu 0540 N2.E APT</t>
  </si>
  <si>
    <t>PHN00028716</t>
  </si>
  <si>
    <t>LED00076040</t>
  </si>
  <si>
    <t>Bộ phụ kiện LED dây LD04</t>
  </si>
  <si>
    <t>PHN00000021</t>
  </si>
  <si>
    <t>Ruột phích 3245-3,2L loại trần</t>
  </si>
  <si>
    <t>PHN00001105</t>
  </si>
  <si>
    <t>Ruột phích RD 1.9L (RF-1945-SP)loại trần</t>
  </si>
  <si>
    <t>PHN00001107</t>
  </si>
  <si>
    <t>Ruột phích RD 1.9L (RF-1948-MC) loại trần</t>
  </si>
  <si>
    <t>PHN00001379</t>
  </si>
  <si>
    <t>Ruột phích 1640 loại trần XK</t>
  </si>
  <si>
    <t>PHN00011183</t>
  </si>
  <si>
    <t>Ruột phích RD 1.0L (D0001078-4) loại trần</t>
  </si>
  <si>
    <t>PHN00011185</t>
  </si>
  <si>
    <t>Ruột phích RD 1.9L (RF-1945-JOR) loại trần</t>
  </si>
  <si>
    <t>PHN00011638</t>
  </si>
  <si>
    <t>Ruột phích RD 3.0L (RF-3045-HX) loại trần</t>
  </si>
  <si>
    <t>PHN00011820</t>
  </si>
  <si>
    <t>Ruột phích 0850-0.8L loại trần</t>
  </si>
  <si>
    <t>PHN00017757</t>
  </si>
  <si>
    <t>Ruột phích RD 1.0L (RF-2466-CIR) loại trần</t>
  </si>
  <si>
    <t>PHN00018014</t>
  </si>
  <si>
    <t>Ruột phích RD 2.0L (RF-2035-PL) loại trần</t>
  </si>
  <si>
    <t>PHN00019337</t>
  </si>
  <si>
    <t>Ruột phích 1380 loại trần</t>
  </si>
  <si>
    <t>PHN00022344</t>
  </si>
  <si>
    <t>Ruột phích RD 1.0L (RF-2466-LC) loại trần</t>
  </si>
  <si>
    <t>PHN00022623</t>
  </si>
  <si>
    <t>Ruột phích RD 1.0L (RF-1042-DT) loại trần</t>
  </si>
  <si>
    <t>PHN00025658</t>
  </si>
  <si>
    <t>Ruột phích S2 loại trần</t>
  </si>
  <si>
    <t>PHN00026092</t>
  </si>
  <si>
    <t>Ruột phích RD 1.0L (RF-2545-HB) loại trần</t>
  </si>
  <si>
    <t>PHN00026232</t>
  </si>
  <si>
    <t>Ruột phích RD 2.5L (RF-2545-HB) loại trần</t>
  </si>
  <si>
    <t>PHN00000020</t>
  </si>
  <si>
    <t>PHN00009008</t>
  </si>
  <si>
    <t>Ruột phích RD 1.8L (RF-38481)</t>
  </si>
  <si>
    <t>PHN00010720</t>
  </si>
  <si>
    <t>PHN00010892</t>
  </si>
  <si>
    <t>Ruột phích RD 1.0L (RF-1042-HAC)</t>
  </si>
  <si>
    <t>PHN00010896</t>
  </si>
  <si>
    <t>Ruột phích RD 1.0L (RF-MG12117100)</t>
  </si>
  <si>
    <t>PHN00011989</t>
  </si>
  <si>
    <t>Ruột phích RD 0.45L (RF-04528-HS)</t>
  </si>
  <si>
    <t>LED00023779</t>
  </si>
  <si>
    <t>Giá treo đèn LED panel 30x120/50W</t>
  </si>
  <si>
    <t>LED00023782</t>
  </si>
  <si>
    <t>Giá treo đèn LED panel 60x60/50W</t>
  </si>
  <si>
    <t>LED00026319</t>
  </si>
  <si>
    <t>Driver U4KC - 50W</t>
  </si>
  <si>
    <t>LED00029225</t>
  </si>
  <si>
    <t>Module LED Home light-LG0-25W-3CCT</t>
  </si>
  <si>
    <t>LED00032797</t>
  </si>
  <si>
    <t>Bộ Driver LED dây LD01.7W</t>
  </si>
  <si>
    <t>LED00039404</t>
  </si>
  <si>
    <t>Driver U8KCF-20W-48V (IDF) HC</t>
  </si>
  <si>
    <t>LED00047477</t>
  </si>
  <si>
    <t>Đèn LED dây đổi màuLD01.BLE.RGB 1000/7W(200VDC-100m)FPT</t>
  </si>
  <si>
    <t>LED00051674</t>
  </si>
  <si>
    <t>Driver 320x1280/40W LLC PER SMT</t>
  </si>
  <si>
    <t>LED00057765</t>
  </si>
  <si>
    <t>Bộ phụ kiện LED Linear PK L-LR01.BLE 220x220/8W</t>
  </si>
  <si>
    <t>LED00071054</t>
  </si>
  <si>
    <t>Đèn LED dây LD01 1000/10W 4000K (DC 12V-5m, XK)</t>
  </si>
  <si>
    <t>LED00080350</t>
  </si>
  <si>
    <t>Tủ điều khiển chiếu sáng thông minh TĐKCS IOT 30A 1P 2NR</t>
  </si>
  <si>
    <t>LED00081951</t>
  </si>
  <si>
    <t>Đèn LED dây LD01 1000/10W 6500K (DC 12V-5m)</t>
  </si>
  <si>
    <t>PHN00001323</t>
  </si>
  <si>
    <t>Vỏ phích inox 1,0L/T-Termolar</t>
  </si>
  <si>
    <t>PHN00018342</t>
  </si>
  <si>
    <t>Gioăng cho máy xay sinh tố RD MX01 Yemen</t>
  </si>
  <si>
    <t>PHN00018343</t>
  </si>
  <si>
    <t>Bánh chuyển động trên may xay RD MX01 Yemen</t>
  </si>
  <si>
    <t>PHN00001389</t>
  </si>
  <si>
    <t>Ruột phích cốc loại trần</t>
  </si>
  <si>
    <t>PHN00003553</t>
  </si>
  <si>
    <t>Ruột phích 1055 loại trần (ko viên đệm)</t>
  </si>
  <si>
    <t>PHN00011184</t>
  </si>
  <si>
    <t>Ruột phích RD 1.0L (RF-1037-LU) loại trần</t>
  </si>
  <si>
    <t>PHN00011396</t>
  </si>
  <si>
    <t>Ruột phích RD 1.0L (RF-1042-WJ) loại trần</t>
  </si>
  <si>
    <t>PHN00013312</t>
  </si>
  <si>
    <t>Ruột phích RD 1.8L (RF-7009013) loại trần</t>
  </si>
  <si>
    <t>PHN00014969</t>
  </si>
  <si>
    <t>Ruột phích 1800-1.8L loại trần</t>
  </si>
  <si>
    <t>PHN00016795</t>
  </si>
  <si>
    <t>Ruột phích RD 1.0L (RF-2466-BL) loại trần</t>
  </si>
  <si>
    <t>PHN00021308</t>
  </si>
  <si>
    <t>Ruột phích 3.2L (RF-3240 SAI) loại trần</t>
  </si>
  <si>
    <t>PHN00021551</t>
  </si>
  <si>
    <t>Ruột phích RD 1.0L (RF-1042-HC) loại trần</t>
  </si>
  <si>
    <t>PHN00026351</t>
  </si>
  <si>
    <t>Ruột phích RD 3.0L (RF-3045-HB) loại trần</t>
  </si>
  <si>
    <t>PHN00000019</t>
  </si>
  <si>
    <t>PHN00001060</t>
  </si>
  <si>
    <t>PHN00001104</t>
  </si>
  <si>
    <t>Ruột phích RD 1.9L (RF-1945-SP)</t>
  </si>
  <si>
    <t>PHN00001108</t>
  </si>
  <si>
    <t>Ruột phích RD 1.9L (RF-1948-MC-A)</t>
  </si>
  <si>
    <t>PHN00002081</t>
  </si>
  <si>
    <t>Ruột phích RD 1.8L (RF-1840-Ti)</t>
  </si>
  <si>
    <t>PHN00002142</t>
  </si>
  <si>
    <t>Ruột phích RD- 1235-1,2L</t>
  </si>
  <si>
    <t>PHN00010774</t>
  </si>
  <si>
    <t>Ruột phích RD 1.0L (D0001078-4)</t>
  </si>
  <si>
    <t>PHN00011627</t>
  </si>
  <si>
    <t>Ruột phích MG12109180 (RF-1948)</t>
  </si>
  <si>
    <t>PHN00024212</t>
  </si>
  <si>
    <t>Ruột phích RD 2.0L (RF-2035-BL)</t>
  </si>
  <si>
    <t>PHN00026091</t>
  </si>
  <si>
    <t>Ruột phích RD 1.9L (RF-1948-HB)</t>
  </si>
  <si>
    <t>PHN00026093</t>
  </si>
  <si>
    <t>Ruột phích RD 1.0L (RF-2545-HB)</t>
  </si>
  <si>
    <t>PHN00027897</t>
  </si>
  <si>
    <t>Ruột phích RD 1.0L (RF-1040-A0-LB) loại trần</t>
  </si>
  <si>
    <t>PHN00028373</t>
  </si>
  <si>
    <t>Ruột phích RD 2.5L (RF-2545-HX-2)</t>
  </si>
  <si>
    <t>00000524</t>
  </si>
  <si>
    <t>Đầu nối chữ L cho thanh ray đèn Spotlight</t>
  </si>
  <si>
    <t>LED00032252</t>
  </si>
  <si>
    <t>Đèn LED dây đổi màu RD-LD01.9W</t>
  </si>
  <si>
    <t>LED00034431</t>
  </si>
  <si>
    <t>Đèn LED dây RD-LD01.7W 3000K (100m)</t>
  </si>
  <si>
    <t>LED00037546</t>
  </si>
  <si>
    <t>Đèn LED Chỉ dẫn CD01 40x20/2.2W (PCCC-2 mặt)</t>
  </si>
  <si>
    <t>LED00037653</t>
  </si>
  <si>
    <t>Bóng LED Sunlike MR16 4W GU5.3 6500K(SSC)</t>
  </si>
  <si>
    <t>LED00038112</t>
  </si>
  <si>
    <t>Đầu hồi đèn linear LR01</t>
  </si>
  <si>
    <t>LED00040312</t>
  </si>
  <si>
    <t>Driver U8KCF-50W-36V (NEO) HC</t>
  </si>
  <si>
    <t>LED00050489</t>
  </si>
  <si>
    <t>Vợt bắt muỗi VBM RD.03</t>
  </si>
  <si>
    <t>LED00051695</t>
  </si>
  <si>
    <t>Driver 320x640/20W Mbar Direct LLC PER  TC</t>
  </si>
  <si>
    <t>LED00058737</t>
  </si>
  <si>
    <t>Đèn LED thanh chuyên dụng T-Malbec 740B 1140/33W (KN)</t>
  </si>
  <si>
    <t>LED00061054</t>
  </si>
  <si>
    <t>Đèn LED thanh chuyên dụng T-Malbec 720A 1140/23W (KN)</t>
  </si>
  <si>
    <t>LED00062105</t>
  </si>
  <si>
    <t>Đèn LED dây LD02 1000/9W 3000K (100m)</t>
  </si>
  <si>
    <t>LED00079546</t>
  </si>
  <si>
    <t>Tủ aptomat âm tường TAT01-14 (nhựa)</t>
  </si>
  <si>
    <t>LED00080090</t>
  </si>
  <si>
    <t>Đèn Led dây RD-LD.12W.GOV 3000K</t>
  </si>
  <si>
    <t>LED00083151</t>
  </si>
  <si>
    <t>Đèn LED sân vườn DCQV01 H300/10W.APG 3000K (IP54)</t>
  </si>
  <si>
    <t>PHN00001322</t>
  </si>
  <si>
    <t>Vỏ phích inox 0,5L-Termolar</t>
  </si>
  <si>
    <t>PHN00017614</t>
  </si>
  <si>
    <t>Vỏ phích Inox 1.0L-MOR</t>
  </si>
  <si>
    <t>Công ty CP Bóng Đèn Phích Nước Rạng Đông</t>
  </si>
  <si>
    <t>Chi Nhánh Tiền Giang</t>
  </si>
  <si>
    <t>ĐVT</t>
  </si>
  <si>
    <t>BẢNG BÁO GIÁ ĐÈN LED - THUẾ VAT 8%</t>
  </si>
  <si>
    <t>Giá bán cấp 1</t>
  </si>
  <si>
    <t>LED Downlight</t>
  </si>
  <si>
    <t>Bóng Đèn Led</t>
  </si>
  <si>
    <t>Bộ đèn Led</t>
  </si>
  <si>
    <t>Bóng Led Bulb A60N1/9W.DCV2 6500K (12VDC E27)</t>
  </si>
  <si>
    <t>Bóng Led Bulb A60N1/9W.DCV2 6500K (12VDC kẹp)</t>
  </si>
  <si>
    <t>Bóng Led Bulb TR70N1/12W.DCV2 6500K (12VDC E27)</t>
  </si>
  <si>
    <t>Bóng Led Bulb TR70N1/12W.DCV2 6500K (12VDC kẹp)</t>
  </si>
  <si>
    <t>LED Panel</t>
  </si>
  <si>
    <t>LED chiếu pha</t>
  </si>
  <si>
    <t>LED pin đội đầu và đèn Led khẩn cấp</t>
  </si>
  <si>
    <t>Đèn Led lowbay + tracklight</t>
  </si>
  <si>
    <t>Đèn LED gắn tường</t>
  </si>
  <si>
    <t>Đèn LED Gắn tường GT05 T/2.5W E14</t>
  </si>
  <si>
    <t>Đèn LED Gắn tường GT06 CD/2.5W E14</t>
  </si>
  <si>
    <t>Đèn LED highbay</t>
  </si>
  <si>
    <t>Đèn LED chiếu sáng đường</t>
  </si>
  <si>
    <t>Đèn LED remote (RF)</t>
  </si>
  <si>
    <t>Ổ cắm, đui đèn cảm biến</t>
  </si>
  <si>
    <t>đ/m</t>
  </si>
  <si>
    <t>Đèn LED nông nghiệp</t>
  </si>
  <si>
    <t>ĐÈN LED THỦY SINH</t>
  </si>
  <si>
    <t>LED CHIẾU SÁNG LỚP HỌC</t>
  </si>
  <si>
    <t>Bộ đèn LED CSBA 1200/18w 6500K SS</t>
  </si>
  <si>
    <t>Sản phẩm LED năng lượng mặt trời</t>
  </si>
  <si>
    <t>Dây nối dài tấm solar DN 2mx0.75 CP NLMT 50W</t>
  </si>
  <si>
    <t>Dây nối dài tấm solar DN 3mx0.75 CP NLMT 50W</t>
  </si>
  <si>
    <t>Sản phẩm LED có tem PCCC</t>
  </si>
  <si>
    <t>LED dây</t>
  </si>
  <si>
    <t>đ/b</t>
  </si>
  <si>
    <t>Sản phẩm LED khác</t>
  </si>
  <si>
    <t>Đèn bắt muỗi DBM01 5w</t>
  </si>
  <si>
    <t>Bộ nguồn chống sét đèn ngoài trời SPD 10kV</t>
  </si>
  <si>
    <t>Aptomat + Tủ aptomat</t>
  </si>
  <si>
    <t>60-90 ĐỘ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</si>
</sst>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##\ ###\ ###.##"/>
    <numFmt numFmtId="165" formatCode="_(* #,##0_);_(* \(#,##0\);_(* &quot;-&quot;??_);_(@_)"/>
    <numFmt numFmtId="166" formatCode="###\ ###\ ###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b/>
      <sz val="13"/>
      <name val="Times New Roman"/>
      <family val="1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3"/>
      <color rgb="FFFF0000"/>
      <name val="Times New Roman"/>
      <family val="1"/>
    </font>
    <font>
      <b/>
      <sz val="13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78">
    <xf numFmtId="0" fontId="0" fillId="0" borderId="0" xfId="0"/>
    <xf numFmtId="165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/>
    <xf numFmtId="0" fontId="3" fillId="0" borderId="2" xfId="0" applyFont="1" applyFill="1" applyBorder="1" applyAlignment="1">
      <alignment horizontal="center" vertical="center"/>
    </xf>
    <xf numFmtId="164" fontId="3" fillId="0" borderId="2" xfId="0" applyNumberFormat="1" applyFont="1" applyFill="1" applyBorder="1" applyAlignment="1">
      <alignment horizontal="center" vertical="center"/>
    </xf>
    <xf numFmtId="165" fontId="3" fillId="0" borderId="2" xfId="1" applyNumberFormat="1" applyFont="1" applyFill="1" applyBorder="1"/>
    <xf numFmtId="0" fontId="0" fillId="0" borderId="0" xfId="0" applyFill="1"/>
    <xf numFmtId="0" fontId="0" fillId="2" borderId="0" xfId="0" applyFill="1"/>
    <xf numFmtId="0" fontId="0" fillId="0" borderId="2" xfId="0" applyBorder="1"/>
    <xf numFmtId="0" fontId="0" fillId="0" borderId="0" xfId="0" quotePrefix="1"/>
    <xf numFmtId="0" fontId="0" fillId="0" borderId="2" xfId="0" applyBorder="1" applyAlignment="1">
      <alignment wrapText="1"/>
    </xf>
    <xf numFmtId="165" fontId="0" fillId="2" borderId="2" xfId="1" applyNumberFormat="1" applyFont="1" applyFill="1" applyBorder="1" applyAlignment="1">
      <alignment wrapText="1"/>
    </xf>
    <xf numFmtId="165" fontId="0" fillId="3" borderId="2" xfId="1" applyNumberFormat="1" applyFont="1" applyFill="1" applyBorder="1" applyAlignment="1">
      <alignment wrapText="1"/>
    </xf>
    <xf numFmtId="165" fontId="0" fillId="2" borderId="2" xfId="1" applyNumberFormat="1" applyFont="1" applyFill="1" applyBorder="1"/>
    <xf numFmtId="165" fontId="0" fillId="3" borderId="2" xfId="1" applyNumberFormat="1" applyFont="1" applyFill="1" applyBorder="1"/>
    <xf numFmtId="165" fontId="0" fillId="2" borderId="0" xfId="1" applyNumberFormat="1" applyFont="1" applyFill="1"/>
    <xf numFmtId="165" fontId="0" fillId="3" borderId="0" xfId="1" applyNumberFormat="1" applyFont="1" applyFill="1"/>
    <xf numFmtId="164" fontId="3" fillId="0" borderId="2" xfId="0" applyNumberFormat="1" applyFont="1" applyFill="1" applyBorder="1" applyAlignment="1">
      <alignment horizontal="left" vertical="center"/>
    </xf>
    <xf numFmtId="164" fontId="3" fillId="0" borderId="2" xfId="0" applyNumberFormat="1" applyFont="1" applyFill="1" applyBorder="1" applyAlignment="1">
      <alignment horizontal="center" vertical="center" wrapText="1"/>
    </xf>
    <xf numFmtId="165" fontId="3" fillId="0" borderId="2" xfId="1" applyNumberFormat="1" applyFont="1" applyFill="1" applyBorder="1" applyAlignment="1">
      <alignment horizontal="left" vertical="center" wrapText="1"/>
    </xf>
    <xf numFmtId="166" fontId="2" fillId="0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ill="1"/>
    <xf numFmtId="164" fontId="3" fillId="0" borderId="0" xfId="0" applyNumberFormat="1" applyFont="1" applyFill="1" applyAlignment="1">
      <alignment vertical="center" wrapText="1"/>
    </xf>
    <xf numFmtId="164" fontId="3" fillId="0" borderId="2" xfId="0" applyNumberFormat="1" applyFont="1" applyFill="1" applyBorder="1" applyAlignment="1">
      <alignment horizontal="left" vertical="center" wrapText="1"/>
    </xf>
    <xf numFmtId="165" fontId="3" fillId="0" borderId="0" xfId="1" applyNumberFormat="1" applyFont="1" applyFill="1" applyAlignment="1">
      <alignment horizontal="right" vertical="center" wrapText="1"/>
    </xf>
    <xf numFmtId="0" fontId="3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165" fontId="5" fillId="0" borderId="3" xfId="1" applyNumberFormat="1" applyFont="1" applyFill="1" applyBorder="1" applyAlignment="1">
      <alignment horizontal="right" vertical="center"/>
    </xf>
    <xf numFmtId="165" fontId="5" fillId="0" borderId="2" xfId="1" applyNumberFormat="1" applyFont="1" applyFill="1" applyBorder="1" applyAlignment="1">
      <alignment horizontal="righ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165" fontId="3" fillId="0" borderId="2" xfId="1" applyNumberFormat="1" applyFont="1" applyFill="1" applyBorder="1" applyAlignment="1">
      <alignment horizontal="left"/>
    </xf>
    <xf numFmtId="0" fontId="5" fillId="0" borderId="2" xfId="0" applyFont="1" applyFill="1" applyBorder="1" applyAlignment="1">
      <alignment horizontal="left" vertical="center"/>
    </xf>
    <xf numFmtId="0" fontId="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3" fillId="0" borderId="2" xfId="3" applyFont="1" applyFill="1" applyBorder="1" applyAlignment="1">
      <alignment horizontal="left" vertical="center"/>
    </xf>
    <xf numFmtId="9" fontId="3" fillId="0" borderId="2" xfId="2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5" fillId="0" borderId="2" xfId="4" applyFont="1" applyFill="1" applyBorder="1" applyAlignment="1">
      <alignment horizontal="left" vertical="center"/>
    </xf>
    <xf numFmtId="0" fontId="3" fillId="0" borderId="2" xfId="4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3" fillId="2" borderId="2" xfId="4" applyFont="1" applyFill="1" applyBorder="1" applyAlignment="1">
      <alignment horizontal="left" vertical="center"/>
    </xf>
    <xf numFmtId="165" fontId="3" fillId="2" borderId="2" xfId="1" applyNumberFormat="1" applyFont="1" applyFill="1" applyBorder="1" applyAlignment="1">
      <alignment horizontal="center" vertical="center" wrapText="1"/>
    </xf>
    <xf numFmtId="165" fontId="0" fillId="2" borderId="0" xfId="0" applyNumberFormat="1" applyFill="1"/>
    <xf numFmtId="0" fontId="3" fillId="0" borderId="1" xfId="0" applyFont="1" applyFill="1" applyBorder="1"/>
    <xf numFmtId="164" fontId="3" fillId="0" borderId="4" xfId="0" applyNumberFormat="1" applyFont="1" applyFill="1" applyBorder="1" applyAlignment="1">
      <alignment horizontal="center" vertical="center"/>
    </xf>
    <xf numFmtId="164" fontId="3" fillId="0" borderId="0" xfId="0" applyNumberFormat="1" applyFont="1" applyFill="1" applyAlignment="1">
      <alignment horizontal="left" vertical="center" wrapText="1"/>
    </xf>
    <xf numFmtId="164" fontId="3" fillId="0" borderId="0" xfId="0" applyNumberFormat="1" applyFont="1" applyFill="1" applyAlignment="1">
      <alignment horizontal="left" vertical="center"/>
    </xf>
    <xf numFmtId="164" fontId="4" fillId="0" borderId="6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/>
    </xf>
    <xf numFmtId="164" fontId="5" fillId="0" borderId="3" xfId="0" applyNumberFormat="1" applyFont="1" applyFill="1" applyBorder="1" applyAlignment="1">
      <alignment horizontal="center" vertical="center"/>
    </xf>
    <xf numFmtId="164" fontId="5" fillId="0" borderId="1" xfId="0" applyNumberFormat="1" applyFont="1" applyFill="1" applyBorder="1" applyAlignment="1">
      <alignment horizontal="center" vertical="center" wrapText="1"/>
    </xf>
    <xf numFmtId="164" fontId="5" fillId="0" borderId="3" xfId="0" applyNumberFormat="1" applyFont="1" applyFill="1" applyBorder="1" applyAlignment="1">
      <alignment horizontal="center" vertical="center" wrapText="1"/>
    </xf>
    <xf numFmtId="165" fontId="5" fillId="0" borderId="5" xfId="1" applyNumberFormat="1" applyFont="1" applyFill="1" applyBorder="1" applyAlignment="1">
      <alignment horizontal="center" vertical="center" wrapText="1"/>
    </xf>
    <xf numFmtId="165" fontId="5" fillId="0" borderId="7" xfId="1" applyNumberFormat="1" applyFont="1" applyFill="1" applyBorder="1" applyAlignment="1">
      <alignment horizontal="center" vertical="center" wrapText="1"/>
    </xf>
    <xf numFmtId="165" fontId="8" fillId="0" borderId="0" xfId="1" applyNumberFormat="1" applyFont="1" applyFill="1" applyAlignment="1">
      <alignment horizontal="center" vertical="center" wrapText="1"/>
    </xf>
    <xf numFmtId="165" fontId="9" fillId="0" borderId="2" xfId="1" applyNumberFormat="1" applyFont="1" applyFill="1" applyBorder="1" applyAlignment="1">
      <alignment horizontal="center" vertical="center" wrapText="1"/>
    </xf>
    <xf numFmtId="165" fontId="9" fillId="0" borderId="3" xfId="1" applyNumberFormat="1" applyFont="1" applyFill="1" applyBorder="1" applyAlignment="1">
      <alignment horizontal="right" vertical="center"/>
    </xf>
    <xf numFmtId="165" fontId="8" fillId="0" borderId="2" xfId="1" applyNumberFormat="1" applyFont="1" applyFill="1" applyBorder="1" applyAlignment="1">
      <alignment horizontal="right" vertical="center"/>
    </xf>
    <xf numFmtId="165" fontId="8" fillId="0" borderId="2" xfId="1" applyNumberFormat="1" applyFont="1" applyFill="1" applyBorder="1" applyAlignment="1">
      <alignment horizontal="center" vertical="center"/>
    </xf>
    <xf numFmtId="165" fontId="8" fillId="0" borderId="2" xfId="1" applyNumberFormat="1" applyFont="1" applyFill="1" applyBorder="1"/>
    <xf numFmtId="165" fontId="8" fillId="0" borderId="2" xfId="1" applyNumberFormat="1" applyFont="1" applyFill="1" applyBorder="1" applyAlignment="1">
      <alignment horizontal="left"/>
    </xf>
    <xf numFmtId="165" fontId="8" fillId="0" borderId="2" xfId="1" applyNumberFormat="1" applyFont="1" applyFill="1" applyBorder="1" applyAlignment="1">
      <alignment horizontal="left" vertical="center" wrapText="1"/>
    </xf>
    <xf numFmtId="165" fontId="9" fillId="0" borderId="2" xfId="1" applyNumberFormat="1" applyFont="1" applyFill="1" applyBorder="1" applyAlignment="1">
      <alignment horizontal="right" vertical="center"/>
    </xf>
    <xf numFmtId="165" fontId="8" fillId="0" borderId="1" xfId="1" applyNumberFormat="1" applyFont="1" applyFill="1" applyBorder="1" applyAlignment="1">
      <alignment horizontal="right" vertical="center"/>
    </xf>
    <xf numFmtId="165" fontId="8" fillId="0" borderId="2" xfId="1" applyNumberFormat="1" applyFont="1" applyFill="1" applyBorder="1" applyAlignment="1">
      <alignment vertical="center"/>
    </xf>
    <xf numFmtId="165" fontId="8" fillId="2" borderId="2" xfId="1" applyNumberFormat="1" applyFont="1" applyFill="1" applyBorder="1" applyAlignment="1">
      <alignment horizontal="right" vertical="center"/>
    </xf>
    <xf numFmtId="165" fontId="9" fillId="0" borderId="2" xfId="1" applyNumberFormat="1" applyFont="1" applyFill="1" applyBorder="1" applyAlignment="1">
      <alignment horizontal="center" vertical="center"/>
    </xf>
    <xf numFmtId="0" fontId="7" fillId="0" borderId="0" xfId="0" applyFont="1" applyFill="1"/>
    <xf numFmtId="165" fontId="8" fillId="0" borderId="0" xfId="1" applyNumberFormat="1" applyFont="1" applyFill="1" applyAlignment="1">
      <alignment horizontal="right" vertical="center" wrapText="1"/>
    </xf>
    <xf numFmtId="165" fontId="9" fillId="0" borderId="7" xfId="1" applyNumberFormat="1" applyFont="1" applyFill="1" applyBorder="1" applyAlignment="1">
      <alignment horizontal="center" vertical="center" wrapText="1"/>
    </xf>
    <xf numFmtId="165" fontId="8" fillId="0" borderId="7" xfId="1" applyNumberFormat="1" applyFont="1" applyFill="1" applyBorder="1" applyAlignment="1">
      <alignment horizontal="right" vertical="center"/>
    </xf>
  </cellXfs>
  <cellStyles count="5">
    <cellStyle name="Comma" xfId="1" builtinId="3"/>
    <cellStyle name="Normal" xfId="0" builtinId="0"/>
    <cellStyle name="Normal 5" xfId="4"/>
    <cellStyle name="Normal 7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869"/>
  <sheetViews>
    <sheetView tabSelected="1" workbookViewId="0">
      <selection activeCell="P10" sqref="P10"/>
    </sheetView>
  </sheetViews>
  <sheetFormatPr defaultRowHeight="14.4" x14ac:dyDescent="0.3"/>
  <cols>
    <col min="1" max="1" width="8.88671875" style="6"/>
    <col min="2" max="2" width="69" style="6" bestFit="1" customWidth="1"/>
    <col min="3" max="3" width="6.109375" style="6" bestFit="1" customWidth="1"/>
    <col min="4" max="4" width="13.5546875" style="74" bestFit="1" customWidth="1"/>
    <col min="5" max="5" width="13.33203125" style="6" bestFit="1" customWidth="1"/>
    <col min="6" max="6" width="13.5546875" style="74" bestFit="1" customWidth="1"/>
    <col min="7" max="7" width="13.33203125" style="6" bestFit="1" customWidth="1"/>
    <col min="8" max="8" width="8.88671875" style="6"/>
    <col min="9" max="9" width="0" style="6" hidden="1" customWidth="1"/>
    <col min="10" max="10" width="11.44140625" style="6" hidden="1" customWidth="1"/>
    <col min="11" max="11" width="0" style="6" hidden="1" customWidth="1"/>
    <col min="12" max="12" width="11.109375" style="6" hidden="1" customWidth="1"/>
    <col min="13" max="16384" width="8.88671875" style="6"/>
  </cols>
  <sheetData>
    <row r="1" spans="1:12" ht="16.8" x14ac:dyDescent="0.3">
      <c r="A1" s="50" t="s">
        <v>15578</v>
      </c>
      <c r="B1" s="50"/>
      <c r="C1" s="22"/>
      <c r="D1" s="61"/>
      <c r="E1" s="24"/>
      <c r="F1" s="75"/>
      <c r="G1" s="24"/>
    </row>
    <row r="2" spans="1:12" ht="16.8" x14ac:dyDescent="0.3">
      <c r="A2" s="51" t="s">
        <v>15579</v>
      </c>
      <c r="B2" s="51"/>
      <c r="C2" s="22"/>
      <c r="D2" s="61"/>
      <c r="E2" s="24"/>
      <c r="F2" s="75"/>
      <c r="G2" s="24"/>
    </row>
    <row r="3" spans="1:12" ht="20.399999999999999" x14ac:dyDescent="0.3">
      <c r="A3" s="52" t="s">
        <v>15581</v>
      </c>
      <c r="B3" s="52"/>
      <c r="C3" s="52"/>
      <c r="D3" s="52"/>
      <c r="E3" s="52"/>
      <c r="F3" s="52"/>
      <c r="G3" s="52"/>
    </row>
    <row r="4" spans="1:12" ht="16.8" x14ac:dyDescent="0.3">
      <c r="A4" s="53" t="s">
        <v>0</v>
      </c>
      <c r="B4" s="55" t="s">
        <v>1</v>
      </c>
      <c r="C4" s="57" t="s">
        <v>15580</v>
      </c>
      <c r="D4" s="59" t="s">
        <v>15582</v>
      </c>
      <c r="E4" s="60"/>
      <c r="F4" s="59" t="s">
        <v>2</v>
      </c>
      <c r="G4" s="60"/>
    </row>
    <row r="5" spans="1:12" ht="16.8" x14ac:dyDescent="0.3">
      <c r="A5" s="54"/>
      <c r="B5" s="56"/>
      <c r="C5" s="58"/>
      <c r="D5" s="62" t="s">
        <v>3</v>
      </c>
      <c r="E5" s="20" t="s">
        <v>4</v>
      </c>
      <c r="F5" s="76" t="s">
        <v>3</v>
      </c>
      <c r="G5" s="20" t="s">
        <v>4</v>
      </c>
    </row>
    <row r="6" spans="1:12" ht="16.8" x14ac:dyDescent="0.3">
      <c r="A6" s="25"/>
      <c r="B6" s="26" t="s">
        <v>15583</v>
      </c>
      <c r="C6" s="27"/>
      <c r="D6" s="63"/>
      <c r="E6" s="28"/>
      <c r="F6" s="69"/>
      <c r="G6" s="29"/>
    </row>
    <row r="7" spans="1:12" ht="16.8" x14ac:dyDescent="0.3">
      <c r="A7" s="3">
        <v>1</v>
      </c>
      <c r="B7" s="30" t="s">
        <v>7948</v>
      </c>
      <c r="C7" s="3" t="s">
        <v>6</v>
      </c>
      <c r="D7" s="64">
        <v>47000</v>
      </c>
      <c r="E7" s="1">
        <f t="shared" ref="E7:E38" si="0">D7*1.08</f>
        <v>50760</v>
      </c>
      <c r="F7" s="64">
        <v>94444</v>
      </c>
      <c r="G7" s="1">
        <f t="shared" ref="G7:G38" si="1">F7*1.08</f>
        <v>101999.52</v>
      </c>
      <c r="I7" s="6">
        <f>VLOOKUP(B7,'GIÁ 1.4'!$D:$F,2,0)</f>
        <v>47000</v>
      </c>
      <c r="J7" s="21">
        <f t="shared" ref="J7:J38" si="2">D7-I7</f>
        <v>0</v>
      </c>
      <c r="K7" s="6">
        <f>VLOOKUP(B7,'GIÁ 1.4'!$D:$F,3,0)</f>
        <v>94444</v>
      </c>
      <c r="L7" s="21">
        <f t="shared" ref="L7:L38" si="3">F7-K7</f>
        <v>0</v>
      </c>
    </row>
    <row r="8" spans="1:12" ht="16.8" x14ac:dyDescent="0.3">
      <c r="A8" s="3">
        <v>2</v>
      </c>
      <c r="B8" s="30" t="s">
        <v>6810</v>
      </c>
      <c r="C8" s="3" t="s">
        <v>6</v>
      </c>
      <c r="D8" s="64">
        <v>48500</v>
      </c>
      <c r="E8" s="1">
        <f t="shared" si="0"/>
        <v>52380</v>
      </c>
      <c r="F8" s="64">
        <v>97037</v>
      </c>
      <c r="G8" s="1">
        <f t="shared" si="1"/>
        <v>104799.96</v>
      </c>
      <c r="I8" s="6">
        <f>VLOOKUP(B8,'GIÁ 1.4'!$D:$F,2,0)</f>
        <v>48500</v>
      </c>
      <c r="J8" s="21">
        <f t="shared" si="2"/>
        <v>0</v>
      </c>
      <c r="K8" s="6">
        <f>VLOOKUP(B8,'GIÁ 1.4'!$D:$F,3,0)</f>
        <v>97037</v>
      </c>
      <c r="L8" s="21">
        <f t="shared" si="3"/>
        <v>0</v>
      </c>
    </row>
    <row r="9" spans="1:12" ht="16.8" x14ac:dyDescent="0.3">
      <c r="A9" s="3">
        <v>3</v>
      </c>
      <c r="B9" s="30" t="s">
        <v>6125</v>
      </c>
      <c r="C9" s="3" t="s">
        <v>6</v>
      </c>
      <c r="D9" s="64">
        <v>48500</v>
      </c>
      <c r="E9" s="1">
        <f t="shared" si="0"/>
        <v>52380</v>
      </c>
      <c r="F9" s="64">
        <v>97037</v>
      </c>
      <c r="G9" s="1">
        <f t="shared" si="1"/>
        <v>104799.96</v>
      </c>
      <c r="I9" s="6">
        <f>VLOOKUP(B9,'GIÁ 1.4'!$D:$F,2,0)</f>
        <v>48500</v>
      </c>
      <c r="J9" s="21">
        <f t="shared" si="2"/>
        <v>0</v>
      </c>
      <c r="K9" s="6">
        <f>VLOOKUP(B9,'GIÁ 1.4'!$D:$F,3,0)</f>
        <v>97037</v>
      </c>
      <c r="L9" s="21">
        <f t="shared" si="3"/>
        <v>0</v>
      </c>
    </row>
    <row r="10" spans="1:12" ht="16.8" x14ac:dyDescent="0.3">
      <c r="A10" s="3">
        <v>4</v>
      </c>
      <c r="B10" s="30" t="s">
        <v>6081</v>
      </c>
      <c r="C10" s="3" t="s">
        <v>6</v>
      </c>
      <c r="D10" s="64">
        <v>57400</v>
      </c>
      <c r="E10" s="1">
        <f t="shared" si="0"/>
        <v>61992.000000000007</v>
      </c>
      <c r="F10" s="64">
        <v>114815</v>
      </c>
      <c r="G10" s="1">
        <f t="shared" si="1"/>
        <v>124000.20000000001</v>
      </c>
      <c r="I10" s="6">
        <f>VLOOKUP(B10,'GIÁ 1.4'!$D:$F,2,0)</f>
        <v>57400</v>
      </c>
      <c r="J10" s="21">
        <f t="shared" si="2"/>
        <v>0</v>
      </c>
      <c r="K10" s="6">
        <f>VLOOKUP(B10,'GIÁ 1.4'!$D:$F,3,0)</f>
        <v>114815</v>
      </c>
      <c r="L10" s="21">
        <f t="shared" si="3"/>
        <v>0</v>
      </c>
    </row>
    <row r="11" spans="1:12" ht="16.8" x14ac:dyDescent="0.3">
      <c r="A11" s="3">
        <v>5</v>
      </c>
      <c r="B11" s="30" t="s">
        <v>7972</v>
      </c>
      <c r="C11" s="3" t="s">
        <v>6</v>
      </c>
      <c r="D11" s="64">
        <v>57400</v>
      </c>
      <c r="E11" s="1">
        <f t="shared" si="0"/>
        <v>61992.000000000007</v>
      </c>
      <c r="F11" s="64">
        <v>114815</v>
      </c>
      <c r="G11" s="1">
        <f t="shared" si="1"/>
        <v>124000.20000000001</v>
      </c>
      <c r="I11" s="6">
        <f>VLOOKUP(B11,'GIÁ 1.4'!$D:$F,2,0)</f>
        <v>57400</v>
      </c>
      <c r="J11" s="21">
        <f t="shared" si="2"/>
        <v>0</v>
      </c>
      <c r="K11" s="6">
        <f>VLOOKUP(B11,'GIÁ 1.4'!$D:$F,3,0)</f>
        <v>114815</v>
      </c>
      <c r="L11" s="21">
        <f t="shared" si="3"/>
        <v>0</v>
      </c>
    </row>
    <row r="12" spans="1:12" ht="16.8" x14ac:dyDescent="0.3">
      <c r="A12" s="3">
        <v>6</v>
      </c>
      <c r="B12" s="30" t="s">
        <v>5327</v>
      </c>
      <c r="C12" s="3" t="s">
        <v>6</v>
      </c>
      <c r="D12" s="64">
        <v>69000</v>
      </c>
      <c r="E12" s="1">
        <f t="shared" si="0"/>
        <v>74520</v>
      </c>
      <c r="F12" s="64">
        <v>137963</v>
      </c>
      <c r="G12" s="1">
        <f t="shared" si="1"/>
        <v>149000.04</v>
      </c>
      <c r="I12" s="6">
        <f>VLOOKUP(B12,'GIÁ 1.4'!$D:$F,2,0)</f>
        <v>69000</v>
      </c>
      <c r="J12" s="21">
        <f t="shared" si="2"/>
        <v>0</v>
      </c>
      <c r="K12" s="6">
        <f>VLOOKUP(B12,'GIÁ 1.4'!$D:$F,3,0)</f>
        <v>137963</v>
      </c>
      <c r="L12" s="21">
        <f t="shared" si="3"/>
        <v>0</v>
      </c>
    </row>
    <row r="13" spans="1:12" ht="16.8" x14ac:dyDescent="0.3">
      <c r="A13" s="3">
        <v>7</v>
      </c>
      <c r="B13" s="30" t="s">
        <v>6083</v>
      </c>
      <c r="C13" s="3" t="s">
        <v>6</v>
      </c>
      <c r="D13" s="64">
        <v>81200</v>
      </c>
      <c r="E13" s="1">
        <f t="shared" si="0"/>
        <v>87696</v>
      </c>
      <c r="F13" s="64">
        <v>162037</v>
      </c>
      <c r="G13" s="1">
        <f t="shared" si="1"/>
        <v>174999.96000000002</v>
      </c>
      <c r="I13" s="6">
        <f>VLOOKUP(B13,'GIÁ 1.4'!$D:$F,2,0)</f>
        <v>81200</v>
      </c>
      <c r="J13" s="21">
        <f t="shared" si="2"/>
        <v>0</v>
      </c>
      <c r="K13" s="6">
        <f>VLOOKUP(B13,'GIÁ 1.4'!$D:$F,3,0)</f>
        <v>162037</v>
      </c>
      <c r="L13" s="21">
        <f t="shared" si="3"/>
        <v>0</v>
      </c>
    </row>
    <row r="14" spans="1:12" ht="16.8" x14ac:dyDescent="0.3">
      <c r="A14" s="3">
        <v>8</v>
      </c>
      <c r="B14" s="30" t="s">
        <v>7704</v>
      </c>
      <c r="C14" s="3" t="s">
        <v>6</v>
      </c>
      <c r="D14" s="64">
        <v>81200</v>
      </c>
      <c r="E14" s="1">
        <f t="shared" si="0"/>
        <v>87696</v>
      </c>
      <c r="F14" s="64">
        <v>162037</v>
      </c>
      <c r="G14" s="1">
        <f t="shared" si="1"/>
        <v>174999.96000000002</v>
      </c>
      <c r="I14" s="6">
        <f>VLOOKUP(B14,'GIÁ 1.4'!$D:$F,2,0)</f>
        <v>81200</v>
      </c>
      <c r="J14" s="21">
        <f t="shared" si="2"/>
        <v>0</v>
      </c>
      <c r="K14" s="6">
        <f>VLOOKUP(B14,'GIÁ 1.4'!$D:$F,3,0)</f>
        <v>162037</v>
      </c>
      <c r="L14" s="21">
        <f t="shared" si="3"/>
        <v>0</v>
      </c>
    </row>
    <row r="15" spans="1:12" ht="16.8" x14ac:dyDescent="0.3">
      <c r="A15" s="3">
        <v>9</v>
      </c>
      <c r="B15" s="30" t="s">
        <v>5093</v>
      </c>
      <c r="C15" s="3" t="s">
        <v>6</v>
      </c>
      <c r="D15" s="64">
        <v>70100</v>
      </c>
      <c r="E15" s="1">
        <f t="shared" si="0"/>
        <v>75708</v>
      </c>
      <c r="F15" s="64">
        <v>139815</v>
      </c>
      <c r="G15" s="1">
        <f t="shared" si="1"/>
        <v>151000.20000000001</v>
      </c>
      <c r="I15" s="6">
        <f>VLOOKUP(B15,'GIÁ 1.4'!$D:$F,2,0)</f>
        <v>70100</v>
      </c>
      <c r="J15" s="21">
        <f t="shared" si="2"/>
        <v>0</v>
      </c>
      <c r="K15" s="6">
        <f>VLOOKUP(B15,'GIÁ 1.4'!$D:$F,3,0)</f>
        <v>139815</v>
      </c>
      <c r="L15" s="21">
        <f t="shared" si="3"/>
        <v>0</v>
      </c>
    </row>
    <row r="16" spans="1:12" ht="16.8" x14ac:dyDescent="0.3">
      <c r="A16" s="3">
        <v>10</v>
      </c>
      <c r="B16" s="30" t="s">
        <v>6768</v>
      </c>
      <c r="C16" s="3" t="s">
        <v>6</v>
      </c>
      <c r="D16" s="64">
        <v>70100</v>
      </c>
      <c r="E16" s="1">
        <f t="shared" si="0"/>
        <v>75708</v>
      </c>
      <c r="F16" s="64">
        <v>139815</v>
      </c>
      <c r="G16" s="1">
        <f t="shared" si="1"/>
        <v>151000.20000000001</v>
      </c>
      <c r="I16" s="6">
        <f>VLOOKUP(B16,'GIÁ 1.4'!$D:$F,2,0)</f>
        <v>70100</v>
      </c>
      <c r="J16" s="21">
        <f t="shared" si="2"/>
        <v>0</v>
      </c>
      <c r="K16" s="6">
        <f>VLOOKUP(B16,'GIÁ 1.4'!$D:$F,3,0)</f>
        <v>139815</v>
      </c>
      <c r="L16" s="21">
        <f t="shared" si="3"/>
        <v>0</v>
      </c>
    </row>
    <row r="17" spans="1:12" ht="16.8" x14ac:dyDescent="0.3">
      <c r="A17" s="3">
        <v>11</v>
      </c>
      <c r="B17" s="30" t="s">
        <v>6586</v>
      </c>
      <c r="C17" s="3" t="s">
        <v>6</v>
      </c>
      <c r="D17" s="64">
        <v>83800</v>
      </c>
      <c r="E17" s="1">
        <f t="shared" si="0"/>
        <v>90504</v>
      </c>
      <c r="F17" s="64">
        <v>167593</v>
      </c>
      <c r="G17" s="1">
        <f t="shared" si="1"/>
        <v>181000.44</v>
      </c>
      <c r="I17" s="6">
        <f>VLOOKUP(B17,'GIÁ 1.4'!$D:$F,2,0)</f>
        <v>83800</v>
      </c>
      <c r="J17" s="21">
        <f t="shared" si="2"/>
        <v>0</v>
      </c>
      <c r="K17" s="6">
        <f>VLOOKUP(B17,'GIÁ 1.4'!$D:$F,3,0)</f>
        <v>167593</v>
      </c>
      <c r="L17" s="21">
        <f t="shared" si="3"/>
        <v>0</v>
      </c>
    </row>
    <row r="18" spans="1:12" ht="16.8" x14ac:dyDescent="0.3">
      <c r="A18" s="3">
        <v>12</v>
      </c>
      <c r="B18" s="30" t="s">
        <v>7952</v>
      </c>
      <c r="C18" s="3" t="s">
        <v>6</v>
      </c>
      <c r="D18" s="64">
        <v>54000</v>
      </c>
      <c r="E18" s="1">
        <f t="shared" si="0"/>
        <v>58320.000000000007</v>
      </c>
      <c r="F18" s="64">
        <v>97273</v>
      </c>
      <c r="G18" s="1">
        <f t="shared" si="1"/>
        <v>105054.84000000001</v>
      </c>
      <c r="I18" s="6">
        <f>VLOOKUP(B18,'GIÁ 1.4'!$D:$F,2,0)</f>
        <v>54000</v>
      </c>
      <c r="J18" s="21">
        <f t="shared" si="2"/>
        <v>0</v>
      </c>
      <c r="K18" s="6">
        <f>VLOOKUP(B18,'GIÁ 1.4'!$D:$F,3,0)</f>
        <v>97273</v>
      </c>
      <c r="L18" s="21">
        <f t="shared" si="3"/>
        <v>0</v>
      </c>
    </row>
    <row r="19" spans="1:12" ht="16.8" x14ac:dyDescent="0.3">
      <c r="A19" s="3">
        <v>13</v>
      </c>
      <c r="B19" s="30" t="s">
        <v>5867</v>
      </c>
      <c r="C19" s="3" t="s">
        <v>6</v>
      </c>
      <c r="D19" s="64">
        <v>76300</v>
      </c>
      <c r="E19" s="1">
        <f t="shared" si="0"/>
        <v>82404</v>
      </c>
      <c r="F19" s="64">
        <v>137273</v>
      </c>
      <c r="G19" s="1">
        <f t="shared" si="1"/>
        <v>148254.84</v>
      </c>
      <c r="I19" s="6">
        <f>VLOOKUP(B19,'GIÁ 1.4'!$D:$F,2,0)</f>
        <v>76300</v>
      </c>
      <c r="J19" s="21">
        <f t="shared" si="2"/>
        <v>0</v>
      </c>
      <c r="K19" s="6">
        <f>VLOOKUP(B19,'GIÁ 1.4'!$D:$F,3,0)</f>
        <v>137273</v>
      </c>
      <c r="L19" s="21">
        <f t="shared" si="3"/>
        <v>0</v>
      </c>
    </row>
    <row r="20" spans="1:12" ht="16.8" x14ac:dyDescent="0.3">
      <c r="A20" s="3">
        <v>14</v>
      </c>
      <c r="B20" s="30" t="s">
        <v>4846</v>
      </c>
      <c r="C20" s="3" t="s">
        <v>6</v>
      </c>
      <c r="D20" s="64">
        <v>38700</v>
      </c>
      <c r="E20" s="1">
        <f t="shared" si="0"/>
        <v>41796</v>
      </c>
      <c r="F20" s="64">
        <v>70370</v>
      </c>
      <c r="G20" s="1">
        <f t="shared" si="1"/>
        <v>75999.600000000006</v>
      </c>
      <c r="I20" s="6">
        <f>VLOOKUP(B20,'GIÁ 1.4'!$D:$F,2,0)</f>
        <v>38700</v>
      </c>
      <c r="J20" s="21">
        <f t="shared" si="2"/>
        <v>0</v>
      </c>
      <c r="K20" s="6">
        <f>VLOOKUP(B20,'GIÁ 1.4'!$D:$F,3,0)</f>
        <v>70370</v>
      </c>
      <c r="L20" s="21">
        <f t="shared" si="3"/>
        <v>0</v>
      </c>
    </row>
    <row r="21" spans="1:12" ht="16.8" x14ac:dyDescent="0.3">
      <c r="A21" s="3">
        <v>15</v>
      </c>
      <c r="B21" s="30" t="s">
        <v>5515</v>
      </c>
      <c r="C21" s="3" t="s">
        <v>6</v>
      </c>
      <c r="D21" s="64">
        <v>45800</v>
      </c>
      <c r="E21" s="1">
        <f t="shared" si="0"/>
        <v>49464</v>
      </c>
      <c r="F21" s="64">
        <v>82407</v>
      </c>
      <c r="G21" s="1">
        <f t="shared" si="1"/>
        <v>88999.560000000012</v>
      </c>
      <c r="I21" s="6">
        <f>VLOOKUP(B21,'GIÁ 1.4'!$D:$F,2,0)</f>
        <v>45800</v>
      </c>
      <c r="J21" s="21">
        <f t="shared" si="2"/>
        <v>0</v>
      </c>
      <c r="K21" s="6">
        <f>VLOOKUP(B21,'GIÁ 1.4'!$D:$F,3,0)</f>
        <v>82407</v>
      </c>
      <c r="L21" s="21">
        <f t="shared" si="3"/>
        <v>0</v>
      </c>
    </row>
    <row r="22" spans="1:12" ht="16.8" x14ac:dyDescent="0.3">
      <c r="A22" s="3">
        <v>16</v>
      </c>
      <c r="B22" s="30" t="s">
        <v>6568</v>
      </c>
      <c r="C22" s="3" t="s">
        <v>6</v>
      </c>
      <c r="D22" s="64">
        <v>54000</v>
      </c>
      <c r="E22" s="1">
        <f t="shared" si="0"/>
        <v>58320.000000000007</v>
      </c>
      <c r="F22" s="64">
        <v>97222</v>
      </c>
      <c r="G22" s="1">
        <f t="shared" si="1"/>
        <v>104999.76000000001</v>
      </c>
      <c r="I22" s="6">
        <f>VLOOKUP(B22,'GIÁ 1.4'!$D:$F,2,0)</f>
        <v>54000</v>
      </c>
      <c r="J22" s="21">
        <f t="shared" si="2"/>
        <v>0</v>
      </c>
      <c r="K22" s="6">
        <f>VLOOKUP(B22,'GIÁ 1.4'!$D:$F,3,0)</f>
        <v>97222</v>
      </c>
      <c r="L22" s="21">
        <f t="shared" si="3"/>
        <v>0</v>
      </c>
    </row>
    <row r="23" spans="1:12" ht="16.8" x14ac:dyDescent="0.3">
      <c r="A23" s="3">
        <v>17</v>
      </c>
      <c r="B23" s="30" t="s">
        <v>7378</v>
      </c>
      <c r="C23" s="3" t="s">
        <v>6</v>
      </c>
      <c r="D23" s="64">
        <v>76300</v>
      </c>
      <c r="E23" s="1">
        <f t="shared" si="0"/>
        <v>82404</v>
      </c>
      <c r="F23" s="64">
        <v>137037</v>
      </c>
      <c r="G23" s="1">
        <f t="shared" si="1"/>
        <v>147999.96000000002</v>
      </c>
      <c r="I23" s="6">
        <f>VLOOKUP(B23,'GIÁ 1.4'!$D:$F,2,0)</f>
        <v>76300</v>
      </c>
      <c r="J23" s="21">
        <f t="shared" si="2"/>
        <v>0</v>
      </c>
      <c r="K23" s="6">
        <f>VLOOKUP(B23,'GIÁ 1.4'!$D:$F,3,0)</f>
        <v>137037</v>
      </c>
      <c r="L23" s="21">
        <f t="shared" si="3"/>
        <v>0</v>
      </c>
    </row>
    <row r="24" spans="1:12" ht="16.8" x14ac:dyDescent="0.3">
      <c r="A24" s="3">
        <v>18</v>
      </c>
      <c r="B24" s="30" t="s">
        <v>4842</v>
      </c>
      <c r="C24" s="3" t="s">
        <v>6</v>
      </c>
      <c r="D24" s="64">
        <v>81000</v>
      </c>
      <c r="E24" s="1">
        <f t="shared" si="0"/>
        <v>87480</v>
      </c>
      <c r="F24" s="64">
        <v>162037</v>
      </c>
      <c r="G24" s="1">
        <f t="shared" si="1"/>
        <v>174999.96000000002</v>
      </c>
      <c r="I24" s="6">
        <f>VLOOKUP(B24,'GIÁ 1.4'!$D:$F,2,0)</f>
        <v>81000</v>
      </c>
      <c r="J24" s="21">
        <f t="shared" si="2"/>
        <v>0</v>
      </c>
      <c r="K24" s="6">
        <f>VLOOKUP(B24,'GIÁ 1.4'!$D:$F,3,0)</f>
        <v>162037</v>
      </c>
      <c r="L24" s="21">
        <f t="shared" si="3"/>
        <v>0</v>
      </c>
    </row>
    <row r="25" spans="1:12" ht="16.8" x14ac:dyDescent="0.3">
      <c r="A25" s="3">
        <v>19</v>
      </c>
      <c r="B25" s="30" t="s">
        <v>5075</v>
      </c>
      <c r="C25" s="3" t="s">
        <v>6</v>
      </c>
      <c r="D25" s="64">
        <v>92500</v>
      </c>
      <c r="E25" s="1">
        <f t="shared" si="0"/>
        <v>99900</v>
      </c>
      <c r="F25" s="64">
        <v>185185</v>
      </c>
      <c r="G25" s="1">
        <f t="shared" si="1"/>
        <v>199999.80000000002</v>
      </c>
      <c r="I25" s="6">
        <f>VLOOKUP(B25,'GIÁ 1.4'!$D:$F,2,0)</f>
        <v>92500</v>
      </c>
      <c r="J25" s="21">
        <f t="shared" si="2"/>
        <v>0</v>
      </c>
      <c r="K25" s="6">
        <f>VLOOKUP(B25,'GIÁ 1.4'!$D:$F,3,0)</f>
        <v>185185</v>
      </c>
      <c r="L25" s="21">
        <f t="shared" si="3"/>
        <v>0</v>
      </c>
    </row>
    <row r="26" spans="1:12" ht="16.8" x14ac:dyDescent="0.3">
      <c r="A26" s="3">
        <v>20</v>
      </c>
      <c r="B26" s="30" t="s">
        <v>5371</v>
      </c>
      <c r="C26" s="3" t="s">
        <v>6</v>
      </c>
      <c r="D26" s="64">
        <v>108000</v>
      </c>
      <c r="E26" s="1">
        <f t="shared" si="0"/>
        <v>116640.00000000001</v>
      </c>
      <c r="F26" s="64">
        <v>215455</v>
      </c>
      <c r="G26" s="1">
        <f t="shared" si="1"/>
        <v>232691.40000000002</v>
      </c>
      <c r="I26" s="6">
        <f>VLOOKUP(B26,'GIÁ 1.4'!$D:$F,2,0)</f>
        <v>108000</v>
      </c>
      <c r="J26" s="21">
        <f t="shared" si="2"/>
        <v>0</v>
      </c>
      <c r="K26" s="6">
        <f>VLOOKUP(B26,'GIÁ 1.4'!$D:$F,3,0)</f>
        <v>215455</v>
      </c>
      <c r="L26" s="21">
        <f t="shared" si="3"/>
        <v>0</v>
      </c>
    </row>
    <row r="27" spans="1:12" ht="16.8" x14ac:dyDescent="0.3">
      <c r="A27" s="3">
        <v>21</v>
      </c>
      <c r="B27" s="30" t="s">
        <v>10534</v>
      </c>
      <c r="C27" s="3" t="s">
        <v>6</v>
      </c>
      <c r="D27" s="64">
        <v>112000</v>
      </c>
      <c r="E27" s="1">
        <f t="shared" si="0"/>
        <v>120960.00000000001</v>
      </c>
      <c r="F27" s="64">
        <v>223636</v>
      </c>
      <c r="G27" s="1">
        <f t="shared" si="1"/>
        <v>241526.88</v>
      </c>
      <c r="I27" s="6">
        <f>VLOOKUP(B27,'GIÁ 1.4'!$D:$F,2,0)</f>
        <v>112000</v>
      </c>
      <c r="J27" s="21">
        <f t="shared" si="2"/>
        <v>0</v>
      </c>
      <c r="K27" s="6">
        <f>VLOOKUP(B27,'GIÁ 1.4'!$D:$F,3,0)</f>
        <v>223636</v>
      </c>
      <c r="L27" s="21">
        <f t="shared" si="3"/>
        <v>0</v>
      </c>
    </row>
    <row r="28" spans="1:12" ht="16.8" x14ac:dyDescent="0.3">
      <c r="A28" s="3">
        <v>22</v>
      </c>
      <c r="B28" s="30" t="s">
        <v>5369</v>
      </c>
      <c r="C28" s="3" t="s">
        <v>6</v>
      </c>
      <c r="D28" s="64">
        <v>65000</v>
      </c>
      <c r="E28" s="1">
        <f t="shared" si="0"/>
        <v>70200</v>
      </c>
      <c r="F28" s="64">
        <v>129630</v>
      </c>
      <c r="G28" s="1">
        <f t="shared" si="1"/>
        <v>140000.40000000002</v>
      </c>
      <c r="I28" s="6">
        <f>VLOOKUP(B28,'GIÁ 1.4'!$D:$F,2,0)</f>
        <v>65000</v>
      </c>
      <c r="J28" s="21">
        <f t="shared" si="2"/>
        <v>0</v>
      </c>
      <c r="K28" s="6">
        <f>VLOOKUP(B28,'GIÁ 1.4'!$D:$F,3,0)</f>
        <v>129630</v>
      </c>
      <c r="L28" s="21">
        <f t="shared" si="3"/>
        <v>0</v>
      </c>
    </row>
    <row r="29" spans="1:12" ht="16.8" x14ac:dyDescent="0.3">
      <c r="A29" s="3">
        <v>23</v>
      </c>
      <c r="B29" s="30" t="s">
        <v>6109</v>
      </c>
      <c r="C29" s="3" t="s">
        <v>6</v>
      </c>
      <c r="D29" s="64">
        <v>70100</v>
      </c>
      <c r="E29" s="1">
        <f t="shared" si="0"/>
        <v>75708</v>
      </c>
      <c r="F29" s="64">
        <v>139815</v>
      </c>
      <c r="G29" s="1">
        <f t="shared" si="1"/>
        <v>151000.20000000001</v>
      </c>
      <c r="I29" s="6">
        <f>VLOOKUP(B29,'GIÁ 1.4'!$D:$F,2,0)</f>
        <v>70100</v>
      </c>
      <c r="J29" s="21">
        <f t="shared" si="2"/>
        <v>0</v>
      </c>
      <c r="K29" s="6">
        <f>VLOOKUP(B29,'GIÁ 1.4'!$D:$F,3,0)</f>
        <v>139815</v>
      </c>
      <c r="L29" s="21">
        <f t="shared" si="3"/>
        <v>0</v>
      </c>
    </row>
    <row r="30" spans="1:12" ht="16.8" x14ac:dyDescent="0.3">
      <c r="A30" s="3">
        <v>24</v>
      </c>
      <c r="B30" s="30" t="s">
        <v>6321</v>
      </c>
      <c r="C30" s="3" t="s">
        <v>6</v>
      </c>
      <c r="D30" s="64">
        <v>72700</v>
      </c>
      <c r="E30" s="1">
        <f t="shared" si="0"/>
        <v>78516</v>
      </c>
      <c r="F30" s="64">
        <v>145370</v>
      </c>
      <c r="G30" s="1">
        <f t="shared" si="1"/>
        <v>156999.6</v>
      </c>
      <c r="I30" s="6">
        <f>VLOOKUP(B30,'GIÁ 1.4'!$D:$F,2,0)</f>
        <v>72700</v>
      </c>
      <c r="J30" s="21">
        <f t="shared" si="2"/>
        <v>0</v>
      </c>
      <c r="K30" s="6">
        <f>VLOOKUP(B30,'GIÁ 1.4'!$D:$F,3,0)</f>
        <v>145370</v>
      </c>
      <c r="L30" s="21">
        <f t="shared" si="3"/>
        <v>0</v>
      </c>
    </row>
    <row r="31" spans="1:12" ht="16.8" x14ac:dyDescent="0.3">
      <c r="A31" s="3">
        <v>25</v>
      </c>
      <c r="B31" s="30" t="s">
        <v>6806</v>
      </c>
      <c r="C31" s="3" t="s">
        <v>6</v>
      </c>
      <c r="D31" s="64">
        <v>77500</v>
      </c>
      <c r="E31" s="1">
        <f t="shared" si="0"/>
        <v>83700</v>
      </c>
      <c r="F31" s="64">
        <v>154630</v>
      </c>
      <c r="G31" s="1">
        <f t="shared" si="1"/>
        <v>167000.40000000002</v>
      </c>
      <c r="I31" s="6">
        <f>VLOOKUP(B31,'GIÁ 1.4'!$D:$F,2,0)</f>
        <v>77500</v>
      </c>
      <c r="J31" s="21">
        <f t="shared" si="2"/>
        <v>0</v>
      </c>
      <c r="K31" s="6">
        <f>VLOOKUP(B31,'GIÁ 1.4'!$D:$F,3,0)</f>
        <v>154630</v>
      </c>
      <c r="L31" s="21">
        <f t="shared" si="3"/>
        <v>0</v>
      </c>
    </row>
    <row r="32" spans="1:12" ht="16.8" x14ac:dyDescent="0.3">
      <c r="A32" s="3">
        <v>26</v>
      </c>
      <c r="B32" s="30" t="s">
        <v>4864</v>
      </c>
      <c r="C32" s="3" t="s">
        <v>6</v>
      </c>
      <c r="D32" s="64">
        <v>83800</v>
      </c>
      <c r="E32" s="1">
        <f t="shared" si="0"/>
        <v>90504</v>
      </c>
      <c r="F32" s="64">
        <v>167593</v>
      </c>
      <c r="G32" s="1">
        <f t="shared" si="1"/>
        <v>181000.44</v>
      </c>
      <c r="I32" s="6">
        <f>VLOOKUP(B32,'GIÁ 1.4'!$D:$F,2,0)</f>
        <v>83800</v>
      </c>
      <c r="J32" s="21">
        <f t="shared" si="2"/>
        <v>0</v>
      </c>
      <c r="K32" s="6">
        <f>VLOOKUP(B32,'GIÁ 1.4'!$D:$F,3,0)</f>
        <v>167593</v>
      </c>
      <c r="L32" s="21">
        <f t="shared" si="3"/>
        <v>0</v>
      </c>
    </row>
    <row r="33" spans="1:12" ht="16.8" x14ac:dyDescent="0.3">
      <c r="A33" s="3">
        <v>27</v>
      </c>
      <c r="B33" s="30" t="s">
        <v>5915</v>
      </c>
      <c r="C33" s="3" t="s">
        <v>6</v>
      </c>
      <c r="D33" s="64">
        <v>88000</v>
      </c>
      <c r="E33" s="1">
        <f t="shared" si="0"/>
        <v>95040</v>
      </c>
      <c r="F33" s="64">
        <v>175926</v>
      </c>
      <c r="G33" s="1">
        <f t="shared" si="1"/>
        <v>190000.08000000002</v>
      </c>
      <c r="I33" s="6">
        <f>VLOOKUP(B33,'GIÁ 1.4'!$D:$F,2,0)</f>
        <v>88000</v>
      </c>
      <c r="J33" s="21">
        <f t="shared" si="2"/>
        <v>0</v>
      </c>
      <c r="K33" s="6">
        <f>VLOOKUP(B33,'GIÁ 1.4'!$D:$F,3,0)</f>
        <v>175926</v>
      </c>
      <c r="L33" s="21">
        <f t="shared" si="3"/>
        <v>0</v>
      </c>
    </row>
    <row r="34" spans="1:12" ht="16.8" x14ac:dyDescent="0.3">
      <c r="A34" s="3">
        <v>28</v>
      </c>
      <c r="B34" s="30" t="s">
        <v>4836</v>
      </c>
      <c r="C34" s="3" t="s">
        <v>6</v>
      </c>
      <c r="D34" s="64">
        <v>153000</v>
      </c>
      <c r="E34" s="1">
        <f t="shared" si="0"/>
        <v>165240</v>
      </c>
      <c r="F34" s="64">
        <v>305556</v>
      </c>
      <c r="G34" s="1">
        <f t="shared" si="1"/>
        <v>330000.48000000004</v>
      </c>
      <c r="I34" s="6">
        <f>VLOOKUP(B34,'GIÁ 1.4'!$D:$F,2,0)</f>
        <v>153000</v>
      </c>
      <c r="J34" s="21">
        <f t="shared" si="2"/>
        <v>0</v>
      </c>
      <c r="K34" s="6">
        <f>VLOOKUP(B34,'GIÁ 1.4'!$D:$F,3,0)</f>
        <v>305556</v>
      </c>
      <c r="L34" s="21">
        <f t="shared" si="3"/>
        <v>0</v>
      </c>
    </row>
    <row r="35" spans="1:12" ht="16.8" x14ac:dyDescent="0.3">
      <c r="A35" s="3">
        <v>29</v>
      </c>
      <c r="B35" s="30" t="s">
        <v>7936</v>
      </c>
      <c r="C35" s="3" t="s">
        <v>6</v>
      </c>
      <c r="D35" s="64">
        <v>178000</v>
      </c>
      <c r="E35" s="1">
        <f t="shared" si="0"/>
        <v>192240</v>
      </c>
      <c r="F35" s="64">
        <v>355556</v>
      </c>
      <c r="G35" s="1">
        <f t="shared" si="1"/>
        <v>384000.48000000004</v>
      </c>
      <c r="I35" s="6">
        <f>VLOOKUP(B35,'GIÁ 1.4'!$D:$F,2,0)</f>
        <v>178000</v>
      </c>
      <c r="J35" s="21">
        <f t="shared" si="2"/>
        <v>0</v>
      </c>
      <c r="K35" s="6">
        <f>VLOOKUP(B35,'GIÁ 1.4'!$D:$F,3,0)</f>
        <v>355556</v>
      </c>
      <c r="L35" s="21">
        <f t="shared" si="3"/>
        <v>0</v>
      </c>
    </row>
    <row r="36" spans="1:12" ht="16.8" x14ac:dyDescent="0.3">
      <c r="A36" s="3">
        <v>30</v>
      </c>
      <c r="B36" s="30" t="s">
        <v>5509</v>
      </c>
      <c r="C36" s="3" t="s">
        <v>6</v>
      </c>
      <c r="D36" s="64">
        <v>79500</v>
      </c>
      <c r="E36" s="1">
        <f t="shared" si="0"/>
        <v>85860</v>
      </c>
      <c r="F36" s="64">
        <v>159259</v>
      </c>
      <c r="G36" s="1">
        <f t="shared" si="1"/>
        <v>171999.72</v>
      </c>
      <c r="I36" s="6">
        <f>VLOOKUP(B36,'GIÁ 1.4'!$D:$F,2,0)</f>
        <v>79500</v>
      </c>
      <c r="J36" s="21">
        <f t="shared" si="2"/>
        <v>0</v>
      </c>
      <c r="K36" s="6">
        <f>VLOOKUP(B36,'GIÁ 1.4'!$D:$F,3,0)</f>
        <v>159259</v>
      </c>
      <c r="L36" s="21">
        <f t="shared" si="3"/>
        <v>0</v>
      </c>
    </row>
    <row r="37" spans="1:12" ht="16.8" x14ac:dyDescent="0.3">
      <c r="A37" s="3">
        <v>31</v>
      </c>
      <c r="B37" s="30" t="s">
        <v>6411</v>
      </c>
      <c r="C37" s="3" t="s">
        <v>6</v>
      </c>
      <c r="D37" s="64">
        <v>83200</v>
      </c>
      <c r="E37" s="1">
        <f t="shared" si="0"/>
        <v>89856</v>
      </c>
      <c r="F37" s="64">
        <v>166667</v>
      </c>
      <c r="G37" s="1">
        <f t="shared" si="1"/>
        <v>180000.36000000002</v>
      </c>
      <c r="I37" s="6">
        <f>VLOOKUP(B37,'GIÁ 1.4'!$D:$F,2,0)</f>
        <v>83200</v>
      </c>
      <c r="J37" s="21">
        <f t="shared" si="2"/>
        <v>0</v>
      </c>
      <c r="K37" s="6">
        <f>VLOOKUP(B37,'GIÁ 1.4'!$D:$F,3,0)</f>
        <v>166667</v>
      </c>
      <c r="L37" s="21">
        <f t="shared" si="3"/>
        <v>0</v>
      </c>
    </row>
    <row r="38" spans="1:12" ht="16.8" x14ac:dyDescent="0.3">
      <c r="A38" s="3">
        <v>32</v>
      </c>
      <c r="B38" s="30" t="s">
        <v>5323</v>
      </c>
      <c r="C38" s="3" t="s">
        <v>6</v>
      </c>
      <c r="D38" s="64">
        <v>94600</v>
      </c>
      <c r="E38" s="1">
        <f t="shared" si="0"/>
        <v>102168</v>
      </c>
      <c r="F38" s="64">
        <v>188889</v>
      </c>
      <c r="G38" s="1">
        <f t="shared" si="1"/>
        <v>204000.12000000002</v>
      </c>
      <c r="I38" s="6">
        <f>VLOOKUP(B38,'GIÁ 1.4'!$D:$F,2,0)</f>
        <v>94600</v>
      </c>
      <c r="J38" s="21">
        <f t="shared" si="2"/>
        <v>0</v>
      </c>
      <c r="K38" s="6">
        <f>VLOOKUP(B38,'GIÁ 1.4'!$D:$F,3,0)</f>
        <v>188889</v>
      </c>
      <c r="L38" s="21">
        <f t="shared" si="3"/>
        <v>0</v>
      </c>
    </row>
    <row r="39" spans="1:12" ht="16.8" x14ac:dyDescent="0.3">
      <c r="A39" s="3">
        <v>33</v>
      </c>
      <c r="B39" s="30" t="s">
        <v>5877</v>
      </c>
      <c r="C39" s="3" t="s">
        <v>6</v>
      </c>
      <c r="D39" s="64">
        <v>42300</v>
      </c>
      <c r="E39" s="1">
        <f t="shared" ref="E39:E70" si="4">D39*1.08</f>
        <v>45684</v>
      </c>
      <c r="F39" s="64">
        <v>84630</v>
      </c>
      <c r="G39" s="1">
        <f t="shared" ref="G39:G70" si="5">F39*1.08</f>
        <v>91400.400000000009</v>
      </c>
      <c r="I39" s="6">
        <f>VLOOKUP(B39,'GIÁ 1.4'!$D:$F,2,0)</f>
        <v>42300</v>
      </c>
      <c r="J39" s="21">
        <f t="shared" ref="J39:J70" si="6">D39-I39</f>
        <v>0</v>
      </c>
      <c r="K39" s="6">
        <f>VLOOKUP(B39,'GIÁ 1.4'!$D:$F,3,0)</f>
        <v>84630</v>
      </c>
      <c r="L39" s="21">
        <f t="shared" ref="L39:L70" si="7">F39-K39</f>
        <v>0</v>
      </c>
    </row>
    <row r="40" spans="1:12" ht="16.8" x14ac:dyDescent="0.3">
      <c r="A40" s="3">
        <v>34</v>
      </c>
      <c r="B40" s="30" t="s">
        <v>9606</v>
      </c>
      <c r="C40" s="3" t="s">
        <v>6</v>
      </c>
      <c r="D40" s="64">
        <v>42300</v>
      </c>
      <c r="E40" s="1">
        <f t="shared" si="4"/>
        <v>45684</v>
      </c>
      <c r="F40" s="64">
        <v>84630</v>
      </c>
      <c r="G40" s="1">
        <f t="shared" si="5"/>
        <v>91400.400000000009</v>
      </c>
      <c r="I40" s="6">
        <f>VLOOKUP(B40,'GIÁ 1.4'!$D:$F,2,0)</f>
        <v>42300</v>
      </c>
      <c r="J40" s="21">
        <f t="shared" si="6"/>
        <v>0</v>
      </c>
      <c r="K40" s="6">
        <f>VLOOKUP(B40,'GIÁ 1.4'!$D:$F,3,0)</f>
        <v>84630</v>
      </c>
      <c r="L40" s="21">
        <f t="shared" si="7"/>
        <v>0</v>
      </c>
    </row>
    <row r="41" spans="1:12" ht="16.8" x14ac:dyDescent="0.3">
      <c r="A41" s="3">
        <v>35</v>
      </c>
      <c r="B41" s="30" t="s">
        <v>5513</v>
      </c>
      <c r="C41" s="3" t="s">
        <v>6</v>
      </c>
      <c r="D41" s="64">
        <v>79500</v>
      </c>
      <c r="E41" s="1">
        <f t="shared" si="4"/>
        <v>85860</v>
      </c>
      <c r="F41" s="64">
        <v>159259</v>
      </c>
      <c r="G41" s="1">
        <f t="shared" si="5"/>
        <v>171999.72</v>
      </c>
      <c r="I41" s="6">
        <f>VLOOKUP(B41,'GIÁ 1.4'!$D:$F,2,0)</f>
        <v>79500</v>
      </c>
      <c r="J41" s="21">
        <f t="shared" si="6"/>
        <v>0</v>
      </c>
      <c r="K41" s="6">
        <f>VLOOKUP(B41,'GIÁ 1.4'!$D:$F,3,0)</f>
        <v>159259</v>
      </c>
      <c r="L41" s="21">
        <f t="shared" si="7"/>
        <v>0</v>
      </c>
    </row>
    <row r="42" spans="1:12" ht="16.8" x14ac:dyDescent="0.3">
      <c r="A42" s="3">
        <v>36</v>
      </c>
      <c r="B42" s="30" t="s">
        <v>5511</v>
      </c>
      <c r="C42" s="3" t="s">
        <v>6</v>
      </c>
      <c r="D42" s="64">
        <v>79500</v>
      </c>
      <c r="E42" s="1">
        <f t="shared" si="4"/>
        <v>85860</v>
      </c>
      <c r="F42" s="64">
        <v>159259</v>
      </c>
      <c r="G42" s="1">
        <f t="shared" si="5"/>
        <v>171999.72</v>
      </c>
      <c r="I42" s="6">
        <f>VLOOKUP(B42,'GIÁ 1.4'!$D:$F,2,0)</f>
        <v>79500</v>
      </c>
      <c r="J42" s="21">
        <f t="shared" si="6"/>
        <v>0</v>
      </c>
      <c r="K42" s="6">
        <f>VLOOKUP(B42,'GIÁ 1.4'!$D:$F,3,0)</f>
        <v>159259</v>
      </c>
      <c r="L42" s="21">
        <f t="shared" si="7"/>
        <v>0</v>
      </c>
    </row>
    <row r="43" spans="1:12" ht="16.8" x14ac:dyDescent="0.3">
      <c r="A43" s="3">
        <v>37</v>
      </c>
      <c r="B43" s="30" t="s">
        <v>6409</v>
      </c>
      <c r="C43" s="3" t="s">
        <v>6</v>
      </c>
      <c r="D43" s="64">
        <v>83200</v>
      </c>
      <c r="E43" s="1">
        <f t="shared" si="4"/>
        <v>89856</v>
      </c>
      <c r="F43" s="64">
        <v>166667</v>
      </c>
      <c r="G43" s="1">
        <f t="shared" si="5"/>
        <v>180000.36000000002</v>
      </c>
      <c r="I43" s="6">
        <f>VLOOKUP(B43,'GIÁ 1.4'!$D:$F,2,0)</f>
        <v>83200</v>
      </c>
      <c r="J43" s="21">
        <f t="shared" si="6"/>
        <v>0</v>
      </c>
      <c r="K43" s="6">
        <f>VLOOKUP(B43,'GIÁ 1.4'!$D:$F,3,0)</f>
        <v>166667</v>
      </c>
      <c r="L43" s="21">
        <f t="shared" si="7"/>
        <v>0</v>
      </c>
    </row>
    <row r="44" spans="1:12" ht="16.8" x14ac:dyDescent="0.3">
      <c r="A44" s="3">
        <v>38</v>
      </c>
      <c r="B44" s="30" t="s">
        <v>5569</v>
      </c>
      <c r="C44" s="3" t="s">
        <v>6</v>
      </c>
      <c r="D44" s="64">
        <v>83200</v>
      </c>
      <c r="E44" s="1">
        <f t="shared" si="4"/>
        <v>89856</v>
      </c>
      <c r="F44" s="64">
        <v>166667</v>
      </c>
      <c r="G44" s="1">
        <f t="shared" si="5"/>
        <v>180000.36000000002</v>
      </c>
      <c r="I44" s="6">
        <f>VLOOKUP(B44,'GIÁ 1.4'!$D:$F,2,0)</f>
        <v>83200</v>
      </c>
      <c r="J44" s="21">
        <f t="shared" si="6"/>
        <v>0</v>
      </c>
      <c r="K44" s="6">
        <f>VLOOKUP(B44,'GIÁ 1.4'!$D:$F,3,0)</f>
        <v>166667</v>
      </c>
      <c r="L44" s="21">
        <f t="shared" si="7"/>
        <v>0</v>
      </c>
    </row>
    <row r="45" spans="1:12" ht="16.8" x14ac:dyDescent="0.3">
      <c r="A45" s="3">
        <v>39</v>
      </c>
      <c r="B45" s="30" t="s">
        <v>5389</v>
      </c>
      <c r="C45" s="3" t="s">
        <v>6</v>
      </c>
      <c r="D45" s="64">
        <v>94600</v>
      </c>
      <c r="E45" s="1">
        <f t="shared" si="4"/>
        <v>102168</v>
      </c>
      <c r="F45" s="64">
        <v>188889</v>
      </c>
      <c r="G45" s="1">
        <f t="shared" si="5"/>
        <v>204000.12000000002</v>
      </c>
      <c r="I45" s="6">
        <f>VLOOKUP(B45,'GIÁ 1.4'!$D:$F,2,0)</f>
        <v>94600</v>
      </c>
      <c r="J45" s="21">
        <f t="shared" si="6"/>
        <v>0</v>
      </c>
      <c r="K45" s="6">
        <f>VLOOKUP(B45,'GIÁ 1.4'!$D:$F,3,0)</f>
        <v>188889</v>
      </c>
      <c r="L45" s="21">
        <f t="shared" si="7"/>
        <v>0</v>
      </c>
    </row>
    <row r="46" spans="1:12" ht="16.8" x14ac:dyDescent="0.3">
      <c r="A46" s="3">
        <v>40</v>
      </c>
      <c r="B46" s="30" t="s">
        <v>6085</v>
      </c>
      <c r="C46" s="3" t="s">
        <v>6</v>
      </c>
      <c r="D46" s="64">
        <v>94600</v>
      </c>
      <c r="E46" s="1">
        <f t="shared" si="4"/>
        <v>102168</v>
      </c>
      <c r="F46" s="64">
        <v>188889</v>
      </c>
      <c r="G46" s="1">
        <f t="shared" si="5"/>
        <v>204000.12000000002</v>
      </c>
      <c r="I46" s="6">
        <f>VLOOKUP(B46,'GIÁ 1.4'!$D:$F,2,0)</f>
        <v>94600</v>
      </c>
      <c r="J46" s="21">
        <f t="shared" si="6"/>
        <v>0</v>
      </c>
      <c r="K46" s="6">
        <f>VLOOKUP(B46,'GIÁ 1.4'!$D:$F,3,0)</f>
        <v>188889</v>
      </c>
      <c r="L46" s="21">
        <f t="shared" si="7"/>
        <v>0</v>
      </c>
    </row>
    <row r="47" spans="1:12" ht="16.8" x14ac:dyDescent="0.3">
      <c r="A47" s="3">
        <v>41</v>
      </c>
      <c r="B47" s="30" t="s">
        <v>7380</v>
      </c>
      <c r="C47" s="3" t="s">
        <v>6</v>
      </c>
      <c r="D47" s="64">
        <v>97200</v>
      </c>
      <c r="E47" s="1">
        <f t="shared" si="4"/>
        <v>104976</v>
      </c>
      <c r="F47" s="64">
        <v>194444</v>
      </c>
      <c r="G47" s="1">
        <f t="shared" si="5"/>
        <v>209999.52000000002</v>
      </c>
      <c r="I47" s="6">
        <f>VLOOKUP(B47,'GIÁ 1.4'!$D:$F,2,0)</f>
        <v>97200</v>
      </c>
      <c r="J47" s="21">
        <f t="shared" si="6"/>
        <v>0</v>
      </c>
      <c r="K47" s="6">
        <f>VLOOKUP(B47,'GIÁ 1.4'!$D:$F,3,0)</f>
        <v>194444</v>
      </c>
      <c r="L47" s="21">
        <f t="shared" si="7"/>
        <v>0</v>
      </c>
    </row>
    <row r="48" spans="1:12" ht="16.8" x14ac:dyDescent="0.3">
      <c r="A48" s="3">
        <v>42</v>
      </c>
      <c r="B48" s="30" t="s">
        <v>6574</v>
      </c>
      <c r="C48" s="3" t="s">
        <v>6</v>
      </c>
      <c r="D48" s="64">
        <v>97200</v>
      </c>
      <c r="E48" s="1">
        <f t="shared" si="4"/>
        <v>104976</v>
      </c>
      <c r="F48" s="64">
        <v>194444</v>
      </c>
      <c r="G48" s="1">
        <f t="shared" si="5"/>
        <v>209999.52000000002</v>
      </c>
      <c r="I48" s="6">
        <f>VLOOKUP(B48,'GIÁ 1.4'!$D:$F,2,0)</f>
        <v>97200</v>
      </c>
      <c r="J48" s="21">
        <f t="shared" si="6"/>
        <v>0</v>
      </c>
      <c r="K48" s="6">
        <f>VLOOKUP(B48,'GIÁ 1.4'!$D:$F,3,0)</f>
        <v>194444</v>
      </c>
      <c r="L48" s="21">
        <f t="shared" si="7"/>
        <v>0</v>
      </c>
    </row>
    <row r="49" spans="1:12" ht="16.8" x14ac:dyDescent="0.3">
      <c r="A49" s="3">
        <v>43</v>
      </c>
      <c r="B49" s="30" t="s">
        <v>5885</v>
      </c>
      <c r="C49" s="3" t="s">
        <v>6</v>
      </c>
      <c r="D49" s="64">
        <v>94800</v>
      </c>
      <c r="E49" s="1">
        <f t="shared" si="4"/>
        <v>102384</v>
      </c>
      <c r="F49" s="64">
        <v>189815</v>
      </c>
      <c r="G49" s="1">
        <f t="shared" si="5"/>
        <v>205000.2</v>
      </c>
      <c r="I49" s="6">
        <f>VLOOKUP(B49,'GIÁ 1.4'!$D:$F,2,0)</f>
        <v>94800</v>
      </c>
      <c r="J49" s="21">
        <f t="shared" si="6"/>
        <v>0</v>
      </c>
      <c r="K49" s="6">
        <f>VLOOKUP(B49,'GIÁ 1.4'!$D:$F,3,0)</f>
        <v>189815</v>
      </c>
      <c r="L49" s="21">
        <f t="shared" si="7"/>
        <v>0</v>
      </c>
    </row>
    <row r="50" spans="1:12" ht="16.8" x14ac:dyDescent="0.3">
      <c r="A50" s="3">
        <v>44</v>
      </c>
      <c r="B50" s="30" t="s">
        <v>5543</v>
      </c>
      <c r="C50" s="3" t="s">
        <v>6</v>
      </c>
      <c r="D50" s="64">
        <v>112000</v>
      </c>
      <c r="E50" s="1">
        <f t="shared" si="4"/>
        <v>120960.00000000001</v>
      </c>
      <c r="F50" s="64">
        <v>224074</v>
      </c>
      <c r="G50" s="1">
        <f t="shared" si="5"/>
        <v>241999.92</v>
      </c>
      <c r="I50" s="6">
        <f>VLOOKUP(B50,'GIÁ 1.4'!$D:$F,2,0)</f>
        <v>112000</v>
      </c>
      <c r="J50" s="21">
        <f t="shared" si="6"/>
        <v>0</v>
      </c>
      <c r="K50" s="6">
        <f>VLOOKUP(B50,'GIÁ 1.4'!$D:$F,3,0)</f>
        <v>224074</v>
      </c>
      <c r="L50" s="21">
        <f t="shared" si="7"/>
        <v>0</v>
      </c>
    </row>
    <row r="51" spans="1:12" ht="16.8" x14ac:dyDescent="0.3">
      <c r="A51" s="3">
        <v>45</v>
      </c>
      <c r="B51" s="30" t="s">
        <v>5081</v>
      </c>
      <c r="C51" s="3" t="s">
        <v>6</v>
      </c>
      <c r="D51" s="64">
        <v>141000</v>
      </c>
      <c r="E51" s="1">
        <f t="shared" si="4"/>
        <v>152280</v>
      </c>
      <c r="F51" s="64">
        <v>281481</v>
      </c>
      <c r="G51" s="1">
        <f t="shared" si="5"/>
        <v>303999.48000000004</v>
      </c>
      <c r="I51" s="6">
        <f>VLOOKUP(B51,'GIÁ 1.4'!$D:$F,2,0)</f>
        <v>141000</v>
      </c>
      <c r="J51" s="21">
        <f t="shared" si="6"/>
        <v>0</v>
      </c>
      <c r="K51" s="6">
        <f>VLOOKUP(B51,'GIÁ 1.4'!$D:$F,3,0)</f>
        <v>281481</v>
      </c>
      <c r="L51" s="21">
        <f t="shared" si="7"/>
        <v>0</v>
      </c>
    </row>
    <row r="52" spans="1:12" ht="16.8" x14ac:dyDescent="0.3">
      <c r="A52" s="3">
        <v>46</v>
      </c>
      <c r="B52" s="30" t="s">
        <v>12408</v>
      </c>
      <c r="C52" s="3" t="s">
        <v>6</v>
      </c>
      <c r="D52" s="64">
        <v>606000</v>
      </c>
      <c r="E52" s="1">
        <f t="shared" si="4"/>
        <v>654480</v>
      </c>
      <c r="F52" s="64">
        <v>1090000</v>
      </c>
      <c r="G52" s="1">
        <f t="shared" si="5"/>
        <v>1177200</v>
      </c>
      <c r="I52" s="6">
        <f>VLOOKUP(B52,'GIÁ 1.4'!$D:$F,2,0)</f>
        <v>606000</v>
      </c>
      <c r="J52" s="21">
        <f t="shared" si="6"/>
        <v>0</v>
      </c>
      <c r="K52" s="6">
        <f>VLOOKUP(B52,'GIÁ 1.4'!$D:$F,3,0)</f>
        <v>1090000</v>
      </c>
      <c r="L52" s="21">
        <f t="shared" si="7"/>
        <v>0</v>
      </c>
    </row>
    <row r="53" spans="1:12" ht="16.8" x14ac:dyDescent="0.3">
      <c r="A53" s="3">
        <v>47</v>
      </c>
      <c r="B53" s="30" t="s">
        <v>10865</v>
      </c>
      <c r="C53" s="3" t="s">
        <v>6</v>
      </c>
      <c r="D53" s="64">
        <v>606000</v>
      </c>
      <c r="E53" s="1">
        <f t="shared" si="4"/>
        <v>654480</v>
      </c>
      <c r="F53" s="64">
        <v>1043000</v>
      </c>
      <c r="G53" s="1">
        <f t="shared" si="5"/>
        <v>1126440</v>
      </c>
      <c r="I53" s="6">
        <f>VLOOKUP(B53,'GIÁ 1.4'!$D:$F,2,0)</f>
        <v>606000</v>
      </c>
      <c r="J53" s="21">
        <f t="shared" si="6"/>
        <v>0</v>
      </c>
      <c r="K53" s="6">
        <f>VLOOKUP(B53,'GIÁ 1.4'!$D:$F,3,0)</f>
        <v>1043000</v>
      </c>
      <c r="L53" s="21">
        <f t="shared" si="7"/>
        <v>0</v>
      </c>
    </row>
    <row r="54" spans="1:12" ht="16.8" x14ac:dyDescent="0.3">
      <c r="A54" s="3">
        <v>48</v>
      </c>
      <c r="B54" s="30" t="s">
        <v>9808</v>
      </c>
      <c r="C54" s="3" t="s">
        <v>6</v>
      </c>
      <c r="D54" s="64">
        <v>560000</v>
      </c>
      <c r="E54" s="1">
        <f t="shared" si="4"/>
        <v>604800</v>
      </c>
      <c r="F54" s="64">
        <v>1120000</v>
      </c>
      <c r="G54" s="1">
        <f t="shared" si="5"/>
        <v>1209600</v>
      </c>
      <c r="I54" s="6">
        <f>VLOOKUP(B54,'GIÁ 1.4'!$D:$F,2,0)</f>
        <v>560000</v>
      </c>
      <c r="J54" s="21">
        <f t="shared" si="6"/>
        <v>0</v>
      </c>
      <c r="K54" s="6">
        <f>VLOOKUP(B54,'GIÁ 1.4'!$D:$F,3,0)</f>
        <v>1120000</v>
      </c>
      <c r="L54" s="21">
        <f t="shared" si="7"/>
        <v>0</v>
      </c>
    </row>
    <row r="55" spans="1:12" ht="16.8" x14ac:dyDescent="0.3">
      <c r="A55" s="3">
        <v>49</v>
      </c>
      <c r="B55" s="30" t="s">
        <v>7930</v>
      </c>
      <c r="C55" s="3" t="s">
        <v>6</v>
      </c>
      <c r="D55" s="64">
        <v>167000</v>
      </c>
      <c r="E55" s="1">
        <f t="shared" si="4"/>
        <v>180360</v>
      </c>
      <c r="F55" s="64">
        <v>287000</v>
      </c>
      <c r="G55" s="1">
        <f t="shared" si="5"/>
        <v>309960</v>
      </c>
      <c r="I55" s="6">
        <f>VLOOKUP(B55,'GIÁ 1.4'!$D:$F,2,0)</f>
        <v>167000</v>
      </c>
      <c r="J55" s="21">
        <f t="shared" si="6"/>
        <v>0</v>
      </c>
      <c r="K55" s="6">
        <f>VLOOKUP(B55,'GIÁ 1.4'!$D:$F,3,0)</f>
        <v>287000</v>
      </c>
      <c r="L55" s="21">
        <f t="shared" si="7"/>
        <v>0</v>
      </c>
    </row>
    <row r="56" spans="1:12" ht="16.8" x14ac:dyDescent="0.3">
      <c r="A56" s="3">
        <v>50</v>
      </c>
      <c r="B56" s="30" t="s">
        <v>10042</v>
      </c>
      <c r="C56" s="3" t="s">
        <v>6</v>
      </c>
      <c r="D56" s="64">
        <v>117000</v>
      </c>
      <c r="E56" s="1">
        <f t="shared" si="4"/>
        <v>126360.00000000001</v>
      </c>
      <c r="F56" s="64">
        <v>234259</v>
      </c>
      <c r="G56" s="1">
        <f t="shared" si="5"/>
        <v>252999.72000000003</v>
      </c>
      <c r="I56" s="6">
        <f>VLOOKUP(B56,'GIÁ 1.4'!$D:$F,2,0)</f>
        <v>117000</v>
      </c>
      <c r="J56" s="21">
        <f t="shared" si="6"/>
        <v>0</v>
      </c>
      <c r="K56" s="6">
        <f>VLOOKUP(B56,'GIÁ 1.4'!$D:$F,3,0)</f>
        <v>234259</v>
      </c>
      <c r="L56" s="21">
        <f t="shared" si="7"/>
        <v>0</v>
      </c>
    </row>
    <row r="57" spans="1:12" ht="16.8" x14ac:dyDescent="0.3">
      <c r="A57" s="3">
        <v>51</v>
      </c>
      <c r="B57" s="30" t="s">
        <v>9160</v>
      </c>
      <c r="C57" s="3" t="s">
        <v>6</v>
      </c>
      <c r="D57" s="64">
        <v>131000</v>
      </c>
      <c r="E57" s="1">
        <f t="shared" si="4"/>
        <v>141480</v>
      </c>
      <c r="F57" s="64">
        <v>262037</v>
      </c>
      <c r="G57" s="1">
        <f t="shared" si="5"/>
        <v>282999.96000000002</v>
      </c>
      <c r="I57" s="6">
        <f>VLOOKUP(B57,'GIÁ 1.4'!$D:$F,2,0)</f>
        <v>131000</v>
      </c>
      <c r="J57" s="21">
        <f t="shared" si="6"/>
        <v>0</v>
      </c>
      <c r="K57" s="6">
        <f>VLOOKUP(B57,'GIÁ 1.4'!$D:$F,3,0)</f>
        <v>262037</v>
      </c>
      <c r="L57" s="21">
        <f t="shared" si="7"/>
        <v>0</v>
      </c>
    </row>
    <row r="58" spans="1:12" ht="16.8" x14ac:dyDescent="0.3">
      <c r="A58" s="3">
        <v>52</v>
      </c>
      <c r="B58" s="30" t="s">
        <v>8678</v>
      </c>
      <c r="C58" s="3" t="s">
        <v>6</v>
      </c>
      <c r="D58" s="64">
        <v>364000</v>
      </c>
      <c r="E58" s="1">
        <f t="shared" si="4"/>
        <v>393120</v>
      </c>
      <c r="F58" s="64">
        <v>727778</v>
      </c>
      <c r="G58" s="1">
        <f t="shared" si="5"/>
        <v>786000.24000000011</v>
      </c>
      <c r="I58" s="6">
        <f>VLOOKUP(B58,'GIÁ 1.4'!$D:$F,2,0)</f>
        <v>364000</v>
      </c>
      <c r="J58" s="21">
        <f t="shared" si="6"/>
        <v>0</v>
      </c>
      <c r="K58" s="6">
        <f>VLOOKUP(B58,'GIÁ 1.4'!$D:$F,3,0)</f>
        <v>727778</v>
      </c>
      <c r="L58" s="21">
        <f t="shared" si="7"/>
        <v>0</v>
      </c>
    </row>
    <row r="59" spans="1:12" ht="16.8" x14ac:dyDescent="0.3">
      <c r="A59" s="3">
        <v>53</v>
      </c>
      <c r="B59" s="30" t="s">
        <v>12434</v>
      </c>
      <c r="C59" s="3" t="s">
        <v>6</v>
      </c>
      <c r="D59" s="64">
        <v>79500</v>
      </c>
      <c r="E59" s="1">
        <f t="shared" si="4"/>
        <v>85860</v>
      </c>
      <c r="F59" s="64">
        <v>159259</v>
      </c>
      <c r="G59" s="1">
        <f t="shared" si="5"/>
        <v>171999.72</v>
      </c>
      <c r="I59" s="6">
        <f>VLOOKUP(B59,'GIÁ 1.4'!$D:$F,2,0)</f>
        <v>79500</v>
      </c>
      <c r="J59" s="21">
        <f t="shared" si="6"/>
        <v>0</v>
      </c>
      <c r="K59" s="6">
        <f>VLOOKUP(B59,'GIÁ 1.4'!$D:$F,3,0)</f>
        <v>159259</v>
      </c>
      <c r="L59" s="21">
        <f t="shared" si="7"/>
        <v>0</v>
      </c>
    </row>
    <row r="60" spans="1:12" ht="16.8" x14ac:dyDescent="0.3">
      <c r="A60" s="3">
        <v>54</v>
      </c>
      <c r="B60" s="30" t="s">
        <v>5917</v>
      </c>
      <c r="C60" s="3" t="s">
        <v>6</v>
      </c>
      <c r="D60" s="64">
        <v>79500</v>
      </c>
      <c r="E60" s="1">
        <f t="shared" si="4"/>
        <v>85860</v>
      </c>
      <c r="F60" s="64">
        <v>159259</v>
      </c>
      <c r="G60" s="1">
        <f t="shared" si="5"/>
        <v>171999.72</v>
      </c>
      <c r="I60" s="6">
        <f>VLOOKUP(B60,'GIÁ 1.4'!$D:$F,2,0)</f>
        <v>79500</v>
      </c>
      <c r="J60" s="21">
        <f t="shared" si="6"/>
        <v>0</v>
      </c>
      <c r="K60" s="6">
        <f>VLOOKUP(B60,'GIÁ 1.4'!$D:$F,3,0)</f>
        <v>159259</v>
      </c>
      <c r="L60" s="21">
        <f t="shared" si="7"/>
        <v>0</v>
      </c>
    </row>
    <row r="61" spans="1:12" ht="16.8" x14ac:dyDescent="0.3">
      <c r="A61" s="3">
        <v>55</v>
      </c>
      <c r="B61" s="30" t="s">
        <v>6221</v>
      </c>
      <c r="C61" s="3" t="s">
        <v>6</v>
      </c>
      <c r="D61" s="64">
        <v>83200</v>
      </c>
      <c r="E61" s="1">
        <f t="shared" si="4"/>
        <v>89856</v>
      </c>
      <c r="F61" s="64">
        <v>166667</v>
      </c>
      <c r="G61" s="1">
        <f t="shared" si="5"/>
        <v>180000.36000000002</v>
      </c>
      <c r="I61" s="6">
        <f>VLOOKUP(B61,'GIÁ 1.4'!$D:$F,2,0)</f>
        <v>83200</v>
      </c>
      <c r="J61" s="21">
        <f t="shared" si="6"/>
        <v>0</v>
      </c>
      <c r="K61" s="6">
        <f>VLOOKUP(B61,'GIÁ 1.4'!$D:$F,3,0)</f>
        <v>166667</v>
      </c>
      <c r="L61" s="21">
        <f t="shared" si="7"/>
        <v>0</v>
      </c>
    </row>
    <row r="62" spans="1:12" ht="16.8" x14ac:dyDescent="0.3">
      <c r="A62" s="3">
        <v>56</v>
      </c>
      <c r="B62" s="30" t="s">
        <v>9612</v>
      </c>
      <c r="C62" s="3" t="s">
        <v>6</v>
      </c>
      <c r="D62" s="64">
        <v>83200</v>
      </c>
      <c r="E62" s="1">
        <f t="shared" si="4"/>
        <v>89856</v>
      </c>
      <c r="F62" s="64">
        <v>166667</v>
      </c>
      <c r="G62" s="1">
        <f t="shared" si="5"/>
        <v>180000.36000000002</v>
      </c>
      <c r="I62" s="6">
        <f>VLOOKUP(B62,'GIÁ 1.4'!$D:$F,2,0)</f>
        <v>83200</v>
      </c>
      <c r="J62" s="21">
        <f t="shared" si="6"/>
        <v>0</v>
      </c>
      <c r="K62" s="6">
        <f>VLOOKUP(B62,'GIÁ 1.4'!$D:$F,3,0)</f>
        <v>166667</v>
      </c>
      <c r="L62" s="21">
        <f t="shared" si="7"/>
        <v>0</v>
      </c>
    </row>
    <row r="63" spans="1:12" ht="16.8" x14ac:dyDescent="0.3">
      <c r="A63" s="3">
        <v>57</v>
      </c>
      <c r="B63" s="30" t="s">
        <v>9614</v>
      </c>
      <c r="C63" s="3" t="s">
        <v>6</v>
      </c>
      <c r="D63" s="64">
        <v>94600</v>
      </c>
      <c r="E63" s="1">
        <f t="shared" si="4"/>
        <v>102168</v>
      </c>
      <c r="F63" s="64">
        <v>188889</v>
      </c>
      <c r="G63" s="1">
        <f t="shared" si="5"/>
        <v>204000.12000000002</v>
      </c>
      <c r="I63" s="6">
        <f>VLOOKUP(B63,'GIÁ 1.4'!$D:$F,2,0)</f>
        <v>94600</v>
      </c>
      <c r="J63" s="21">
        <f t="shared" si="6"/>
        <v>0</v>
      </c>
      <c r="K63" s="6">
        <f>VLOOKUP(B63,'GIÁ 1.4'!$D:$F,3,0)</f>
        <v>188889</v>
      </c>
      <c r="L63" s="21">
        <f t="shared" si="7"/>
        <v>0</v>
      </c>
    </row>
    <row r="64" spans="1:12" ht="16.8" x14ac:dyDescent="0.3">
      <c r="A64" s="3">
        <v>58</v>
      </c>
      <c r="B64" s="30" t="s">
        <v>6331</v>
      </c>
      <c r="C64" s="3" t="s">
        <v>6</v>
      </c>
      <c r="D64" s="64">
        <v>94600</v>
      </c>
      <c r="E64" s="1">
        <f t="shared" si="4"/>
        <v>102168</v>
      </c>
      <c r="F64" s="64">
        <v>188889</v>
      </c>
      <c r="G64" s="1">
        <f t="shared" si="5"/>
        <v>204000.12000000002</v>
      </c>
      <c r="I64" s="6">
        <f>VLOOKUP(B64,'GIÁ 1.4'!$D:$F,2,0)</f>
        <v>94600</v>
      </c>
      <c r="J64" s="21">
        <f t="shared" si="6"/>
        <v>0</v>
      </c>
      <c r="K64" s="6">
        <f>VLOOKUP(B64,'GIÁ 1.4'!$D:$F,3,0)</f>
        <v>188889</v>
      </c>
      <c r="L64" s="21">
        <f t="shared" si="7"/>
        <v>0</v>
      </c>
    </row>
    <row r="65" spans="1:12" ht="16.8" x14ac:dyDescent="0.3">
      <c r="A65" s="3">
        <v>59</v>
      </c>
      <c r="B65" s="30" t="s">
        <v>5639</v>
      </c>
      <c r="C65" s="3" t="s">
        <v>6</v>
      </c>
      <c r="D65" s="64">
        <v>97200</v>
      </c>
      <c r="E65" s="1">
        <f t="shared" si="4"/>
        <v>104976</v>
      </c>
      <c r="F65" s="64">
        <v>194444</v>
      </c>
      <c r="G65" s="1">
        <f t="shared" si="5"/>
        <v>209999.52000000002</v>
      </c>
      <c r="I65" s="6">
        <f>VLOOKUP(B65,'GIÁ 1.4'!$D:$F,2,0)</f>
        <v>97200</v>
      </c>
      <c r="J65" s="21">
        <f t="shared" si="6"/>
        <v>0</v>
      </c>
      <c r="K65" s="6">
        <f>VLOOKUP(B65,'GIÁ 1.4'!$D:$F,3,0)</f>
        <v>194444</v>
      </c>
      <c r="L65" s="21">
        <f t="shared" si="7"/>
        <v>0</v>
      </c>
    </row>
    <row r="66" spans="1:12" ht="16.8" x14ac:dyDescent="0.3">
      <c r="A66" s="3">
        <v>60</v>
      </c>
      <c r="B66" s="30" t="s">
        <v>12577</v>
      </c>
      <c r="C66" s="3" t="s">
        <v>6</v>
      </c>
      <c r="D66" s="64">
        <v>97200</v>
      </c>
      <c r="E66" s="1">
        <f t="shared" si="4"/>
        <v>104976</v>
      </c>
      <c r="F66" s="64">
        <v>194444</v>
      </c>
      <c r="G66" s="1">
        <f t="shared" si="5"/>
        <v>209999.52000000002</v>
      </c>
      <c r="I66" s="6">
        <f>VLOOKUP(B66,'GIÁ 1.4'!$D:$F,2,0)</f>
        <v>97200</v>
      </c>
      <c r="J66" s="21">
        <f t="shared" si="6"/>
        <v>0</v>
      </c>
      <c r="K66" s="6">
        <f>VLOOKUP(B66,'GIÁ 1.4'!$D:$F,3,0)</f>
        <v>194444</v>
      </c>
      <c r="L66" s="21">
        <f t="shared" si="7"/>
        <v>0</v>
      </c>
    </row>
    <row r="67" spans="1:12" ht="16.8" x14ac:dyDescent="0.3">
      <c r="A67" s="3">
        <v>61</v>
      </c>
      <c r="B67" s="30" t="s">
        <v>5373</v>
      </c>
      <c r="C67" s="3" t="s">
        <v>6</v>
      </c>
      <c r="D67" s="64">
        <v>60000</v>
      </c>
      <c r="E67" s="1">
        <f t="shared" si="4"/>
        <v>64800.000000000007</v>
      </c>
      <c r="F67" s="64">
        <v>120000</v>
      </c>
      <c r="G67" s="1">
        <f t="shared" si="5"/>
        <v>129600.00000000001</v>
      </c>
      <c r="I67" s="6">
        <f>VLOOKUP(B67,'GIÁ 1.4'!$D:$F,2,0)</f>
        <v>60000</v>
      </c>
      <c r="J67" s="21">
        <f t="shared" si="6"/>
        <v>0</v>
      </c>
      <c r="K67" s="6">
        <f>VLOOKUP(B67,'GIÁ 1.4'!$D:$F,3,0)</f>
        <v>120000</v>
      </c>
      <c r="L67" s="21">
        <f t="shared" si="7"/>
        <v>0</v>
      </c>
    </row>
    <row r="68" spans="1:12" ht="16.8" x14ac:dyDescent="0.3">
      <c r="A68" s="3">
        <v>62</v>
      </c>
      <c r="B68" s="30" t="s">
        <v>5643</v>
      </c>
      <c r="C68" s="3" t="s">
        <v>6</v>
      </c>
      <c r="D68" s="64">
        <v>234000</v>
      </c>
      <c r="E68" s="1">
        <f t="shared" si="4"/>
        <v>252720.00000000003</v>
      </c>
      <c r="F68" s="64">
        <v>467593</v>
      </c>
      <c r="G68" s="1">
        <f t="shared" si="5"/>
        <v>505000.44000000006</v>
      </c>
      <c r="I68" s="6">
        <f>VLOOKUP(B68,'GIÁ 1.4'!$D:$F,2,0)</f>
        <v>234000</v>
      </c>
      <c r="J68" s="21">
        <f t="shared" si="6"/>
        <v>0</v>
      </c>
      <c r="K68" s="6">
        <f>VLOOKUP(B68,'GIÁ 1.4'!$D:$F,3,0)</f>
        <v>467593</v>
      </c>
      <c r="L68" s="21">
        <f t="shared" si="7"/>
        <v>0</v>
      </c>
    </row>
    <row r="69" spans="1:12" ht="16.8" x14ac:dyDescent="0.3">
      <c r="A69" s="3">
        <v>63</v>
      </c>
      <c r="B69" s="30" t="s">
        <v>5555</v>
      </c>
      <c r="C69" s="3" t="s">
        <v>6</v>
      </c>
      <c r="D69" s="64">
        <v>220000</v>
      </c>
      <c r="E69" s="1">
        <f t="shared" si="4"/>
        <v>237600.00000000003</v>
      </c>
      <c r="F69" s="64">
        <v>439815</v>
      </c>
      <c r="G69" s="1">
        <f t="shared" si="5"/>
        <v>475000.2</v>
      </c>
      <c r="I69" s="6">
        <f>VLOOKUP(B69,'GIÁ 1.4'!$D:$F,2,0)</f>
        <v>220000</v>
      </c>
      <c r="J69" s="21">
        <f t="shared" si="6"/>
        <v>0</v>
      </c>
      <c r="K69" s="6">
        <f>VLOOKUP(B69,'GIÁ 1.4'!$D:$F,3,0)</f>
        <v>439815</v>
      </c>
      <c r="L69" s="21">
        <f t="shared" si="7"/>
        <v>0</v>
      </c>
    </row>
    <row r="70" spans="1:12" ht="16.8" x14ac:dyDescent="0.3">
      <c r="A70" s="3">
        <v>64</v>
      </c>
      <c r="B70" s="30" t="s">
        <v>5919</v>
      </c>
      <c r="C70" s="3" t="s">
        <v>6</v>
      </c>
      <c r="D70" s="64">
        <v>210000</v>
      </c>
      <c r="E70" s="1">
        <f t="shared" si="4"/>
        <v>226800.00000000003</v>
      </c>
      <c r="F70" s="64">
        <v>420370</v>
      </c>
      <c r="G70" s="1">
        <f t="shared" si="5"/>
        <v>453999.60000000003</v>
      </c>
      <c r="I70" s="6">
        <f>VLOOKUP(B70,'GIÁ 1.4'!$D:$F,2,0)</f>
        <v>210000</v>
      </c>
      <c r="J70" s="21">
        <f t="shared" si="6"/>
        <v>0</v>
      </c>
      <c r="K70" s="6">
        <f>VLOOKUP(B70,'GIÁ 1.4'!$D:$F,3,0)</f>
        <v>420370</v>
      </c>
      <c r="L70" s="21">
        <f t="shared" si="7"/>
        <v>0</v>
      </c>
    </row>
    <row r="71" spans="1:12" ht="16.8" x14ac:dyDescent="0.3">
      <c r="A71" s="3">
        <v>65</v>
      </c>
      <c r="B71" s="30" t="s">
        <v>9634</v>
      </c>
      <c r="C71" s="3" t="s">
        <v>6</v>
      </c>
      <c r="D71" s="64">
        <v>165000</v>
      </c>
      <c r="E71" s="1">
        <f t="shared" ref="E71:E102" si="8">D71*1.08</f>
        <v>178200</v>
      </c>
      <c r="F71" s="64">
        <v>329630</v>
      </c>
      <c r="G71" s="1">
        <f t="shared" ref="G71:G94" si="9">F71*1.08</f>
        <v>356000.4</v>
      </c>
      <c r="I71" s="6">
        <f>VLOOKUP(B71,'GIÁ 1.4'!$D:$F,2,0)</f>
        <v>165000</v>
      </c>
      <c r="J71" s="21">
        <f t="shared" ref="J71:J102" si="10">D71-I71</f>
        <v>0</v>
      </c>
      <c r="K71" s="6">
        <f>VLOOKUP(B71,'GIÁ 1.4'!$D:$F,3,0)</f>
        <v>329630</v>
      </c>
      <c r="L71" s="21">
        <f t="shared" ref="L71:L102" si="11">F71-K71</f>
        <v>0</v>
      </c>
    </row>
    <row r="72" spans="1:12" ht="16.8" x14ac:dyDescent="0.3">
      <c r="A72" s="3">
        <v>66</v>
      </c>
      <c r="B72" s="31" t="s">
        <v>6345</v>
      </c>
      <c r="C72" s="4" t="s">
        <v>6</v>
      </c>
      <c r="D72" s="65">
        <v>79500</v>
      </c>
      <c r="E72" s="1">
        <f t="shared" si="8"/>
        <v>85860</v>
      </c>
      <c r="F72" s="65">
        <v>159259</v>
      </c>
      <c r="G72" s="1">
        <f t="shared" si="9"/>
        <v>171999.72</v>
      </c>
      <c r="I72" s="6">
        <f>VLOOKUP(B72,'GIÁ 1.4'!$D:$F,2,0)</f>
        <v>79500</v>
      </c>
      <c r="J72" s="21">
        <f t="shared" si="10"/>
        <v>0</v>
      </c>
      <c r="K72" s="6">
        <f>VLOOKUP(B72,'GIÁ 1.4'!$D:$F,3,0)</f>
        <v>159259</v>
      </c>
      <c r="L72" s="21">
        <f t="shared" si="11"/>
        <v>0</v>
      </c>
    </row>
    <row r="73" spans="1:12" ht="16.8" x14ac:dyDescent="0.3">
      <c r="A73" s="3">
        <v>67</v>
      </c>
      <c r="B73" s="31" t="s">
        <v>6704</v>
      </c>
      <c r="C73" s="4" t="s">
        <v>6</v>
      </c>
      <c r="D73" s="65">
        <v>79500</v>
      </c>
      <c r="E73" s="1">
        <f t="shared" si="8"/>
        <v>85860</v>
      </c>
      <c r="F73" s="65">
        <v>159259</v>
      </c>
      <c r="G73" s="1">
        <f t="shared" si="9"/>
        <v>171999.72</v>
      </c>
      <c r="I73" s="6">
        <f>VLOOKUP(B73,'GIÁ 1.4'!$D:$F,2,0)</f>
        <v>79500</v>
      </c>
      <c r="J73" s="21">
        <f t="shared" si="10"/>
        <v>0</v>
      </c>
      <c r="K73" s="6">
        <f>VLOOKUP(B73,'GIÁ 1.4'!$D:$F,3,0)</f>
        <v>159259</v>
      </c>
      <c r="L73" s="21">
        <f t="shared" si="11"/>
        <v>0</v>
      </c>
    </row>
    <row r="74" spans="1:12" ht="16.8" x14ac:dyDescent="0.3">
      <c r="A74" s="3">
        <v>68</v>
      </c>
      <c r="B74" s="31" t="s">
        <v>8448</v>
      </c>
      <c r="C74" s="4" t="s">
        <v>6</v>
      </c>
      <c r="D74" s="65">
        <v>94600</v>
      </c>
      <c r="E74" s="1">
        <f t="shared" si="8"/>
        <v>102168</v>
      </c>
      <c r="F74" s="65">
        <v>188889</v>
      </c>
      <c r="G74" s="1">
        <f t="shared" si="9"/>
        <v>204000.12000000002</v>
      </c>
      <c r="I74" s="6">
        <f>VLOOKUP(B74,'GIÁ 1.4'!$D:$F,2,0)</f>
        <v>94600</v>
      </c>
      <c r="J74" s="21">
        <f t="shared" si="10"/>
        <v>0</v>
      </c>
      <c r="K74" s="6">
        <f>VLOOKUP(B74,'GIÁ 1.4'!$D:$F,3,0)</f>
        <v>188889</v>
      </c>
      <c r="L74" s="21">
        <f t="shared" si="11"/>
        <v>0</v>
      </c>
    </row>
    <row r="75" spans="1:12" ht="16.8" x14ac:dyDescent="0.3">
      <c r="A75" s="3">
        <v>69</v>
      </c>
      <c r="B75" s="31" t="s">
        <v>5131</v>
      </c>
      <c r="C75" s="4" t="s">
        <v>6</v>
      </c>
      <c r="D75" s="65">
        <v>94600</v>
      </c>
      <c r="E75" s="1">
        <f t="shared" si="8"/>
        <v>102168</v>
      </c>
      <c r="F75" s="65">
        <v>188889</v>
      </c>
      <c r="G75" s="1">
        <f t="shared" si="9"/>
        <v>204000.12000000002</v>
      </c>
      <c r="I75" s="6">
        <f>VLOOKUP(B75,'GIÁ 1.4'!$D:$F,2,0)</f>
        <v>94600</v>
      </c>
      <c r="J75" s="21">
        <f t="shared" si="10"/>
        <v>0</v>
      </c>
      <c r="K75" s="6">
        <f>VLOOKUP(B75,'GIÁ 1.4'!$D:$F,3,0)</f>
        <v>188889</v>
      </c>
      <c r="L75" s="21">
        <f t="shared" si="11"/>
        <v>0</v>
      </c>
    </row>
    <row r="76" spans="1:12" ht="16.8" x14ac:dyDescent="0.3">
      <c r="A76" s="3">
        <v>70</v>
      </c>
      <c r="B76" s="31" t="s">
        <v>12595</v>
      </c>
      <c r="C76" s="4" t="s">
        <v>6</v>
      </c>
      <c r="D76" s="65">
        <v>97200</v>
      </c>
      <c r="E76" s="1">
        <f t="shared" si="8"/>
        <v>104976</v>
      </c>
      <c r="F76" s="65">
        <v>194444</v>
      </c>
      <c r="G76" s="1">
        <f t="shared" si="9"/>
        <v>209999.52000000002</v>
      </c>
      <c r="I76" s="6">
        <f>VLOOKUP(B76,'GIÁ 1.4'!$D:$F,2,0)</f>
        <v>97200</v>
      </c>
      <c r="J76" s="21">
        <f t="shared" si="10"/>
        <v>0</v>
      </c>
      <c r="K76" s="6">
        <f>VLOOKUP(B76,'GIÁ 1.4'!$D:$F,3,0)</f>
        <v>194444</v>
      </c>
      <c r="L76" s="21">
        <f t="shared" si="11"/>
        <v>0</v>
      </c>
    </row>
    <row r="77" spans="1:12" ht="16.8" x14ac:dyDescent="0.3">
      <c r="A77" s="3">
        <v>71</v>
      </c>
      <c r="B77" s="31" t="s">
        <v>6920</v>
      </c>
      <c r="C77" s="4" t="s">
        <v>6</v>
      </c>
      <c r="D77" s="65">
        <v>83200</v>
      </c>
      <c r="E77" s="1">
        <f t="shared" si="8"/>
        <v>89856</v>
      </c>
      <c r="F77" s="65">
        <v>166667</v>
      </c>
      <c r="G77" s="1">
        <f t="shared" si="9"/>
        <v>180000.36000000002</v>
      </c>
      <c r="I77" s="6">
        <f>VLOOKUP(B77,'GIÁ 1.4'!$D:$F,2,0)</f>
        <v>83200</v>
      </c>
      <c r="J77" s="21">
        <f t="shared" si="10"/>
        <v>0</v>
      </c>
      <c r="K77" s="6">
        <f>VLOOKUP(B77,'GIÁ 1.4'!$D:$F,3,0)</f>
        <v>166667</v>
      </c>
      <c r="L77" s="21">
        <f t="shared" si="11"/>
        <v>0</v>
      </c>
    </row>
    <row r="78" spans="1:12" ht="16.8" x14ac:dyDescent="0.3">
      <c r="A78" s="3">
        <v>72</v>
      </c>
      <c r="B78" s="31" t="s">
        <v>6702</v>
      </c>
      <c r="C78" s="4" t="s">
        <v>6</v>
      </c>
      <c r="D78" s="65">
        <v>88000</v>
      </c>
      <c r="E78" s="1">
        <f t="shared" si="8"/>
        <v>95040</v>
      </c>
      <c r="F78" s="65">
        <v>175926</v>
      </c>
      <c r="G78" s="1">
        <f t="shared" si="9"/>
        <v>190000.08000000002</v>
      </c>
      <c r="I78" s="6">
        <f>VLOOKUP(B78,'GIÁ 1.4'!$D:$F,2,0)</f>
        <v>88000</v>
      </c>
      <c r="J78" s="21">
        <f t="shared" si="10"/>
        <v>0</v>
      </c>
      <c r="K78" s="6">
        <f>VLOOKUP(B78,'GIÁ 1.4'!$D:$F,3,0)</f>
        <v>175926</v>
      </c>
      <c r="L78" s="21">
        <f t="shared" si="11"/>
        <v>0</v>
      </c>
    </row>
    <row r="79" spans="1:12" ht="16.8" x14ac:dyDescent="0.3">
      <c r="A79" s="3">
        <v>73</v>
      </c>
      <c r="B79" s="31" t="s">
        <v>7738</v>
      </c>
      <c r="C79" s="4" t="s">
        <v>6</v>
      </c>
      <c r="D79" s="65">
        <v>136000</v>
      </c>
      <c r="E79" s="1">
        <f t="shared" si="8"/>
        <v>146880</v>
      </c>
      <c r="F79" s="65">
        <v>272222</v>
      </c>
      <c r="G79" s="1">
        <f t="shared" si="9"/>
        <v>293999.76</v>
      </c>
      <c r="I79" s="6">
        <f>VLOOKUP(B79,'GIÁ 1.4'!$D:$F,2,0)</f>
        <v>136000</v>
      </c>
      <c r="J79" s="21">
        <f t="shared" si="10"/>
        <v>0</v>
      </c>
      <c r="K79" s="6">
        <f>VLOOKUP(B79,'GIÁ 1.4'!$D:$F,3,0)</f>
        <v>272222</v>
      </c>
      <c r="L79" s="21">
        <f t="shared" si="11"/>
        <v>0</v>
      </c>
    </row>
    <row r="80" spans="1:12" ht="16.8" x14ac:dyDescent="0.3">
      <c r="A80" s="3">
        <v>74</v>
      </c>
      <c r="B80" s="31" t="s">
        <v>5697</v>
      </c>
      <c r="C80" s="4" t="s">
        <v>6</v>
      </c>
      <c r="D80" s="65">
        <v>168000</v>
      </c>
      <c r="E80" s="1">
        <f t="shared" si="8"/>
        <v>181440</v>
      </c>
      <c r="F80" s="65">
        <v>336111</v>
      </c>
      <c r="G80" s="1">
        <f t="shared" si="9"/>
        <v>362999.88</v>
      </c>
      <c r="I80" s="6">
        <f>VLOOKUP(B80,'GIÁ 1.4'!$D:$F,2,0)</f>
        <v>168000</v>
      </c>
      <c r="J80" s="21">
        <f t="shared" si="10"/>
        <v>0</v>
      </c>
      <c r="K80" s="6">
        <f>VLOOKUP(B80,'GIÁ 1.4'!$D:$F,3,0)</f>
        <v>336111</v>
      </c>
      <c r="L80" s="21">
        <f t="shared" si="11"/>
        <v>0</v>
      </c>
    </row>
    <row r="81" spans="1:12" ht="16.8" x14ac:dyDescent="0.3">
      <c r="A81" s="3">
        <v>75</v>
      </c>
      <c r="B81" s="31" t="s">
        <v>10763</v>
      </c>
      <c r="C81" s="4" t="s">
        <v>6</v>
      </c>
      <c r="D81" s="65">
        <v>79500</v>
      </c>
      <c r="E81" s="1">
        <f t="shared" si="8"/>
        <v>85860</v>
      </c>
      <c r="F81" s="65">
        <v>159259</v>
      </c>
      <c r="G81" s="1">
        <f t="shared" si="9"/>
        <v>171999.72</v>
      </c>
      <c r="I81" s="6">
        <f>VLOOKUP(B81,'GIÁ 1.4'!$D:$F,2,0)</f>
        <v>79500</v>
      </c>
      <c r="J81" s="21">
        <f t="shared" si="10"/>
        <v>0</v>
      </c>
      <c r="K81" s="6">
        <f>VLOOKUP(B81,'GIÁ 1.4'!$D:$F,3,0)</f>
        <v>159259</v>
      </c>
      <c r="L81" s="21">
        <f t="shared" si="11"/>
        <v>0</v>
      </c>
    </row>
    <row r="82" spans="1:12" ht="16.8" x14ac:dyDescent="0.3">
      <c r="A82" s="3">
        <v>76</v>
      </c>
      <c r="B82" s="31" t="s">
        <v>5593</v>
      </c>
      <c r="C82" s="4" t="s">
        <v>6</v>
      </c>
      <c r="D82" s="65">
        <v>94600</v>
      </c>
      <c r="E82" s="1">
        <f t="shared" si="8"/>
        <v>102168</v>
      </c>
      <c r="F82" s="65">
        <v>188889</v>
      </c>
      <c r="G82" s="1">
        <f t="shared" si="9"/>
        <v>204000.12000000002</v>
      </c>
      <c r="I82" s="6">
        <f>VLOOKUP(B82,'GIÁ 1.4'!$D:$F,2,0)</f>
        <v>94600</v>
      </c>
      <c r="J82" s="21">
        <f t="shared" si="10"/>
        <v>0</v>
      </c>
      <c r="K82" s="6">
        <f>VLOOKUP(B82,'GIÁ 1.4'!$D:$F,3,0)</f>
        <v>188889</v>
      </c>
      <c r="L82" s="21">
        <f t="shared" si="11"/>
        <v>0</v>
      </c>
    </row>
    <row r="83" spans="1:12" ht="16.8" x14ac:dyDescent="0.3">
      <c r="A83" s="3">
        <v>77</v>
      </c>
      <c r="B83" s="31" t="s">
        <v>5129</v>
      </c>
      <c r="C83" s="4" t="s">
        <v>6</v>
      </c>
      <c r="D83" s="65">
        <v>97200</v>
      </c>
      <c r="E83" s="1">
        <f t="shared" si="8"/>
        <v>104976</v>
      </c>
      <c r="F83" s="65">
        <v>194444</v>
      </c>
      <c r="G83" s="1">
        <f t="shared" si="9"/>
        <v>209999.52000000002</v>
      </c>
      <c r="I83" s="6">
        <f>VLOOKUP(B83,'GIÁ 1.4'!$D:$F,2,0)</f>
        <v>97200</v>
      </c>
      <c r="J83" s="21">
        <f t="shared" si="10"/>
        <v>0</v>
      </c>
      <c r="K83" s="6">
        <f>VLOOKUP(B83,'GIÁ 1.4'!$D:$F,3,0)</f>
        <v>194444</v>
      </c>
      <c r="L83" s="21">
        <f t="shared" si="11"/>
        <v>0</v>
      </c>
    </row>
    <row r="84" spans="1:12" ht="16.8" x14ac:dyDescent="0.3">
      <c r="A84" s="3">
        <v>78</v>
      </c>
      <c r="B84" s="31" t="s">
        <v>8852</v>
      </c>
      <c r="C84" s="4" t="s">
        <v>6</v>
      </c>
      <c r="D84" s="65">
        <v>70100</v>
      </c>
      <c r="E84" s="1">
        <f t="shared" si="8"/>
        <v>75708</v>
      </c>
      <c r="F84" s="65">
        <v>139815</v>
      </c>
      <c r="G84" s="1">
        <f t="shared" si="9"/>
        <v>151000.20000000001</v>
      </c>
      <c r="I84" s="6">
        <f>VLOOKUP(B84,'GIÁ 1.4'!$D:$F,2,0)</f>
        <v>70100</v>
      </c>
      <c r="J84" s="21">
        <f t="shared" si="10"/>
        <v>0</v>
      </c>
      <c r="K84" s="6">
        <f>VLOOKUP(B84,'GIÁ 1.4'!$D:$F,3,0)</f>
        <v>139815</v>
      </c>
      <c r="L84" s="21">
        <f t="shared" si="11"/>
        <v>0</v>
      </c>
    </row>
    <row r="85" spans="1:12" ht="16.8" x14ac:dyDescent="0.3">
      <c r="A85" s="3">
        <v>79</v>
      </c>
      <c r="B85" s="31" t="s">
        <v>7844</v>
      </c>
      <c r="C85" s="4" t="s">
        <v>6</v>
      </c>
      <c r="D85" s="65">
        <v>72700</v>
      </c>
      <c r="E85" s="1">
        <f t="shared" si="8"/>
        <v>78516</v>
      </c>
      <c r="F85" s="65">
        <v>145370</v>
      </c>
      <c r="G85" s="1">
        <f t="shared" si="9"/>
        <v>156999.6</v>
      </c>
      <c r="I85" s="6">
        <f>VLOOKUP(B85,'GIÁ 1.4'!$D:$F,2,0)</f>
        <v>72700</v>
      </c>
      <c r="J85" s="21">
        <f t="shared" si="10"/>
        <v>0</v>
      </c>
      <c r="K85" s="6">
        <f>VLOOKUP(B85,'GIÁ 1.4'!$D:$F,3,0)</f>
        <v>145370</v>
      </c>
      <c r="L85" s="21">
        <f t="shared" si="11"/>
        <v>0</v>
      </c>
    </row>
    <row r="86" spans="1:12" ht="16.8" x14ac:dyDescent="0.3">
      <c r="A86" s="3">
        <v>80</v>
      </c>
      <c r="B86" s="31" t="s">
        <v>8464</v>
      </c>
      <c r="C86" s="4" t="s">
        <v>6</v>
      </c>
      <c r="D86" s="65">
        <v>83800</v>
      </c>
      <c r="E86" s="1">
        <f t="shared" si="8"/>
        <v>90504</v>
      </c>
      <c r="F86" s="65">
        <v>167593</v>
      </c>
      <c r="G86" s="1">
        <f t="shared" si="9"/>
        <v>181000.44</v>
      </c>
      <c r="I86" s="6">
        <f>VLOOKUP(B86,'GIÁ 1.4'!$D:$F,2,0)</f>
        <v>83800</v>
      </c>
      <c r="J86" s="21">
        <f t="shared" si="10"/>
        <v>0</v>
      </c>
      <c r="K86" s="6">
        <f>VLOOKUP(B86,'GIÁ 1.4'!$D:$F,3,0)</f>
        <v>167593</v>
      </c>
      <c r="L86" s="21">
        <f t="shared" si="11"/>
        <v>0</v>
      </c>
    </row>
    <row r="87" spans="1:12" ht="16.8" x14ac:dyDescent="0.3">
      <c r="A87" s="3">
        <v>81</v>
      </c>
      <c r="B87" s="31" t="s">
        <v>6355</v>
      </c>
      <c r="C87" s="4" t="s">
        <v>6</v>
      </c>
      <c r="D87" s="65">
        <v>65500</v>
      </c>
      <c r="E87" s="1">
        <f t="shared" si="8"/>
        <v>70740</v>
      </c>
      <c r="F87" s="64">
        <v>130556</v>
      </c>
      <c r="G87" s="1">
        <f t="shared" si="9"/>
        <v>141000.48000000001</v>
      </c>
      <c r="I87" s="6">
        <f>VLOOKUP(B87,'GIÁ 1.4'!$D:$F,2,0)</f>
        <v>65500</v>
      </c>
      <c r="J87" s="21">
        <f t="shared" si="10"/>
        <v>0</v>
      </c>
      <c r="K87" s="6">
        <f>VLOOKUP(B87,'GIÁ 1.4'!$D:$F,3,0)</f>
        <v>130556</v>
      </c>
      <c r="L87" s="21">
        <f t="shared" si="11"/>
        <v>0</v>
      </c>
    </row>
    <row r="88" spans="1:12" ht="16.8" x14ac:dyDescent="0.3">
      <c r="A88" s="3">
        <v>82</v>
      </c>
      <c r="B88" s="31" t="s">
        <v>6363</v>
      </c>
      <c r="C88" s="4" t="s">
        <v>6</v>
      </c>
      <c r="D88" s="64">
        <v>69200</v>
      </c>
      <c r="E88" s="1">
        <f t="shared" si="8"/>
        <v>74736</v>
      </c>
      <c r="F88" s="64">
        <v>137963</v>
      </c>
      <c r="G88" s="1">
        <f t="shared" si="9"/>
        <v>149000.04</v>
      </c>
      <c r="I88" s="6">
        <f>VLOOKUP(B88,'GIÁ 1.4'!$D:$F,2,0)</f>
        <v>69200</v>
      </c>
      <c r="J88" s="21">
        <f t="shared" si="10"/>
        <v>0</v>
      </c>
      <c r="K88" s="6">
        <f>VLOOKUP(B88,'GIÁ 1.4'!$D:$F,3,0)</f>
        <v>137963</v>
      </c>
      <c r="L88" s="21">
        <f t="shared" si="11"/>
        <v>0</v>
      </c>
    </row>
    <row r="89" spans="1:12" ht="16.8" x14ac:dyDescent="0.3">
      <c r="A89" s="3">
        <v>83</v>
      </c>
      <c r="B89" s="31" t="s">
        <v>8262</v>
      </c>
      <c r="C89" s="4" t="s">
        <v>6</v>
      </c>
      <c r="D89" s="65">
        <v>141000</v>
      </c>
      <c r="E89" s="1">
        <f t="shared" si="8"/>
        <v>152280</v>
      </c>
      <c r="F89" s="65">
        <v>282407</v>
      </c>
      <c r="G89" s="1">
        <f t="shared" si="9"/>
        <v>304999.56</v>
      </c>
      <c r="I89" s="6">
        <f>VLOOKUP(B89,'GIÁ 1.4'!$D:$F,2,0)</f>
        <v>141000</v>
      </c>
      <c r="J89" s="21">
        <f t="shared" si="10"/>
        <v>0</v>
      </c>
      <c r="K89" s="6">
        <f>VLOOKUP(B89,'GIÁ 1.4'!$D:$F,3,0)</f>
        <v>282407</v>
      </c>
      <c r="L89" s="21">
        <f t="shared" si="11"/>
        <v>0</v>
      </c>
    </row>
    <row r="90" spans="1:12" ht="16.8" x14ac:dyDescent="0.3">
      <c r="A90" s="3">
        <v>84</v>
      </c>
      <c r="B90" s="31" t="s">
        <v>6818</v>
      </c>
      <c r="C90" s="4" t="s">
        <v>6</v>
      </c>
      <c r="D90" s="65">
        <v>122000</v>
      </c>
      <c r="E90" s="1">
        <f t="shared" si="8"/>
        <v>131760</v>
      </c>
      <c r="F90" s="65">
        <v>244444</v>
      </c>
      <c r="G90" s="1">
        <f t="shared" si="9"/>
        <v>263999.52</v>
      </c>
      <c r="I90" s="6">
        <f>VLOOKUP(B90,'GIÁ 1.4'!$D:$F,2,0)</f>
        <v>122000</v>
      </c>
      <c r="J90" s="21">
        <f t="shared" si="10"/>
        <v>0</v>
      </c>
      <c r="K90" s="6">
        <f>VLOOKUP(B90,'GIÁ 1.4'!$D:$F,3,0)</f>
        <v>244444</v>
      </c>
      <c r="L90" s="21">
        <f t="shared" si="11"/>
        <v>0</v>
      </c>
    </row>
    <row r="91" spans="1:12" ht="16.8" x14ac:dyDescent="0.3">
      <c r="A91" s="3">
        <v>85</v>
      </c>
      <c r="B91" s="31" t="s">
        <v>8850</v>
      </c>
      <c r="C91" s="4" t="s">
        <v>6</v>
      </c>
      <c r="D91" s="65">
        <v>116000</v>
      </c>
      <c r="E91" s="1">
        <f t="shared" si="8"/>
        <v>125280.00000000001</v>
      </c>
      <c r="F91" s="65">
        <v>232407</v>
      </c>
      <c r="G91" s="1">
        <f t="shared" si="9"/>
        <v>250999.56000000003</v>
      </c>
      <c r="I91" s="6">
        <f>VLOOKUP(B91,'GIÁ 1.4'!$D:$F,2,0)</f>
        <v>116000</v>
      </c>
      <c r="J91" s="21">
        <f t="shared" si="10"/>
        <v>0</v>
      </c>
      <c r="K91" s="6">
        <f>VLOOKUP(B91,'GIÁ 1.4'!$D:$F,3,0)</f>
        <v>232407</v>
      </c>
      <c r="L91" s="21">
        <f t="shared" si="11"/>
        <v>0</v>
      </c>
    </row>
    <row r="92" spans="1:12" ht="16.8" x14ac:dyDescent="0.3">
      <c r="A92" s="3">
        <v>86</v>
      </c>
      <c r="B92" s="32" t="s">
        <v>5995</v>
      </c>
      <c r="C92" s="3" t="s">
        <v>6</v>
      </c>
      <c r="D92" s="64">
        <v>40200</v>
      </c>
      <c r="E92" s="1">
        <f t="shared" si="8"/>
        <v>43416</v>
      </c>
      <c r="F92" s="64">
        <v>80370</v>
      </c>
      <c r="G92" s="1">
        <f t="shared" si="9"/>
        <v>86799.6</v>
      </c>
      <c r="I92" s="6">
        <f>VLOOKUP(B92,'GIÁ 1.4'!$D:$F,2,0)</f>
        <v>40200</v>
      </c>
      <c r="J92" s="21">
        <f t="shared" si="10"/>
        <v>0</v>
      </c>
      <c r="K92" s="6">
        <f>VLOOKUP(B92,'GIÁ 1.4'!$D:$F,3,0)</f>
        <v>80370</v>
      </c>
      <c r="L92" s="21">
        <f t="shared" si="11"/>
        <v>0</v>
      </c>
    </row>
    <row r="93" spans="1:12" ht="16.8" x14ac:dyDescent="0.3">
      <c r="A93" s="3">
        <v>87</v>
      </c>
      <c r="B93" s="2" t="s">
        <v>8470</v>
      </c>
      <c r="C93" s="3" t="s">
        <v>6</v>
      </c>
      <c r="D93" s="66">
        <v>47700</v>
      </c>
      <c r="E93" s="1">
        <f t="shared" si="8"/>
        <v>51516</v>
      </c>
      <c r="F93" s="66">
        <v>95370</v>
      </c>
      <c r="G93" s="1">
        <f t="shared" si="9"/>
        <v>102999.6</v>
      </c>
      <c r="I93" s="6">
        <f>VLOOKUP(B93,'GIÁ 1.4'!$D:$F,2,0)</f>
        <v>47700</v>
      </c>
      <c r="J93" s="21">
        <f t="shared" si="10"/>
        <v>0</v>
      </c>
      <c r="K93" s="6">
        <f>VLOOKUP(B93,'GIÁ 1.4'!$D:$F,3,0)</f>
        <v>95370</v>
      </c>
      <c r="L93" s="21">
        <f t="shared" si="11"/>
        <v>0</v>
      </c>
    </row>
    <row r="94" spans="1:12" ht="16.8" x14ac:dyDescent="0.3">
      <c r="A94" s="3">
        <v>88</v>
      </c>
      <c r="B94" s="30" t="s">
        <v>5611</v>
      </c>
      <c r="C94" s="3" t="s">
        <v>6</v>
      </c>
      <c r="D94" s="64">
        <v>65000</v>
      </c>
      <c r="E94" s="1">
        <f t="shared" si="8"/>
        <v>70200</v>
      </c>
      <c r="F94" s="66">
        <v>129630</v>
      </c>
      <c r="G94" s="1">
        <f t="shared" si="9"/>
        <v>140000.40000000002</v>
      </c>
      <c r="I94" s="6">
        <f>VLOOKUP(B94,'GIÁ 1.4'!$D:$F,2,0)</f>
        <v>65000</v>
      </c>
      <c r="J94" s="21">
        <f t="shared" si="10"/>
        <v>0</v>
      </c>
      <c r="K94" s="6">
        <f>VLOOKUP(B94,'GIÁ 1.4'!$D:$F,3,0)</f>
        <v>129630</v>
      </c>
      <c r="L94" s="21">
        <f t="shared" si="11"/>
        <v>0</v>
      </c>
    </row>
    <row r="95" spans="1:12" ht="16.8" x14ac:dyDescent="0.3">
      <c r="A95" s="3">
        <v>89</v>
      </c>
      <c r="B95" s="2" t="s">
        <v>6940</v>
      </c>
      <c r="C95" s="33" t="s">
        <v>6</v>
      </c>
      <c r="D95" s="66">
        <v>70100</v>
      </c>
      <c r="E95" s="5">
        <f t="shared" si="8"/>
        <v>75708</v>
      </c>
      <c r="F95" s="66">
        <v>139815</v>
      </c>
      <c r="G95" s="5">
        <v>171000</v>
      </c>
      <c r="I95" s="6">
        <f>VLOOKUP(B95,'GIÁ 1.4'!$D:$F,2,0)</f>
        <v>70100</v>
      </c>
      <c r="J95" s="21">
        <f t="shared" si="10"/>
        <v>0</v>
      </c>
      <c r="K95" s="6">
        <f>VLOOKUP(B95,'GIÁ 1.4'!$D:$F,3,0)</f>
        <v>139815</v>
      </c>
      <c r="L95" s="21">
        <f t="shared" si="11"/>
        <v>0</v>
      </c>
    </row>
    <row r="96" spans="1:12" ht="16.8" x14ac:dyDescent="0.3">
      <c r="A96" s="3">
        <v>90</v>
      </c>
      <c r="B96" s="2" t="s">
        <v>8554</v>
      </c>
      <c r="C96" s="33" t="s">
        <v>6</v>
      </c>
      <c r="D96" s="66">
        <v>72700</v>
      </c>
      <c r="E96" s="5">
        <f t="shared" si="8"/>
        <v>78516</v>
      </c>
      <c r="F96" s="66">
        <v>145370</v>
      </c>
      <c r="G96" s="5">
        <v>182000</v>
      </c>
      <c r="I96" s="6">
        <f>VLOOKUP(B96,'GIÁ 1.4'!$D:$F,2,0)</f>
        <v>72700</v>
      </c>
      <c r="J96" s="21">
        <f t="shared" si="10"/>
        <v>0</v>
      </c>
      <c r="K96" s="6">
        <f>VLOOKUP(B96,'GIÁ 1.4'!$D:$F,3,0)</f>
        <v>145370</v>
      </c>
      <c r="L96" s="21">
        <f t="shared" si="11"/>
        <v>0</v>
      </c>
    </row>
    <row r="97" spans="1:12" ht="16.8" x14ac:dyDescent="0.3">
      <c r="A97" s="3">
        <v>91</v>
      </c>
      <c r="B97" s="2" t="s">
        <v>6449</v>
      </c>
      <c r="C97" s="33" t="s">
        <v>6</v>
      </c>
      <c r="D97" s="66">
        <v>83800</v>
      </c>
      <c r="E97" s="5">
        <f t="shared" si="8"/>
        <v>90504</v>
      </c>
      <c r="F97" s="66">
        <v>167593</v>
      </c>
      <c r="G97" s="5">
        <v>203000</v>
      </c>
      <c r="I97" s="6">
        <f>VLOOKUP(B97,'GIÁ 1.4'!$D:$F,2,0)</f>
        <v>83800</v>
      </c>
      <c r="J97" s="21">
        <f t="shared" si="10"/>
        <v>0</v>
      </c>
      <c r="K97" s="6">
        <f>VLOOKUP(B97,'GIÁ 1.4'!$D:$F,3,0)</f>
        <v>167593</v>
      </c>
      <c r="L97" s="21">
        <f t="shared" si="11"/>
        <v>0</v>
      </c>
    </row>
    <row r="98" spans="1:12" ht="16.8" x14ac:dyDescent="0.3">
      <c r="A98" s="3">
        <v>92</v>
      </c>
      <c r="B98" s="2" t="s">
        <v>13333</v>
      </c>
      <c r="C98" s="33" t="s">
        <v>6</v>
      </c>
      <c r="D98" s="66">
        <v>70100</v>
      </c>
      <c r="E98" s="5">
        <f t="shared" si="8"/>
        <v>75708</v>
      </c>
      <c r="F98" s="66">
        <v>139815</v>
      </c>
      <c r="G98" s="5">
        <v>171000</v>
      </c>
      <c r="I98" s="6">
        <f>VLOOKUP(B98,'GIÁ 1.4'!$D:$F,2,0)</f>
        <v>70100</v>
      </c>
      <c r="J98" s="21">
        <f t="shared" si="10"/>
        <v>0</v>
      </c>
      <c r="K98" s="6">
        <f>VLOOKUP(B98,'GIÁ 1.4'!$D:$F,3,0)</f>
        <v>139815</v>
      </c>
      <c r="L98" s="21">
        <f t="shared" si="11"/>
        <v>0</v>
      </c>
    </row>
    <row r="99" spans="1:12" ht="16.8" x14ac:dyDescent="0.3">
      <c r="A99" s="3">
        <v>93</v>
      </c>
      <c r="B99" s="2" t="s">
        <v>13339</v>
      </c>
      <c r="C99" s="33" t="s">
        <v>6</v>
      </c>
      <c r="D99" s="66">
        <v>70100</v>
      </c>
      <c r="E99" s="5">
        <f t="shared" si="8"/>
        <v>75708</v>
      </c>
      <c r="F99" s="66">
        <v>139815</v>
      </c>
      <c r="G99" s="5">
        <v>171000</v>
      </c>
      <c r="I99" s="6">
        <f>VLOOKUP(B99,'GIÁ 1.4'!$D:$F,2,0)</f>
        <v>70100</v>
      </c>
      <c r="J99" s="21">
        <f t="shared" si="10"/>
        <v>0</v>
      </c>
      <c r="K99" s="6">
        <f>VLOOKUP(B99,'GIÁ 1.4'!$D:$F,3,0)</f>
        <v>139815</v>
      </c>
      <c r="L99" s="21">
        <f t="shared" si="11"/>
        <v>0</v>
      </c>
    </row>
    <row r="100" spans="1:12" ht="16.8" x14ac:dyDescent="0.3">
      <c r="A100" s="3">
        <v>94</v>
      </c>
      <c r="B100" s="2" t="s">
        <v>10783</v>
      </c>
      <c r="C100" s="33" t="s">
        <v>6</v>
      </c>
      <c r="D100" s="66">
        <v>83800</v>
      </c>
      <c r="E100" s="5">
        <f t="shared" si="8"/>
        <v>90504</v>
      </c>
      <c r="F100" s="66">
        <v>167593</v>
      </c>
      <c r="G100" s="5">
        <v>203000</v>
      </c>
      <c r="I100" s="6">
        <f>VLOOKUP(B100,'GIÁ 1.4'!$D:$F,2,0)</f>
        <v>83800</v>
      </c>
      <c r="J100" s="21">
        <f t="shared" si="10"/>
        <v>0</v>
      </c>
      <c r="K100" s="6">
        <f>VLOOKUP(B100,'GIÁ 1.4'!$D:$F,3,0)</f>
        <v>167593</v>
      </c>
      <c r="L100" s="21">
        <f t="shared" si="11"/>
        <v>0</v>
      </c>
    </row>
    <row r="101" spans="1:12" ht="16.8" x14ac:dyDescent="0.3">
      <c r="A101" s="3">
        <v>95</v>
      </c>
      <c r="B101" s="2" t="s">
        <v>7256</v>
      </c>
      <c r="C101" s="33" t="s">
        <v>6</v>
      </c>
      <c r="D101" s="66">
        <v>83800</v>
      </c>
      <c r="E101" s="5">
        <f t="shared" si="8"/>
        <v>90504</v>
      </c>
      <c r="F101" s="66">
        <v>167593</v>
      </c>
      <c r="G101" s="5">
        <v>203000</v>
      </c>
      <c r="I101" s="6">
        <f>VLOOKUP(B101,'GIÁ 1.4'!$D:$F,2,0)</f>
        <v>83800</v>
      </c>
      <c r="J101" s="21">
        <f t="shared" si="10"/>
        <v>0</v>
      </c>
      <c r="K101" s="6">
        <f>VLOOKUP(B101,'GIÁ 1.4'!$D:$F,3,0)</f>
        <v>167593</v>
      </c>
      <c r="L101" s="21">
        <f t="shared" si="11"/>
        <v>0</v>
      </c>
    </row>
    <row r="102" spans="1:12" ht="16.8" x14ac:dyDescent="0.3">
      <c r="A102" s="3">
        <v>96</v>
      </c>
      <c r="B102" s="2" t="s">
        <v>7282</v>
      </c>
      <c r="C102" s="33" t="s">
        <v>6</v>
      </c>
      <c r="D102" s="66">
        <v>79500</v>
      </c>
      <c r="E102" s="5">
        <f t="shared" si="8"/>
        <v>85860</v>
      </c>
      <c r="F102" s="66">
        <v>159259</v>
      </c>
      <c r="G102" s="5">
        <v>198000</v>
      </c>
      <c r="I102" s="6">
        <f>VLOOKUP(B102,'GIÁ 1.4'!$D:$F,2,0)</f>
        <v>79500</v>
      </c>
      <c r="J102" s="21">
        <f t="shared" si="10"/>
        <v>0</v>
      </c>
      <c r="K102" s="6">
        <f>VLOOKUP(B102,'GIÁ 1.4'!$D:$F,3,0)</f>
        <v>159259</v>
      </c>
      <c r="L102" s="21">
        <f t="shared" si="11"/>
        <v>0</v>
      </c>
    </row>
    <row r="103" spans="1:12" ht="16.8" x14ac:dyDescent="0.3">
      <c r="A103" s="3">
        <v>97</v>
      </c>
      <c r="B103" s="2" t="s">
        <v>7856</v>
      </c>
      <c r="C103" s="33" t="s">
        <v>6</v>
      </c>
      <c r="D103" s="66">
        <v>79500</v>
      </c>
      <c r="E103" s="5">
        <f t="shared" ref="E103:E107" si="12">D103*1.08</f>
        <v>85860</v>
      </c>
      <c r="F103" s="66">
        <v>159259</v>
      </c>
      <c r="G103" s="5">
        <v>198000</v>
      </c>
      <c r="I103" s="6">
        <f>VLOOKUP(B103,'GIÁ 1.4'!$D:$F,2,0)</f>
        <v>79500</v>
      </c>
      <c r="J103" s="21">
        <f t="shared" ref="J103:J134" si="13">D103-I103</f>
        <v>0</v>
      </c>
      <c r="K103" s="6">
        <f>VLOOKUP(B103,'GIÁ 1.4'!$D:$F,3,0)</f>
        <v>159259</v>
      </c>
      <c r="L103" s="21">
        <f t="shared" ref="L103:L134" si="14">F103-K103</f>
        <v>0</v>
      </c>
    </row>
    <row r="104" spans="1:12" ht="16.8" x14ac:dyDescent="0.3">
      <c r="A104" s="3">
        <v>98</v>
      </c>
      <c r="B104" s="2" t="s">
        <v>6001</v>
      </c>
      <c r="C104" s="33" t="s">
        <v>6</v>
      </c>
      <c r="D104" s="66">
        <v>83200</v>
      </c>
      <c r="E104" s="5">
        <f t="shared" si="12"/>
        <v>89856</v>
      </c>
      <c r="F104" s="66">
        <v>166667</v>
      </c>
      <c r="G104" s="5">
        <v>205000</v>
      </c>
      <c r="I104" s="6">
        <f>VLOOKUP(B104,'GIÁ 1.4'!$D:$F,2,0)</f>
        <v>83200</v>
      </c>
      <c r="J104" s="21">
        <f t="shared" si="13"/>
        <v>0</v>
      </c>
      <c r="K104" s="6">
        <f>VLOOKUP(B104,'GIÁ 1.4'!$D:$F,3,0)</f>
        <v>166667</v>
      </c>
      <c r="L104" s="21">
        <f t="shared" si="14"/>
        <v>0</v>
      </c>
    </row>
    <row r="105" spans="1:12" ht="16.8" x14ac:dyDescent="0.3">
      <c r="A105" s="3">
        <v>99</v>
      </c>
      <c r="B105" s="2" t="s">
        <v>6455</v>
      </c>
      <c r="C105" s="33" t="s">
        <v>6</v>
      </c>
      <c r="D105" s="66">
        <v>83200</v>
      </c>
      <c r="E105" s="5">
        <f t="shared" si="12"/>
        <v>89856</v>
      </c>
      <c r="F105" s="66">
        <v>166667</v>
      </c>
      <c r="G105" s="5">
        <v>205000</v>
      </c>
      <c r="I105" s="6">
        <f>VLOOKUP(B105,'GIÁ 1.4'!$D:$F,2,0)</f>
        <v>83200</v>
      </c>
      <c r="J105" s="21">
        <f t="shared" si="13"/>
        <v>0</v>
      </c>
      <c r="K105" s="6">
        <f>VLOOKUP(B105,'GIÁ 1.4'!$D:$F,3,0)</f>
        <v>166667</v>
      </c>
      <c r="L105" s="21">
        <f t="shared" si="14"/>
        <v>0</v>
      </c>
    </row>
    <row r="106" spans="1:12" ht="16.8" x14ac:dyDescent="0.3">
      <c r="A106" s="3">
        <v>100</v>
      </c>
      <c r="B106" s="2" t="s">
        <v>7240</v>
      </c>
      <c r="C106" s="33" t="s">
        <v>6</v>
      </c>
      <c r="D106" s="66">
        <v>94600</v>
      </c>
      <c r="E106" s="5">
        <f t="shared" si="12"/>
        <v>102168</v>
      </c>
      <c r="F106" s="66">
        <v>188889</v>
      </c>
      <c r="G106" s="5">
        <v>236000</v>
      </c>
      <c r="I106" s="6">
        <f>VLOOKUP(B106,'GIÁ 1.4'!$D:$F,2,0)</f>
        <v>94600</v>
      </c>
      <c r="J106" s="21">
        <f t="shared" si="13"/>
        <v>0</v>
      </c>
      <c r="K106" s="6">
        <f>VLOOKUP(B106,'GIÁ 1.4'!$D:$F,3,0)</f>
        <v>188889</v>
      </c>
      <c r="L106" s="21">
        <f t="shared" si="14"/>
        <v>0</v>
      </c>
    </row>
    <row r="107" spans="1:12" ht="16.8" x14ac:dyDescent="0.3">
      <c r="A107" s="3">
        <v>101</v>
      </c>
      <c r="B107" s="2" t="s">
        <v>6209</v>
      </c>
      <c r="C107" s="33" t="s">
        <v>6</v>
      </c>
      <c r="D107" s="66">
        <v>94600</v>
      </c>
      <c r="E107" s="5">
        <f t="shared" si="12"/>
        <v>102168</v>
      </c>
      <c r="F107" s="66">
        <v>188889</v>
      </c>
      <c r="G107" s="5">
        <v>236000</v>
      </c>
      <c r="I107" s="6">
        <f>VLOOKUP(B107,'GIÁ 1.4'!$D:$F,2,0)</f>
        <v>94600</v>
      </c>
      <c r="J107" s="21">
        <f t="shared" si="13"/>
        <v>0</v>
      </c>
      <c r="K107" s="6">
        <f>VLOOKUP(B107,'GIÁ 1.4'!$D:$F,3,0)</f>
        <v>188889</v>
      </c>
      <c r="L107" s="21">
        <f t="shared" si="14"/>
        <v>0</v>
      </c>
    </row>
    <row r="108" spans="1:12" ht="16.8" x14ac:dyDescent="0.3">
      <c r="A108" s="3">
        <v>102</v>
      </c>
      <c r="B108" s="2" t="s">
        <v>6942</v>
      </c>
      <c r="C108" s="33" t="s">
        <v>6</v>
      </c>
      <c r="D108" s="66">
        <v>70100</v>
      </c>
      <c r="E108" s="5">
        <v>85320</v>
      </c>
      <c r="F108" s="66">
        <v>139815</v>
      </c>
      <c r="G108" s="5">
        <v>171000</v>
      </c>
      <c r="I108" s="6">
        <f>VLOOKUP(B108,'GIÁ 1.4'!$D:$F,2,0)</f>
        <v>70100</v>
      </c>
      <c r="J108" s="21">
        <f t="shared" si="13"/>
        <v>0</v>
      </c>
      <c r="K108" s="6">
        <f>VLOOKUP(B108,'GIÁ 1.4'!$D:$F,3,0)</f>
        <v>139815</v>
      </c>
      <c r="L108" s="21">
        <f t="shared" si="14"/>
        <v>0</v>
      </c>
    </row>
    <row r="109" spans="1:12" ht="16.8" x14ac:dyDescent="0.3">
      <c r="A109" s="3">
        <v>103</v>
      </c>
      <c r="B109" s="2" t="s">
        <v>12647</v>
      </c>
      <c r="C109" s="33" t="s">
        <v>6</v>
      </c>
      <c r="D109" s="66">
        <v>70100</v>
      </c>
      <c r="E109" s="5">
        <v>85320</v>
      </c>
      <c r="F109" s="66">
        <v>139815</v>
      </c>
      <c r="G109" s="5">
        <v>171000</v>
      </c>
      <c r="I109" s="6">
        <f>VLOOKUP(B109,'GIÁ 1.4'!$D:$F,2,0)</f>
        <v>70100</v>
      </c>
      <c r="J109" s="21">
        <f t="shared" si="13"/>
        <v>0</v>
      </c>
      <c r="K109" s="6">
        <f>VLOOKUP(B109,'GIÁ 1.4'!$D:$F,3,0)</f>
        <v>139815</v>
      </c>
      <c r="L109" s="21">
        <f t="shared" si="14"/>
        <v>0</v>
      </c>
    </row>
    <row r="110" spans="1:12" ht="16.8" x14ac:dyDescent="0.3">
      <c r="A110" s="3">
        <v>104</v>
      </c>
      <c r="B110" s="2" t="s">
        <v>10787</v>
      </c>
      <c r="C110" s="33" t="s">
        <v>6</v>
      </c>
      <c r="D110" s="66">
        <v>72700</v>
      </c>
      <c r="E110" s="5">
        <v>90720</v>
      </c>
      <c r="F110" s="66">
        <v>145370</v>
      </c>
      <c r="G110" s="5">
        <v>182000</v>
      </c>
      <c r="I110" s="6">
        <f>VLOOKUP(B110,'GIÁ 1.4'!$D:$F,2,0)</f>
        <v>72700</v>
      </c>
      <c r="J110" s="21">
        <f t="shared" si="13"/>
        <v>0</v>
      </c>
      <c r="K110" s="6">
        <f>VLOOKUP(B110,'GIÁ 1.4'!$D:$F,3,0)</f>
        <v>145370</v>
      </c>
      <c r="L110" s="21">
        <f t="shared" si="14"/>
        <v>0</v>
      </c>
    </row>
    <row r="111" spans="1:12" ht="16.8" x14ac:dyDescent="0.3">
      <c r="A111" s="3">
        <v>105</v>
      </c>
      <c r="B111" s="2" t="s">
        <v>13341</v>
      </c>
      <c r="C111" s="33" t="s">
        <v>6</v>
      </c>
      <c r="D111" s="66">
        <v>72700</v>
      </c>
      <c r="E111" s="5">
        <v>90720</v>
      </c>
      <c r="F111" s="66">
        <v>145370</v>
      </c>
      <c r="G111" s="5">
        <v>182000</v>
      </c>
      <c r="I111" s="6">
        <f>VLOOKUP(B111,'GIÁ 1.4'!$D:$F,2,0)</f>
        <v>72700</v>
      </c>
      <c r="J111" s="21">
        <f t="shared" si="13"/>
        <v>0</v>
      </c>
      <c r="K111" s="6">
        <f>VLOOKUP(B111,'GIÁ 1.4'!$D:$F,3,0)</f>
        <v>145370</v>
      </c>
      <c r="L111" s="21">
        <f t="shared" si="14"/>
        <v>0</v>
      </c>
    </row>
    <row r="112" spans="1:12" ht="16.8" x14ac:dyDescent="0.3">
      <c r="A112" s="3">
        <v>106</v>
      </c>
      <c r="B112" s="2" t="s">
        <v>8476</v>
      </c>
      <c r="C112" s="33" t="s">
        <v>6</v>
      </c>
      <c r="D112" s="66">
        <v>83800</v>
      </c>
      <c r="E112" s="5">
        <v>101520</v>
      </c>
      <c r="F112" s="66">
        <v>167593</v>
      </c>
      <c r="G112" s="5">
        <v>203000</v>
      </c>
      <c r="I112" s="6">
        <f>VLOOKUP(B112,'GIÁ 1.4'!$D:$F,2,0)</f>
        <v>83800</v>
      </c>
      <c r="J112" s="21">
        <f t="shared" si="13"/>
        <v>0</v>
      </c>
      <c r="K112" s="6">
        <f>VLOOKUP(B112,'GIÁ 1.4'!$D:$F,3,0)</f>
        <v>167593</v>
      </c>
      <c r="L112" s="21">
        <f t="shared" si="14"/>
        <v>0</v>
      </c>
    </row>
    <row r="113" spans="1:12" ht="16.8" x14ac:dyDescent="0.3">
      <c r="A113" s="3">
        <v>107</v>
      </c>
      <c r="B113" s="2" t="s">
        <v>7858</v>
      </c>
      <c r="C113" s="33" t="s">
        <v>6</v>
      </c>
      <c r="D113" s="66">
        <v>83800</v>
      </c>
      <c r="E113" s="5">
        <v>101520</v>
      </c>
      <c r="F113" s="66">
        <v>167593</v>
      </c>
      <c r="G113" s="5">
        <v>203000</v>
      </c>
      <c r="I113" s="6">
        <f>VLOOKUP(B113,'GIÁ 1.4'!$D:$F,2,0)</f>
        <v>83800</v>
      </c>
      <c r="J113" s="21">
        <f t="shared" si="13"/>
        <v>0</v>
      </c>
      <c r="K113" s="6">
        <f>VLOOKUP(B113,'GIÁ 1.4'!$D:$F,3,0)</f>
        <v>167593</v>
      </c>
      <c r="L113" s="21">
        <f t="shared" si="14"/>
        <v>0</v>
      </c>
    </row>
    <row r="114" spans="1:12" ht="16.8" x14ac:dyDescent="0.3">
      <c r="A114" s="3">
        <v>108</v>
      </c>
      <c r="B114" s="2" t="s">
        <v>7848</v>
      </c>
      <c r="C114" s="33" t="s">
        <v>6</v>
      </c>
      <c r="D114" s="66">
        <v>79500</v>
      </c>
      <c r="E114" s="5">
        <v>99360</v>
      </c>
      <c r="F114" s="66">
        <v>159259</v>
      </c>
      <c r="G114" s="5">
        <v>198000</v>
      </c>
      <c r="I114" s="6">
        <f>VLOOKUP(B114,'GIÁ 1.4'!$D:$F,2,0)</f>
        <v>79500</v>
      </c>
      <c r="J114" s="21">
        <f t="shared" si="13"/>
        <v>0</v>
      </c>
      <c r="K114" s="6">
        <f>VLOOKUP(B114,'GIÁ 1.4'!$D:$F,3,0)</f>
        <v>159259</v>
      </c>
      <c r="L114" s="21">
        <f t="shared" si="14"/>
        <v>0</v>
      </c>
    </row>
    <row r="115" spans="1:12" ht="16.8" x14ac:dyDescent="0.3">
      <c r="A115" s="3">
        <v>109</v>
      </c>
      <c r="B115" s="2" t="s">
        <v>7246</v>
      </c>
      <c r="C115" s="33" t="s">
        <v>6</v>
      </c>
      <c r="D115" s="66">
        <v>79500</v>
      </c>
      <c r="E115" s="5">
        <v>99360</v>
      </c>
      <c r="F115" s="66">
        <v>159259</v>
      </c>
      <c r="G115" s="5">
        <v>198000</v>
      </c>
      <c r="I115" s="6">
        <f>VLOOKUP(B115,'GIÁ 1.4'!$D:$F,2,0)</f>
        <v>79500</v>
      </c>
      <c r="J115" s="21">
        <f t="shared" si="13"/>
        <v>0</v>
      </c>
      <c r="K115" s="6">
        <f>VLOOKUP(B115,'GIÁ 1.4'!$D:$F,3,0)</f>
        <v>159259</v>
      </c>
      <c r="L115" s="21">
        <f t="shared" si="14"/>
        <v>0</v>
      </c>
    </row>
    <row r="116" spans="1:12" ht="16.8" x14ac:dyDescent="0.3">
      <c r="A116" s="3">
        <v>110</v>
      </c>
      <c r="B116" s="2" t="s">
        <v>8558</v>
      </c>
      <c r="C116" s="33" t="s">
        <v>6</v>
      </c>
      <c r="D116" s="66">
        <v>83200</v>
      </c>
      <c r="E116" s="5">
        <v>102600</v>
      </c>
      <c r="F116" s="66">
        <v>166667</v>
      </c>
      <c r="G116" s="5">
        <v>205000</v>
      </c>
      <c r="I116" s="6">
        <f>VLOOKUP(B116,'GIÁ 1.4'!$D:$F,2,0)</f>
        <v>83200</v>
      </c>
      <c r="J116" s="21">
        <f t="shared" si="13"/>
        <v>0</v>
      </c>
      <c r="K116" s="6">
        <f>VLOOKUP(B116,'GIÁ 1.4'!$D:$F,3,0)</f>
        <v>166667</v>
      </c>
      <c r="L116" s="21">
        <f t="shared" si="14"/>
        <v>0</v>
      </c>
    </row>
    <row r="117" spans="1:12" ht="16.8" x14ac:dyDescent="0.3">
      <c r="A117" s="3">
        <v>111</v>
      </c>
      <c r="B117" s="2" t="s">
        <v>9690</v>
      </c>
      <c r="C117" s="33" t="s">
        <v>6</v>
      </c>
      <c r="D117" s="66">
        <v>83200</v>
      </c>
      <c r="E117" s="5">
        <v>102600</v>
      </c>
      <c r="F117" s="66">
        <v>166667</v>
      </c>
      <c r="G117" s="5">
        <v>205000</v>
      </c>
      <c r="I117" s="6">
        <f>VLOOKUP(B117,'GIÁ 1.4'!$D:$F,2,0)</f>
        <v>83200</v>
      </c>
      <c r="J117" s="21">
        <f t="shared" si="13"/>
        <v>0</v>
      </c>
      <c r="K117" s="6">
        <f>VLOOKUP(B117,'GIÁ 1.4'!$D:$F,3,0)</f>
        <v>166667</v>
      </c>
      <c r="L117" s="21">
        <f t="shared" si="14"/>
        <v>0</v>
      </c>
    </row>
    <row r="118" spans="1:12" ht="16.8" x14ac:dyDescent="0.3">
      <c r="A118" s="3">
        <v>112</v>
      </c>
      <c r="B118" s="2" t="s">
        <v>8198</v>
      </c>
      <c r="C118" s="33" t="s">
        <v>6</v>
      </c>
      <c r="D118" s="66">
        <v>94600</v>
      </c>
      <c r="E118" s="5">
        <v>117720.00000000001</v>
      </c>
      <c r="F118" s="66">
        <v>188889</v>
      </c>
      <c r="G118" s="5">
        <v>236000</v>
      </c>
      <c r="I118" s="6">
        <f>VLOOKUP(B118,'GIÁ 1.4'!$D:$F,2,0)</f>
        <v>94600</v>
      </c>
      <c r="J118" s="21">
        <f t="shared" si="13"/>
        <v>0</v>
      </c>
      <c r="K118" s="6">
        <f>VLOOKUP(B118,'GIÁ 1.4'!$D:$F,3,0)</f>
        <v>188889</v>
      </c>
      <c r="L118" s="21">
        <f t="shared" si="14"/>
        <v>0</v>
      </c>
    </row>
    <row r="119" spans="1:12" ht="16.8" x14ac:dyDescent="0.3">
      <c r="A119" s="3">
        <v>113</v>
      </c>
      <c r="B119" s="2" t="s">
        <v>9692</v>
      </c>
      <c r="C119" s="33" t="s">
        <v>6</v>
      </c>
      <c r="D119" s="66">
        <v>94600</v>
      </c>
      <c r="E119" s="5">
        <v>117720.00000000001</v>
      </c>
      <c r="F119" s="66">
        <v>188889</v>
      </c>
      <c r="G119" s="5">
        <v>236000</v>
      </c>
      <c r="I119" s="6">
        <f>VLOOKUP(B119,'GIÁ 1.4'!$D:$F,2,0)</f>
        <v>94600</v>
      </c>
      <c r="J119" s="21">
        <f t="shared" si="13"/>
        <v>0</v>
      </c>
      <c r="K119" s="6">
        <f>VLOOKUP(B119,'GIÁ 1.4'!$D:$F,3,0)</f>
        <v>188889</v>
      </c>
      <c r="L119" s="21">
        <f t="shared" si="14"/>
        <v>0</v>
      </c>
    </row>
    <row r="120" spans="1:12" ht="16.8" x14ac:dyDescent="0.3">
      <c r="A120" s="3">
        <v>114</v>
      </c>
      <c r="B120" s="2" t="s">
        <v>6944</v>
      </c>
      <c r="C120" s="33" t="s">
        <v>6</v>
      </c>
      <c r="D120" s="66">
        <v>97200</v>
      </c>
      <c r="E120" s="5">
        <v>119880.00000000001</v>
      </c>
      <c r="F120" s="66">
        <v>194444</v>
      </c>
      <c r="G120" s="5">
        <v>240000</v>
      </c>
      <c r="I120" s="6">
        <f>VLOOKUP(B120,'GIÁ 1.4'!$D:$F,2,0)</f>
        <v>97200</v>
      </c>
      <c r="J120" s="21">
        <f t="shared" si="13"/>
        <v>0</v>
      </c>
      <c r="K120" s="6">
        <f>VLOOKUP(B120,'GIÁ 1.4'!$D:$F,3,0)</f>
        <v>194444</v>
      </c>
      <c r="L120" s="21">
        <f t="shared" si="14"/>
        <v>0</v>
      </c>
    </row>
    <row r="121" spans="1:12" ht="16.8" x14ac:dyDescent="0.3">
      <c r="A121" s="3">
        <v>115</v>
      </c>
      <c r="B121" s="2" t="s">
        <v>6009</v>
      </c>
      <c r="C121" s="33" t="s">
        <v>6</v>
      </c>
      <c r="D121" s="66">
        <v>97200</v>
      </c>
      <c r="E121" s="5">
        <v>119880.00000000001</v>
      </c>
      <c r="F121" s="66">
        <v>194444</v>
      </c>
      <c r="G121" s="5">
        <v>240000</v>
      </c>
      <c r="I121" s="6">
        <f>VLOOKUP(B121,'GIÁ 1.4'!$D:$F,2,0)</f>
        <v>97200</v>
      </c>
      <c r="J121" s="21">
        <f t="shared" si="13"/>
        <v>0</v>
      </c>
      <c r="K121" s="6">
        <f>VLOOKUP(B121,'GIÁ 1.4'!$D:$F,3,0)</f>
        <v>194444</v>
      </c>
      <c r="L121" s="21">
        <f t="shared" si="14"/>
        <v>0</v>
      </c>
    </row>
    <row r="122" spans="1:12" ht="16.8" x14ac:dyDescent="0.3">
      <c r="A122" s="3">
        <v>116</v>
      </c>
      <c r="B122" s="2" t="s">
        <v>6932</v>
      </c>
      <c r="C122" s="33"/>
      <c r="D122" s="66">
        <v>84100</v>
      </c>
      <c r="E122" s="5">
        <f t="shared" ref="E122:E180" si="15">D122*1.08</f>
        <v>90828</v>
      </c>
      <c r="F122" s="66">
        <v>168519</v>
      </c>
      <c r="G122" s="5">
        <f>F122*1.08</f>
        <v>182000.52000000002</v>
      </c>
      <c r="I122" s="6">
        <f>VLOOKUP(B122,'GIÁ 1.4'!$D:$F,2,0)</f>
        <v>84100</v>
      </c>
      <c r="J122" s="21">
        <f t="shared" si="13"/>
        <v>0</v>
      </c>
      <c r="K122" s="6">
        <f>VLOOKUP(B122,'GIÁ 1.4'!$D:$F,3,0)</f>
        <v>168519</v>
      </c>
      <c r="L122" s="21">
        <f t="shared" si="14"/>
        <v>0</v>
      </c>
    </row>
    <row r="123" spans="1:12" ht="16.8" x14ac:dyDescent="0.3">
      <c r="A123" s="3">
        <v>117</v>
      </c>
      <c r="B123" s="2" t="s">
        <v>6934</v>
      </c>
      <c r="C123" s="33"/>
      <c r="D123" s="66">
        <v>84100</v>
      </c>
      <c r="E123" s="5">
        <f t="shared" si="15"/>
        <v>90828</v>
      </c>
      <c r="F123" s="66">
        <v>168519</v>
      </c>
      <c r="G123" s="5">
        <f>F123*1.08</f>
        <v>182000.52000000002</v>
      </c>
      <c r="I123" s="6">
        <f>VLOOKUP(B123,'GIÁ 1.4'!$D:$F,2,0)</f>
        <v>84100</v>
      </c>
      <c r="J123" s="21">
        <f t="shared" si="13"/>
        <v>0</v>
      </c>
      <c r="K123" s="6">
        <f>VLOOKUP(B123,'GIÁ 1.4'!$D:$F,3,0)</f>
        <v>168519</v>
      </c>
      <c r="L123" s="21">
        <f t="shared" si="14"/>
        <v>0</v>
      </c>
    </row>
    <row r="124" spans="1:12" ht="16.8" x14ac:dyDescent="0.3">
      <c r="A124" s="3">
        <v>118</v>
      </c>
      <c r="B124" s="2" t="s">
        <v>7234</v>
      </c>
      <c r="C124" s="33"/>
      <c r="D124" s="66">
        <v>87900</v>
      </c>
      <c r="E124" s="5">
        <f t="shared" si="15"/>
        <v>94932</v>
      </c>
      <c r="F124" s="66">
        <v>175926</v>
      </c>
      <c r="G124" s="5">
        <f>F124*1.08</f>
        <v>190000.08000000002</v>
      </c>
      <c r="I124" s="6">
        <f>VLOOKUP(B124,'GIÁ 1.4'!$D:$F,2,0)</f>
        <v>87900</v>
      </c>
      <c r="J124" s="21">
        <f t="shared" si="13"/>
        <v>0</v>
      </c>
      <c r="K124" s="6">
        <f>VLOOKUP(B124,'GIÁ 1.4'!$D:$F,3,0)</f>
        <v>175926</v>
      </c>
      <c r="L124" s="21">
        <f t="shared" si="14"/>
        <v>0</v>
      </c>
    </row>
    <row r="125" spans="1:12" ht="16.8" x14ac:dyDescent="0.3">
      <c r="A125" s="3">
        <v>119</v>
      </c>
      <c r="B125" s="2" t="s">
        <v>8468</v>
      </c>
      <c r="C125" s="33"/>
      <c r="D125" s="66">
        <v>87900</v>
      </c>
      <c r="E125" s="5">
        <f t="shared" si="15"/>
        <v>94932</v>
      </c>
      <c r="F125" s="66">
        <v>175926</v>
      </c>
      <c r="G125" s="5">
        <f>F125*1.08</f>
        <v>190000.08000000002</v>
      </c>
      <c r="I125" s="6">
        <f>VLOOKUP(B125,'GIÁ 1.4'!$D:$F,2,0)</f>
        <v>87900</v>
      </c>
      <c r="J125" s="21">
        <f t="shared" si="13"/>
        <v>0</v>
      </c>
      <c r="K125" s="6">
        <f>VLOOKUP(B125,'GIÁ 1.4'!$D:$F,3,0)</f>
        <v>175926</v>
      </c>
      <c r="L125" s="21">
        <f t="shared" si="14"/>
        <v>0</v>
      </c>
    </row>
    <row r="126" spans="1:12" ht="16.8" x14ac:dyDescent="0.3">
      <c r="A126" s="3">
        <v>120</v>
      </c>
      <c r="B126" s="34" t="s">
        <v>8560</v>
      </c>
      <c r="C126" s="23" t="s">
        <v>6</v>
      </c>
      <c r="D126" s="67">
        <v>88000</v>
      </c>
      <c r="E126" s="19">
        <f t="shared" si="15"/>
        <v>95040</v>
      </c>
      <c r="F126" s="68">
        <v>175926</v>
      </c>
      <c r="G126" s="35">
        <v>216000</v>
      </c>
      <c r="I126" s="6">
        <f>VLOOKUP(B126,'GIÁ 1.4'!$D:$F,2,0)</f>
        <v>88000</v>
      </c>
      <c r="J126" s="21">
        <f t="shared" si="13"/>
        <v>0</v>
      </c>
      <c r="K126" s="6">
        <f>VLOOKUP(B126,'GIÁ 1.4'!$D:$F,3,0)</f>
        <v>175926</v>
      </c>
      <c r="L126" s="21">
        <f t="shared" si="14"/>
        <v>0</v>
      </c>
    </row>
    <row r="127" spans="1:12" ht="16.8" x14ac:dyDescent="0.3">
      <c r="A127" s="3">
        <v>121</v>
      </c>
      <c r="B127" s="34" t="s">
        <v>6654</v>
      </c>
      <c r="C127" s="23" t="s">
        <v>6</v>
      </c>
      <c r="D127" s="67">
        <v>88000</v>
      </c>
      <c r="E127" s="19">
        <f t="shared" si="15"/>
        <v>95040</v>
      </c>
      <c r="F127" s="68">
        <v>175926</v>
      </c>
      <c r="G127" s="35">
        <v>216000</v>
      </c>
      <c r="I127" s="6">
        <f>VLOOKUP(B127,'GIÁ 1.4'!$D:$F,2,0)</f>
        <v>88000</v>
      </c>
      <c r="J127" s="21">
        <f t="shared" si="13"/>
        <v>0</v>
      </c>
      <c r="K127" s="6">
        <f>VLOOKUP(B127,'GIÁ 1.4'!$D:$F,3,0)</f>
        <v>175926</v>
      </c>
      <c r="L127" s="21">
        <f t="shared" si="14"/>
        <v>0</v>
      </c>
    </row>
    <row r="128" spans="1:12" ht="16.8" x14ac:dyDescent="0.3">
      <c r="A128" s="3">
        <v>122</v>
      </c>
      <c r="B128" s="17" t="s">
        <v>7850</v>
      </c>
      <c r="C128" s="18" t="s">
        <v>6</v>
      </c>
      <c r="D128" s="68">
        <v>110000</v>
      </c>
      <c r="E128" s="19">
        <f t="shared" si="15"/>
        <v>118800.00000000001</v>
      </c>
      <c r="F128" s="68">
        <v>220370</v>
      </c>
      <c r="G128" s="19">
        <v>238000</v>
      </c>
      <c r="I128" s="6">
        <f>VLOOKUP(B128,'GIÁ 1.4'!$D:$F,2,0)</f>
        <v>110000</v>
      </c>
      <c r="J128" s="21">
        <f t="shared" si="13"/>
        <v>0</v>
      </c>
      <c r="K128" s="6">
        <f>VLOOKUP(B128,'GIÁ 1.4'!$D:$F,3,0)</f>
        <v>220370</v>
      </c>
      <c r="L128" s="21">
        <f t="shared" si="14"/>
        <v>0</v>
      </c>
    </row>
    <row r="129" spans="1:12" ht="16.8" x14ac:dyDescent="0.3">
      <c r="A129" s="3">
        <v>123</v>
      </c>
      <c r="B129" s="17" t="s">
        <v>13343</v>
      </c>
      <c r="C129" s="18" t="s">
        <v>6</v>
      </c>
      <c r="D129" s="68">
        <v>110000</v>
      </c>
      <c r="E129" s="19">
        <f t="shared" si="15"/>
        <v>118800.00000000001</v>
      </c>
      <c r="F129" s="68">
        <v>220370</v>
      </c>
      <c r="G129" s="19">
        <v>238000</v>
      </c>
      <c r="I129" s="6">
        <f>VLOOKUP(B129,'GIÁ 1.4'!$D:$F,2,0)</f>
        <v>110000</v>
      </c>
      <c r="J129" s="21">
        <f t="shared" si="13"/>
        <v>0</v>
      </c>
      <c r="K129" s="6">
        <f>VLOOKUP(B129,'GIÁ 1.4'!$D:$F,3,0)</f>
        <v>220370</v>
      </c>
      <c r="L129" s="21">
        <f t="shared" si="14"/>
        <v>0</v>
      </c>
    </row>
    <row r="130" spans="1:12" ht="16.8" x14ac:dyDescent="0.3">
      <c r="A130" s="3">
        <v>124</v>
      </c>
      <c r="B130" s="17" t="s">
        <v>9688</v>
      </c>
      <c r="C130" s="18" t="s">
        <v>6</v>
      </c>
      <c r="D130" s="68">
        <v>115000</v>
      </c>
      <c r="E130" s="19">
        <f t="shared" si="15"/>
        <v>124200.00000000001</v>
      </c>
      <c r="F130" s="68">
        <v>229630</v>
      </c>
      <c r="G130" s="19">
        <v>248000</v>
      </c>
      <c r="I130" s="6">
        <f>VLOOKUP(B130,'GIÁ 1.4'!$D:$F,2,0)</f>
        <v>115000</v>
      </c>
      <c r="J130" s="21">
        <f t="shared" si="13"/>
        <v>0</v>
      </c>
      <c r="K130" s="6">
        <f>VLOOKUP(B130,'GIÁ 1.4'!$D:$F,3,0)</f>
        <v>229630</v>
      </c>
      <c r="L130" s="21">
        <f t="shared" si="14"/>
        <v>0</v>
      </c>
    </row>
    <row r="131" spans="1:12" ht="16.8" x14ac:dyDescent="0.3">
      <c r="A131" s="3">
        <v>125</v>
      </c>
      <c r="B131" s="17" t="s">
        <v>7096</v>
      </c>
      <c r="C131" s="18" t="s">
        <v>6</v>
      </c>
      <c r="D131" s="68">
        <v>115000</v>
      </c>
      <c r="E131" s="19">
        <f t="shared" si="15"/>
        <v>124200.00000000001</v>
      </c>
      <c r="F131" s="68">
        <v>229630</v>
      </c>
      <c r="G131" s="19">
        <v>248000</v>
      </c>
      <c r="I131" s="6">
        <f>VLOOKUP(B131,'GIÁ 1.4'!$D:$F,2,0)</f>
        <v>115000</v>
      </c>
      <c r="J131" s="21">
        <f t="shared" si="13"/>
        <v>0</v>
      </c>
      <c r="K131" s="6">
        <f>VLOOKUP(B131,'GIÁ 1.4'!$D:$F,3,0)</f>
        <v>229630</v>
      </c>
      <c r="L131" s="21">
        <f t="shared" si="14"/>
        <v>0</v>
      </c>
    </row>
    <row r="132" spans="1:12" ht="16.8" x14ac:dyDescent="0.3">
      <c r="A132" s="3">
        <v>126</v>
      </c>
      <c r="B132" s="17" t="s">
        <v>7500</v>
      </c>
      <c r="C132" s="18" t="s">
        <v>6</v>
      </c>
      <c r="D132" s="68">
        <v>130000</v>
      </c>
      <c r="E132" s="19">
        <f t="shared" si="15"/>
        <v>140400</v>
      </c>
      <c r="F132" s="68">
        <v>260185</v>
      </c>
      <c r="G132" s="19">
        <v>281000</v>
      </c>
      <c r="I132" s="6">
        <f>VLOOKUP(B132,'GIÁ 1.4'!$D:$F,2,0)</f>
        <v>130000</v>
      </c>
      <c r="J132" s="21">
        <f t="shared" si="13"/>
        <v>0</v>
      </c>
      <c r="K132" s="6">
        <f>VLOOKUP(B132,'GIÁ 1.4'!$D:$F,3,0)</f>
        <v>260185</v>
      </c>
      <c r="L132" s="21">
        <f t="shared" si="14"/>
        <v>0</v>
      </c>
    </row>
    <row r="133" spans="1:12" ht="16.8" x14ac:dyDescent="0.3">
      <c r="A133" s="3">
        <v>127</v>
      </c>
      <c r="B133" s="17" t="s">
        <v>12649</v>
      </c>
      <c r="C133" s="18" t="s">
        <v>6</v>
      </c>
      <c r="D133" s="68">
        <v>130000</v>
      </c>
      <c r="E133" s="19">
        <f t="shared" si="15"/>
        <v>140400</v>
      </c>
      <c r="F133" s="68">
        <v>260185</v>
      </c>
      <c r="G133" s="19">
        <v>281000</v>
      </c>
      <c r="I133" s="6">
        <f>VLOOKUP(B133,'GIÁ 1.4'!$D:$F,2,0)</f>
        <v>130000</v>
      </c>
      <c r="J133" s="21">
        <f t="shared" si="13"/>
        <v>0</v>
      </c>
      <c r="K133" s="6">
        <f>VLOOKUP(B133,'GIÁ 1.4'!$D:$F,3,0)</f>
        <v>260185</v>
      </c>
      <c r="L133" s="21">
        <f t="shared" si="14"/>
        <v>0</v>
      </c>
    </row>
    <row r="134" spans="1:12" ht="16.8" x14ac:dyDescent="0.3">
      <c r="A134" s="3">
        <v>128</v>
      </c>
      <c r="B134" s="17" t="s">
        <v>8276</v>
      </c>
      <c r="C134" s="18" t="s">
        <v>6</v>
      </c>
      <c r="D134" s="68">
        <v>135000</v>
      </c>
      <c r="E134" s="19">
        <f t="shared" si="15"/>
        <v>145800</v>
      </c>
      <c r="F134" s="68">
        <v>270370</v>
      </c>
      <c r="G134" s="19">
        <v>292000</v>
      </c>
      <c r="I134" s="6">
        <f>VLOOKUP(B134,'GIÁ 1.4'!$D:$F,2,0)</f>
        <v>135000</v>
      </c>
      <c r="J134" s="21">
        <f t="shared" si="13"/>
        <v>0</v>
      </c>
      <c r="K134" s="6">
        <f>VLOOKUP(B134,'GIÁ 1.4'!$D:$F,3,0)</f>
        <v>270370</v>
      </c>
      <c r="L134" s="21">
        <f t="shared" si="14"/>
        <v>0</v>
      </c>
    </row>
    <row r="135" spans="1:12" ht="16.8" x14ac:dyDescent="0.3">
      <c r="A135" s="3">
        <v>129</v>
      </c>
      <c r="B135" s="17" t="s">
        <v>7292</v>
      </c>
      <c r="C135" s="18" t="s">
        <v>6</v>
      </c>
      <c r="D135" s="68">
        <v>135000</v>
      </c>
      <c r="E135" s="19">
        <f t="shared" si="15"/>
        <v>145800</v>
      </c>
      <c r="F135" s="68">
        <v>270370</v>
      </c>
      <c r="G135" s="19">
        <v>292000</v>
      </c>
      <c r="I135" s="6">
        <f>VLOOKUP(B135,'GIÁ 1.4'!$D:$F,2,0)</f>
        <v>135000</v>
      </c>
      <c r="J135" s="21">
        <f t="shared" ref="J135:J153" si="16">D135-I135</f>
        <v>0</v>
      </c>
      <c r="K135" s="6">
        <f>VLOOKUP(B135,'GIÁ 1.4'!$D:$F,3,0)</f>
        <v>270370</v>
      </c>
      <c r="L135" s="21">
        <f t="shared" ref="L135:L153" si="17">F135-K135</f>
        <v>0</v>
      </c>
    </row>
    <row r="136" spans="1:12" ht="16.8" x14ac:dyDescent="0.3">
      <c r="A136" s="3">
        <v>130</v>
      </c>
      <c r="B136" s="17" t="s">
        <v>8562</v>
      </c>
      <c r="C136" s="18" t="s">
        <v>6</v>
      </c>
      <c r="D136" s="68">
        <v>110000</v>
      </c>
      <c r="E136" s="19">
        <f t="shared" si="15"/>
        <v>118800.00000000001</v>
      </c>
      <c r="F136" s="68">
        <v>220370</v>
      </c>
      <c r="G136" s="19">
        <v>238000</v>
      </c>
      <c r="I136" s="6">
        <f>VLOOKUP(B136,'GIÁ 1.4'!$D:$F,2,0)</f>
        <v>110000</v>
      </c>
      <c r="J136" s="21">
        <f t="shared" si="16"/>
        <v>0</v>
      </c>
      <c r="K136" s="6">
        <f>VLOOKUP(B136,'GIÁ 1.4'!$D:$F,3,0)</f>
        <v>220370</v>
      </c>
      <c r="L136" s="21">
        <f t="shared" si="17"/>
        <v>0</v>
      </c>
    </row>
    <row r="137" spans="1:12" ht="16.8" x14ac:dyDescent="0.3">
      <c r="A137" s="3">
        <v>131</v>
      </c>
      <c r="B137" s="17" t="s">
        <v>7248</v>
      </c>
      <c r="C137" s="18" t="s">
        <v>6</v>
      </c>
      <c r="D137" s="68">
        <v>110000</v>
      </c>
      <c r="E137" s="19">
        <f t="shared" si="15"/>
        <v>118800.00000000001</v>
      </c>
      <c r="F137" s="68">
        <v>220370</v>
      </c>
      <c r="G137" s="19">
        <v>238000</v>
      </c>
      <c r="I137" s="6">
        <f>VLOOKUP(B137,'GIÁ 1.4'!$D:$F,2,0)</f>
        <v>110000</v>
      </c>
      <c r="J137" s="21">
        <f t="shared" si="16"/>
        <v>0</v>
      </c>
      <c r="K137" s="6">
        <f>VLOOKUP(B137,'GIÁ 1.4'!$D:$F,3,0)</f>
        <v>220370</v>
      </c>
      <c r="L137" s="21">
        <f t="shared" si="17"/>
        <v>0</v>
      </c>
    </row>
    <row r="138" spans="1:12" ht="16.8" x14ac:dyDescent="0.3">
      <c r="A138" s="3">
        <v>132</v>
      </c>
      <c r="B138" s="17" t="s">
        <v>8278</v>
      </c>
      <c r="C138" s="18" t="s">
        <v>6</v>
      </c>
      <c r="D138" s="68">
        <v>115000</v>
      </c>
      <c r="E138" s="19">
        <f t="shared" si="15"/>
        <v>124200.00000000001</v>
      </c>
      <c r="F138" s="68">
        <v>229630</v>
      </c>
      <c r="G138" s="19">
        <v>248000</v>
      </c>
      <c r="I138" s="6">
        <f>VLOOKUP(B138,'GIÁ 1.4'!$D:$F,2,0)</f>
        <v>115000</v>
      </c>
      <c r="J138" s="21">
        <f t="shared" si="16"/>
        <v>0</v>
      </c>
      <c r="K138" s="6">
        <f>VLOOKUP(B138,'GIÁ 1.4'!$D:$F,3,0)</f>
        <v>229630</v>
      </c>
      <c r="L138" s="21">
        <f t="shared" si="17"/>
        <v>0</v>
      </c>
    </row>
    <row r="139" spans="1:12" ht="16.8" x14ac:dyDescent="0.3">
      <c r="A139" s="3">
        <v>133</v>
      </c>
      <c r="B139" s="17" t="s">
        <v>7506</v>
      </c>
      <c r="C139" s="18" t="s">
        <v>6</v>
      </c>
      <c r="D139" s="68">
        <v>115000</v>
      </c>
      <c r="E139" s="19">
        <f t="shared" si="15"/>
        <v>124200.00000000001</v>
      </c>
      <c r="F139" s="68">
        <v>229630</v>
      </c>
      <c r="G139" s="19">
        <v>248000</v>
      </c>
      <c r="I139" s="6">
        <f>VLOOKUP(B139,'GIÁ 1.4'!$D:$F,2,0)</f>
        <v>115000</v>
      </c>
      <c r="J139" s="21">
        <f t="shared" si="16"/>
        <v>0</v>
      </c>
      <c r="K139" s="6">
        <f>VLOOKUP(B139,'GIÁ 1.4'!$D:$F,3,0)</f>
        <v>229630</v>
      </c>
      <c r="L139" s="21">
        <f t="shared" si="17"/>
        <v>0</v>
      </c>
    </row>
    <row r="140" spans="1:12" ht="16.8" x14ac:dyDescent="0.3">
      <c r="A140" s="3">
        <v>134</v>
      </c>
      <c r="B140" s="17" t="s">
        <v>6203</v>
      </c>
      <c r="C140" s="18" t="s">
        <v>6</v>
      </c>
      <c r="D140" s="68">
        <v>130000</v>
      </c>
      <c r="E140" s="19">
        <f t="shared" si="15"/>
        <v>140400</v>
      </c>
      <c r="F140" s="68">
        <v>260185</v>
      </c>
      <c r="G140" s="19">
        <v>281000</v>
      </c>
      <c r="I140" s="6">
        <f>VLOOKUP(B140,'GIÁ 1.4'!$D:$F,2,0)</f>
        <v>130000</v>
      </c>
      <c r="J140" s="21">
        <f t="shared" si="16"/>
        <v>0</v>
      </c>
      <c r="K140" s="6">
        <f>VLOOKUP(B140,'GIÁ 1.4'!$D:$F,3,0)</f>
        <v>260185</v>
      </c>
      <c r="L140" s="21">
        <f t="shared" si="17"/>
        <v>0</v>
      </c>
    </row>
    <row r="141" spans="1:12" ht="16.8" x14ac:dyDescent="0.3">
      <c r="A141" s="3">
        <v>135</v>
      </c>
      <c r="B141" s="17" t="s">
        <v>6211</v>
      </c>
      <c r="C141" s="18" t="s">
        <v>6</v>
      </c>
      <c r="D141" s="68">
        <v>130000</v>
      </c>
      <c r="E141" s="19">
        <f t="shared" si="15"/>
        <v>140400</v>
      </c>
      <c r="F141" s="68">
        <v>260185</v>
      </c>
      <c r="G141" s="19">
        <v>281000</v>
      </c>
      <c r="I141" s="6">
        <f>VLOOKUP(B141,'GIÁ 1.4'!$D:$F,2,0)</f>
        <v>130000</v>
      </c>
      <c r="J141" s="21">
        <f t="shared" si="16"/>
        <v>0</v>
      </c>
      <c r="K141" s="6">
        <f>VLOOKUP(B141,'GIÁ 1.4'!$D:$F,3,0)</f>
        <v>260185</v>
      </c>
      <c r="L141" s="21">
        <f t="shared" si="17"/>
        <v>0</v>
      </c>
    </row>
    <row r="142" spans="1:12" ht="16.8" x14ac:dyDescent="0.3">
      <c r="A142" s="3">
        <v>136</v>
      </c>
      <c r="B142" s="17" t="s">
        <v>6838</v>
      </c>
      <c r="C142" s="18" t="s">
        <v>6</v>
      </c>
      <c r="D142" s="68">
        <v>135000</v>
      </c>
      <c r="E142" s="19">
        <f t="shared" si="15"/>
        <v>145800</v>
      </c>
      <c r="F142" s="68">
        <v>270370</v>
      </c>
      <c r="G142" s="19">
        <v>292000</v>
      </c>
      <c r="I142" s="6">
        <f>VLOOKUP(B142,'GIÁ 1.4'!$D:$F,2,0)</f>
        <v>135000</v>
      </c>
      <c r="J142" s="21">
        <f t="shared" si="16"/>
        <v>0</v>
      </c>
      <c r="K142" s="6">
        <f>VLOOKUP(B142,'GIÁ 1.4'!$D:$F,3,0)</f>
        <v>270370</v>
      </c>
      <c r="L142" s="21">
        <f t="shared" si="17"/>
        <v>0</v>
      </c>
    </row>
    <row r="143" spans="1:12" ht="16.8" x14ac:dyDescent="0.3">
      <c r="A143" s="3">
        <v>137</v>
      </c>
      <c r="B143" s="17" t="s">
        <v>8204</v>
      </c>
      <c r="C143" s="18" t="s">
        <v>6</v>
      </c>
      <c r="D143" s="68">
        <v>135000</v>
      </c>
      <c r="E143" s="19">
        <f t="shared" si="15"/>
        <v>145800</v>
      </c>
      <c r="F143" s="68">
        <v>270370</v>
      </c>
      <c r="G143" s="19">
        <v>292000</v>
      </c>
      <c r="I143" s="6">
        <f>VLOOKUP(B143,'GIÁ 1.4'!$D:$F,2,0)</f>
        <v>135000</v>
      </c>
      <c r="J143" s="21">
        <f t="shared" si="16"/>
        <v>0</v>
      </c>
      <c r="K143" s="6">
        <f>VLOOKUP(B143,'GIÁ 1.4'!$D:$F,3,0)</f>
        <v>270370</v>
      </c>
      <c r="L143" s="21">
        <f t="shared" si="17"/>
        <v>0</v>
      </c>
    </row>
    <row r="144" spans="1:12" ht="16.8" x14ac:dyDescent="0.3">
      <c r="A144" s="3">
        <v>138</v>
      </c>
      <c r="B144" s="17" t="s">
        <v>8482</v>
      </c>
      <c r="C144" s="18" t="s">
        <v>6</v>
      </c>
      <c r="D144" s="68">
        <v>150000</v>
      </c>
      <c r="E144" s="19">
        <f t="shared" si="15"/>
        <v>162000</v>
      </c>
      <c r="F144" s="68">
        <v>300000</v>
      </c>
      <c r="G144" s="19">
        <v>324000</v>
      </c>
      <c r="I144" s="6">
        <f>VLOOKUP(B144,'GIÁ 1.4'!$D:$F,2,0)</f>
        <v>150000</v>
      </c>
      <c r="J144" s="21">
        <f t="shared" si="16"/>
        <v>0</v>
      </c>
      <c r="K144" s="6">
        <f>VLOOKUP(B144,'GIÁ 1.4'!$D:$F,3,0)</f>
        <v>300000</v>
      </c>
      <c r="L144" s="21">
        <f t="shared" si="17"/>
        <v>0</v>
      </c>
    </row>
    <row r="145" spans="1:12" ht="16.8" x14ac:dyDescent="0.3">
      <c r="A145" s="3">
        <v>139</v>
      </c>
      <c r="B145" s="17" t="s">
        <v>7242</v>
      </c>
      <c r="C145" s="18" t="s">
        <v>6</v>
      </c>
      <c r="D145" s="68">
        <v>160000</v>
      </c>
      <c r="E145" s="19">
        <f t="shared" si="15"/>
        <v>172800</v>
      </c>
      <c r="F145" s="68">
        <v>320370</v>
      </c>
      <c r="G145" s="19">
        <v>346000</v>
      </c>
      <c r="I145" s="6">
        <f>VLOOKUP(B145,'GIÁ 1.4'!$D:$F,2,0)</f>
        <v>160000</v>
      </c>
      <c r="J145" s="21">
        <f t="shared" si="16"/>
        <v>0</v>
      </c>
      <c r="K145" s="6">
        <f>VLOOKUP(B145,'GIÁ 1.4'!$D:$F,3,0)</f>
        <v>320370</v>
      </c>
      <c r="L145" s="21">
        <f t="shared" si="17"/>
        <v>0</v>
      </c>
    </row>
    <row r="146" spans="1:12" ht="16.8" x14ac:dyDescent="0.3">
      <c r="A146" s="3">
        <v>140</v>
      </c>
      <c r="B146" s="17" t="s">
        <v>7502</v>
      </c>
      <c r="C146" s="18" t="s">
        <v>6</v>
      </c>
      <c r="D146" s="68">
        <v>180000</v>
      </c>
      <c r="E146" s="19">
        <f t="shared" si="15"/>
        <v>194400</v>
      </c>
      <c r="F146" s="68">
        <v>360185</v>
      </c>
      <c r="G146" s="19">
        <v>389000</v>
      </c>
      <c r="I146" s="6">
        <f>VLOOKUP(B146,'GIÁ 1.4'!$D:$F,2,0)</f>
        <v>180000</v>
      </c>
      <c r="J146" s="21">
        <f t="shared" si="16"/>
        <v>0</v>
      </c>
      <c r="K146" s="6">
        <f>VLOOKUP(B146,'GIÁ 1.4'!$D:$F,3,0)</f>
        <v>360185</v>
      </c>
      <c r="L146" s="21">
        <f t="shared" si="17"/>
        <v>0</v>
      </c>
    </row>
    <row r="147" spans="1:12" ht="16.8" x14ac:dyDescent="0.3">
      <c r="A147" s="3">
        <v>141</v>
      </c>
      <c r="B147" s="17" t="s">
        <v>13357</v>
      </c>
      <c r="C147" s="18" t="s">
        <v>6</v>
      </c>
      <c r="D147" s="68">
        <v>0</v>
      </c>
      <c r="E147" s="19">
        <f t="shared" si="15"/>
        <v>0</v>
      </c>
      <c r="F147" s="68">
        <v>203704</v>
      </c>
      <c r="G147" s="19">
        <v>220000</v>
      </c>
      <c r="I147" s="6">
        <f>VLOOKUP(B147,'GIÁ 1.4'!$D:$F,2,0)</f>
        <v>0</v>
      </c>
      <c r="J147" s="21">
        <f t="shared" si="16"/>
        <v>0</v>
      </c>
      <c r="K147" s="6">
        <f>VLOOKUP(B147,'GIÁ 1.4'!$D:$F,3,0)</f>
        <v>203704</v>
      </c>
      <c r="L147" s="21">
        <f t="shared" si="17"/>
        <v>0</v>
      </c>
    </row>
    <row r="148" spans="1:12" ht="16.8" x14ac:dyDescent="0.3">
      <c r="A148" s="3">
        <v>142</v>
      </c>
      <c r="B148" s="17" t="s">
        <v>12922</v>
      </c>
      <c r="C148" s="18" t="s">
        <v>6</v>
      </c>
      <c r="D148" s="68">
        <v>0</v>
      </c>
      <c r="E148" s="19">
        <f t="shared" si="15"/>
        <v>0</v>
      </c>
      <c r="F148" s="68">
        <v>209259</v>
      </c>
      <c r="G148" s="19">
        <v>226000</v>
      </c>
      <c r="I148" s="6">
        <f>VLOOKUP(B148,'GIÁ 1.4'!$D:$F,2,0)</f>
        <v>0</v>
      </c>
      <c r="J148" s="21">
        <f t="shared" si="16"/>
        <v>0</v>
      </c>
      <c r="K148" s="6">
        <f>VLOOKUP(B148,'GIÁ 1.4'!$D:$F,3,0)</f>
        <v>209259</v>
      </c>
      <c r="L148" s="21">
        <f t="shared" si="17"/>
        <v>0</v>
      </c>
    </row>
    <row r="149" spans="1:12" ht="16.8" x14ac:dyDescent="0.3">
      <c r="A149" s="3">
        <v>143</v>
      </c>
      <c r="B149" s="17" t="s">
        <v>12659</v>
      </c>
      <c r="C149" s="18" t="s">
        <v>6</v>
      </c>
      <c r="D149" s="68">
        <v>0</v>
      </c>
      <c r="E149" s="19">
        <f t="shared" si="15"/>
        <v>0</v>
      </c>
      <c r="F149" s="68">
        <v>222222</v>
      </c>
      <c r="G149" s="19">
        <v>240000</v>
      </c>
      <c r="I149" s="6">
        <f>VLOOKUP(B149,'GIÁ 1.4'!$D:$F,2,0)</f>
        <v>0</v>
      </c>
      <c r="J149" s="21">
        <f t="shared" si="16"/>
        <v>0</v>
      </c>
      <c r="K149" s="6">
        <f>VLOOKUP(B149,'GIÁ 1.4'!$D:$F,3,0)</f>
        <v>222222</v>
      </c>
      <c r="L149" s="21">
        <f t="shared" si="17"/>
        <v>0</v>
      </c>
    </row>
    <row r="150" spans="1:12" ht="16.8" x14ac:dyDescent="0.3">
      <c r="A150" s="3">
        <v>144</v>
      </c>
      <c r="B150" s="17" t="s">
        <v>6377</v>
      </c>
      <c r="C150" s="18" t="s">
        <v>6</v>
      </c>
      <c r="D150" s="68">
        <v>0</v>
      </c>
      <c r="E150" s="19">
        <f t="shared" si="15"/>
        <v>0</v>
      </c>
      <c r="F150" s="68">
        <v>226852</v>
      </c>
      <c r="G150" s="19">
        <v>245000</v>
      </c>
      <c r="I150" s="6">
        <f>VLOOKUP(B150,'GIÁ 1.4'!$D:$F,2,0)</f>
        <v>0</v>
      </c>
      <c r="J150" s="21">
        <f t="shared" si="16"/>
        <v>0</v>
      </c>
      <c r="K150" s="6">
        <f>VLOOKUP(B150,'GIÁ 1.4'!$D:$F,3,0)</f>
        <v>226852</v>
      </c>
      <c r="L150" s="21">
        <f t="shared" si="17"/>
        <v>0</v>
      </c>
    </row>
    <row r="151" spans="1:12" ht="16.8" x14ac:dyDescent="0.3">
      <c r="A151" s="3">
        <v>145</v>
      </c>
      <c r="B151" s="17" t="s">
        <v>12655</v>
      </c>
      <c r="C151" s="18" t="s">
        <v>6</v>
      </c>
      <c r="D151" s="68">
        <v>0</v>
      </c>
      <c r="E151" s="19">
        <f t="shared" si="15"/>
        <v>0</v>
      </c>
      <c r="F151" s="68">
        <v>365741</v>
      </c>
      <c r="G151" s="19">
        <v>395000</v>
      </c>
      <c r="I151" s="6">
        <f>VLOOKUP(B151,'GIÁ 1.4'!$D:$F,2,0)</f>
        <v>0</v>
      </c>
      <c r="J151" s="21">
        <f t="shared" si="16"/>
        <v>0</v>
      </c>
      <c r="K151" s="6">
        <f>VLOOKUP(B151,'GIÁ 1.4'!$D:$F,3,0)</f>
        <v>365741</v>
      </c>
      <c r="L151" s="21">
        <f t="shared" si="17"/>
        <v>0</v>
      </c>
    </row>
    <row r="152" spans="1:12" ht="16.8" x14ac:dyDescent="0.3">
      <c r="A152" s="3">
        <v>146</v>
      </c>
      <c r="B152" s="17" t="s">
        <v>7868</v>
      </c>
      <c r="C152" s="18" t="s">
        <v>6</v>
      </c>
      <c r="D152" s="68">
        <v>0</v>
      </c>
      <c r="E152" s="19">
        <f t="shared" si="15"/>
        <v>0</v>
      </c>
      <c r="F152" s="68">
        <v>370370</v>
      </c>
      <c r="G152" s="19">
        <v>400000</v>
      </c>
      <c r="I152" s="6">
        <f>VLOOKUP(B152,'GIÁ 1.4'!$D:$F,2,0)</f>
        <v>0</v>
      </c>
      <c r="J152" s="21">
        <f t="shared" si="16"/>
        <v>0</v>
      </c>
      <c r="K152" s="6">
        <f>VLOOKUP(B152,'GIÁ 1.4'!$D:$F,3,0)</f>
        <v>370370</v>
      </c>
      <c r="L152" s="21">
        <f t="shared" si="17"/>
        <v>0</v>
      </c>
    </row>
    <row r="153" spans="1:12" ht="16.8" x14ac:dyDescent="0.3">
      <c r="A153" s="3">
        <v>147</v>
      </c>
      <c r="B153" s="17" t="s">
        <v>6469</v>
      </c>
      <c r="C153" s="18" t="s">
        <v>6</v>
      </c>
      <c r="D153" s="68">
        <v>0</v>
      </c>
      <c r="E153" s="19">
        <f t="shared" si="15"/>
        <v>0</v>
      </c>
      <c r="F153" s="68">
        <v>407407</v>
      </c>
      <c r="G153" s="19">
        <v>440000</v>
      </c>
      <c r="I153" s="6">
        <f>VLOOKUP(B153,'GIÁ 1.4'!$D:$F,2,0)</f>
        <v>0</v>
      </c>
      <c r="J153" s="21">
        <f t="shared" si="16"/>
        <v>0</v>
      </c>
      <c r="K153" s="6">
        <f>VLOOKUP(B153,'GIÁ 1.4'!$D:$F,3,0)</f>
        <v>407407</v>
      </c>
      <c r="L153" s="21">
        <f t="shared" si="17"/>
        <v>0</v>
      </c>
    </row>
    <row r="154" spans="1:12" ht="16.8" x14ac:dyDescent="0.3">
      <c r="A154" s="3"/>
      <c r="B154" s="36" t="s">
        <v>15584</v>
      </c>
      <c r="C154" s="27"/>
      <c r="D154" s="69"/>
      <c r="E154" s="1">
        <f t="shared" si="15"/>
        <v>0</v>
      </c>
      <c r="F154" s="69"/>
      <c r="G154" s="1">
        <f t="shared" ref="G154:G186" si="18">F154*1.08</f>
        <v>0</v>
      </c>
      <c r="J154" s="21"/>
      <c r="L154" s="21"/>
    </row>
    <row r="155" spans="1:12" ht="16.8" x14ac:dyDescent="0.3">
      <c r="A155" s="3">
        <v>1</v>
      </c>
      <c r="B155" s="31" t="s">
        <v>9384</v>
      </c>
      <c r="C155" s="3" t="s">
        <v>6</v>
      </c>
      <c r="D155" s="64">
        <v>68600</v>
      </c>
      <c r="E155" s="1">
        <f t="shared" si="15"/>
        <v>74088</v>
      </c>
      <c r="F155" s="64">
        <v>137037</v>
      </c>
      <c r="G155" s="1">
        <f t="shared" si="18"/>
        <v>147999.96000000002</v>
      </c>
      <c r="I155" s="6">
        <f>VLOOKUP(B155,'GIÁ 1.4'!$D:$F,2,0)</f>
        <v>68600</v>
      </c>
      <c r="J155" s="21">
        <f t="shared" ref="J155:J164" si="19">D155-I155</f>
        <v>0</v>
      </c>
      <c r="K155" s="6">
        <f>VLOOKUP(B155,'GIÁ 1.4'!$D:$F,3,0)</f>
        <v>137037</v>
      </c>
      <c r="L155" s="21">
        <f t="shared" ref="L155:L164" si="20">F155-K155</f>
        <v>0</v>
      </c>
    </row>
    <row r="156" spans="1:12" ht="16.8" x14ac:dyDescent="0.3">
      <c r="A156" s="3">
        <v>2</v>
      </c>
      <c r="B156" s="30" t="s">
        <v>14722</v>
      </c>
      <c r="C156" s="3" t="s">
        <v>6</v>
      </c>
      <c r="D156" s="64">
        <v>105000</v>
      </c>
      <c r="E156" s="1">
        <f t="shared" si="15"/>
        <v>113400.00000000001</v>
      </c>
      <c r="F156" s="64">
        <v>210185</v>
      </c>
      <c r="G156" s="1">
        <f t="shared" si="18"/>
        <v>226999.80000000002</v>
      </c>
      <c r="I156" s="6">
        <f>VLOOKUP(B156,'GIÁ 1.4'!$D:$F,2,0)</f>
        <v>105000</v>
      </c>
      <c r="J156" s="21">
        <f t="shared" si="19"/>
        <v>0</v>
      </c>
      <c r="K156" s="6">
        <f>VLOOKUP(B156,'GIÁ 1.4'!$D:$F,3,0)</f>
        <v>210185</v>
      </c>
      <c r="L156" s="21">
        <f t="shared" si="20"/>
        <v>0</v>
      </c>
    </row>
    <row r="157" spans="1:12" ht="16.8" x14ac:dyDescent="0.3">
      <c r="A157" s="3">
        <v>3</v>
      </c>
      <c r="B157" s="30" t="s">
        <v>9662</v>
      </c>
      <c r="C157" s="3" t="s">
        <v>6</v>
      </c>
      <c r="D157" s="64">
        <v>44100</v>
      </c>
      <c r="E157" s="1">
        <f t="shared" si="15"/>
        <v>47628</v>
      </c>
      <c r="F157" s="64">
        <v>87963</v>
      </c>
      <c r="G157" s="1">
        <f t="shared" si="18"/>
        <v>95000.040000000008</v>
      </c>
      <c r="I157" s="6">
        <f>VLOOKUP(B157,'GIÁ 1.4'!$D:$F,2,0)</f>
        <v>44100</v>
      </c>
      <c r="J157" s="21">
        <f t="shared" si="19"/>
        <v>0</v>
      </c>
      <c r="K157" s="6">
        <f>VLOOKUP(B157,'GIÁ 1.4'!$D:$F,3,0)</f>
        <v>87963</v>
      </c>
      <c r="L157" s="21">
        <f t="shared" si="20"/>
        <v>0</v>
      </c>
    </row>
    <row r="158" spans="1:12" ht="16.8" x14ac:dyDescent="0.3">
      <c r="A158" s="3">
        <v>4</v>
      </c>
      <c r="B158" s="30" t="s">
        <v>9668</v>
      </c>
      <c r="C158" s="3" t="s">
        <v>6</v>
      </c>
      <c r="D158" s="64">
        <v>51200</v>
      </c>
      <c r="E158" s="1">
        <f t="shared" si="15"/>
        <v>55296</v>
      </c>
      <c r="F158" s="64">
        <v>107407</v>
      </c>
      <c r="G158" s="1">
        <f t="shared" si="18"/>
        <v>115999.56000000001</v>
      </c>
      <c r="I158" s="6">
        <f>VLOOKUP(B158,'GIÁ 1.4'!$D:$F,2,0)</f>
        <v>51200</v>
      </c>
      <c r="J158" s="21">
        <f t="shared" si="19"/>
        <v>0</v>
      </c>
      <c r="K158" s="6">
        <f>VLOOKUP(B158,'GIÁ 1.4'!$D:$F,3,0)</f>
        <v>107407</v>
      </c>
      <c r="L158" s="21">
        <f t="shared" si="20"/>
        <v>0</v>
      </c>
    </row>
    <row r="159" spans="1:12" ht="16.8" x14ac:dyDescent="0.3">
      <c r="A159" s="3">
        <v>5</v>
      </c>
      <c r="B159" s="31" t="s">
        <v>9948</v>
      </c>
      <c r="C159" s="3" t="s">
        <v>6</v>
      </c>
      <c r="D159" s="64">
        <v>35400</v>
      </c>
      <c r="E159" s="1">
        <f t="shared" si="15"/>
        <v>38232</v>
      </c>
      <c r="F159" s="64">
        <v>70833</v>
      </c>
      <c r="G159" s="1">
        <f t="shared" si="18"/>
        <v>76499.64</v>
      </c>
      <c r="I159" s="6">
        <f>VLOOKUP(B159,'GIÁ 1.4'!$D:$F,2,0)</f>
        <v>35400</v>
      </c>
      <c r="J159" s="21">
        <f t="shared" si="19"/>
        <v>0</v>
      </c>
      <c r="K159" s="6">
        <f>VLOOKUP(B159,'GIÁ 1.4'!$D:$F,3,0)</f>
        <v>70833</v>
      </c>
      <c r="L159" s="21">
        <f t="shared" si="20"/>
        <v>0</v>
      </c>
    </row>
    <row r="160" spans="1:12" ht="16.8" x14ac:dyDescent="0.3">
      <c r="A160" s="3">
        <v>6</v>
      </c>
      <c r="B160" s="23" t="s">
        <v>12111</v>
      </c>
      <c r="C160" s="4" t="s">
        <v>6</v>
      </c>
      <c r="D160" s="64">
        <v>42000</v>
      </c>
      <c r="E160" s="1">
        <f t="shared" si="15"/>
        <v>45360</v>
      </c>
      <c r="F160" s="64">
        <v>83981</v>
      </c>
      <c r="G160" s="1">
        <f t="shared" si="18"/>
        <v>90699.48000000001</v>
      </c>
      <c r="I160" s="6">
        <f>VLOOKUP(B160,'GIÁ 1.4'!$D:$F,2,0)</f>
        <v>42000</v>
      </c>
      <c r="J160" s="21">
        <f t="shared" si="19"/>
        <v>0</v>
      </c>
      <c r="K160" s="6">
        <f>VLOOKUP(B160,'GIÁ 1.4'!$D:$F,3,0)</f>
        <v>83981</v>
      </c>
      <c r="L160" s="21">
        <f t="shared" si="20"/>
        <v>0</v>
      </c>
    </row>
    <row r="161" spans="1:12" ht="16.8" x14ac:dyDescent="0.3">
      <c r="A161" s="3">
        <v>7</v>
      </c>
      <c r="B161" s="23" t="s">
        <v>9920</v>
      </c>
      <c r="C161" s="3" t="s">
        <v>6</v>
      </c>
      <c r="D161" s="64">
        <v>72000</v>
      </c>
      <c r="E161" s="1">
        <f t="shared" si="15"/>
        <v>77760</v>
      </c>
      <c r="F161" s="64">
        <v>144444</v>
      </c>
      <c r="G161" s="1">
        <f t="shared" si="18"/>
        <v>155999.52000000002</v>
      </c>
      <c r="I161" s="6">
        <f>VLOOKUP(B161,'GIÁ 1.4'!$D:$F,2,0)</f>
        <v>72000</v>
      </c>
      <c r="J161" s="21">
        <f t="shared" si="19"/>
        <v>0</v>
      </c>
      <c r="K161" s="6">
        <f>VLOOKUP(B161,'GIÁ 1.4'!$D:$F,3,0)</f>
        <v>144444</v>
      </c>
      <c r="L161" s="21">
        <f t="shared" si="20"/>
        <v>0</v>
      </c>
    </row>
    <row r="162" spans="1:12" ht="16.8" x14ac:dyDescent="0.3">
      <c r="A162" s="3">
        <v>8</v>
      </c>
      <c r="B162" s="30" t="s">
        <v>9918</v>
      </c>
      <c r="C162" s="3" t="s">
        <v>6</v>
      </c>
      <c r="D162" s="64">
        <v>62000</v>
      </c>
      <c r="E162" s="1">
        <f t="shared" si="15"/>
        <v>66960</v>
      </c>
      <c r="F162" s="64">
        <v>124000</v>
      </c>
      <c r="G162" s="1">
        <f t="shared" si="18"/>
        <v>133920</v>
      </c>
      <c r="I162" s="6">
        <f>VLOOKUP(B162,'GIÁ 1.4'!$D:$F,2,0)</f>
        <v>62000</v>
      </c>
      <c r="J162" s="21">
        <f t="shared" si="19"/>
        <v>0</v>
      </c>
      <c r="K162" s="6">
        <f>VLOOKUP(B162,'GIÁ 1.4'!$D:$F,3,0)</f>
        <v>124000</v>
      </c>
      <c r="L162" s="21">
        <f t="shared" si="20"/>
        <v>0</v>
      </c>
    </row>
    <row r="163" spans="1:12" ht="16.8" x14ac:dyDescent="0.3">
      <c r="A163" s="3">
        <v>9</v>
      </c>
      <c r="B163" s="30" t="s">
        <v>8380</v>
      </c>
      <c r="C163" s="3" t="s">
        <v>6</v>
      </c>
      <c r="D163" s="64">
        <v>90500</v>
      </c>
      <c r="E163" s="1">
        <f t="shared" si="15"/>
        <v>97740</v>
      </c>
      <c r="F163" s="64">
        <v>181000</v>
      </c>
      <c r="G163" s="1">
        <f t="shared" si="18"/>
        <v>195480</v>
      </c>
      <c r="I163" s="6">
        <f>VLOOKUP(B163,'GIÁ 1.4'!$D:$F,2,0)</f>
        <v>90500</v>
      </c>
      <c r="J163" s="21">
        <f t="shared" si="19"/>
        <v>0</v>
      </c>
      <c r="K163" s="6">
        <f>VLOOKUP(B163,'GIÁ 1.4'!$D:$F,3,0)</f>
        <v>181000</v>
      </c>
      <c r="L163" s="21">
        <f t="shared" si="20"/>
        <v>0</v>
      </c>
    </row>
    <row r="164" spans="1:12" ht="16.8" x14ac:dyDescent="0.3">
      <c r="A164" s="3">
        <v>10</v>
      </c>
      <c r="B164" s="30" t="s">
        <v>9966</v>
      </c>
      <c r="C164" s="3" t="s">
        <v>6</v>
      </c>
      <c r="D164" s="64">
        <v>148500</v>
      </c>
      <c r="E164" s="1">
        <f t="shared" si="15"/>
        <v>160380</v>
      </c>
      <c r="F164" s="64">
        <v>297000</v>
      </c>
      <c r="G164" s="1">
        <f t="shared" si="18"/>
        <v>320760</v>
      </c>
      <c r="I164" s="6">
        <f>VLOOKUP(B164,'GIÁ 1.4'!$D:$F,2,0)</f>
        <v>148500</v>
      </c>
      <c r="J164" s="21">
        <f t="shared" si="19"/>
        <v>0</v>
      </c>
      <c r="K164" s="6">
        <f>VLOOKUP(B164,'GIÁ 1.4'!$D:$F,3,0)</f>
        <v>297000</v>
      </c>
      <c r="L164" s="21">
        <f t="shared" si="20"/>
        <v>0</v>
      </c>
    </row>
    <row r="165" spans="1:12" ht="16.8" x14ac:dyDescent="0.3">
      <c r="A165" s="3"/>
      <c r="B165" s="36" t="s">
        <v>15585</v>
      </c>
      <c r="C165" s="27"/>
      <c r="D165" s="69"/>
      <c r="E165" s="1">
        <f t="shared" si="15"/>
        <v>0</v>
      </c>
      <c r="F165" s="69"/>
      <c r="G165" s="1">
        <f t="shared" si="18"/>
        <v>0</v>
      </c>
      <c r="J165" s="21"/>
      <c r="L165" s="21"/>
    </row>
    <row r="166" spans="1:12" ht="16.8" x14ac:dyDescent="0.3">
      <c r="A166" s="3">
        <v>1</v>
      </c>
      <c r="B166" s="30" t="s">
        <v>401</v>
      </c>
      <c r="C166" s="3" t="s">
        <v>6</v>
      </c>
      <c r="D166" s="64">
        <v>99000</v>
      </c>
      <c r="E166" s="1">
        <f t="shared" si="15"/>
        <v>106920</v>
      </c>
      <c r="F166" s="64">
        <v>198148</v>
      </c>
      <c r="G166" s="1">
        <f t="shared" si="18"/>
        <v>213999.84000000003</v>
      </c>
      <c r="I166" s="6">
        <f>VLOOKUP(B166,'GIÁ 1.4'!$D:$F,2,0)</f>
        <v>99000</v>
      </c>
      <c r="J166" s="21">
        <f t="shared" ref="J166:J197" si="21">D166-I166</f>
        <v>0</v>
      </c>
      <c r="K166" s="6">
        <f>VLOOKUP(B166,'GIÁ 1.4'!$D:$F,3,0)</f>
        <v>198148</v>
      </c>
      <c r="L166" s="21">
        <f t="shared" ref="L166:L197" si="22">F166-K166</f>
        <v>0</v>
      </c>
    </row>
    <row r="167" spans="1:12" ht="16.8" x14ac:dyDescent="0.3">
      <c r="A167" s="3">
        <v>2</v>
      </c>
      <c r="B167" s="23" t="s">
        <v>172</v>
      </c>
      <c r="C167" s="3" t="s">
        <v>6</v>
      </c>
      <c r="D167" s="64">
        <v>146000</v>
      </c>
      <c r="E167" s="1">
        <f t="shared" si="15"/>
        <v>157680</v>
      </c>
      <c r="F167" s="64">
        <v>291667</v>
      </c>
      <c r="G167" s="1">
        <f t="shared" si="18"/>
        <v>315000.36000000004</v>
      </c>
      <c r="I167" s="6">
        <f>VLOOKUP(B167,'GIÁ 1.4'!$D:$F,2,0)</f>
        <v>146000</v>
      </c>
      <c r="J167" s="21">
        <f t="shared" si="21"/>
        <v>0</v>
      </c>
      <c r="K167" s="6">
        <f>VLOOKUP(B167,'GIÁ 1.4'!$D:$F,3,0)</f>
        <v>291667</v>
      </c>
      <c r="L167" s="21">
        <f t="shared" si="22"/>
        <v>0</v>
      </c>
    </row>
    <row r="168" spans="1:12" ht="16.8" x14ac:dyDescent="0.3">
      <c r="A168" s="3">
        <v>3</v>
      </c>
      <c r="B168" s="30" t="s">
        <v>1063</v>
      </c>
      <c r="C168" s="3" t="s">
        <v>6</v>
      </c>
      <c r="D168" s="64">
        <v>66800</v>
      </c>
      <c r="E168" s="1">
        <f t="shared" si="15"/>
        <v>72144</v>
      </c>
      <c r="F168" s="64">
        <v>125926</v>
      </c>
      <c r="G168" s="1">
        <f t="shared" si="18"/>
        <v>136000.08000000002</v>
      </c>
      <c r="I168" s="6">
        <f>VLOOKUP(B168,'GIÁ 1.4'!$D:$F,2,0)</f>
        <v>66800</v>
      </c>
      <c r="J168" s="21">
        <f t="shared" si="21"/>
        <v>0</v>
      </c>
      <c r="K168" s="6">
        <f>VLOOKUP(B168,'GIÁ 1.4'!$D:$F,3,0)</f>
        <v>125926</v>
      </c>
      <c r="L168" s="21">
        <f t="shared" si="22"/>
        <v>0</v>
      </c>
    </row>
    <row r="169" spans="1:12" ht="16.8" x14ac:dyDescent="0.3">
      <c r="A169" s="3">
        <v>4</v>
      </c>
      <c r="B169" s="23" t="s">
        <v>1065</v>
      </c>
      <c r="C169" s="3" t="s">
        <v>6</v>
      </c>
      <c r="D169" s="64">
        <v>85800</v>
      </c>
      <c r="E169" s="1">
        <f t="shared" si="15"/>
        <v>92664</v>
      </c>
      <c r="F169" s="64">
        <v>151852</v>
      </c>
      <c r="G169" s="1">
        <f t="shared" si="18"/>
        <v>164000.16</v>
      </c>
      <c r="I169" s="6">
        <f>VLOOKUP(B169,'GIÁ 1.4'!$D:$F,2,0)</f>
        <v>85800</v>
      </c>
      <c r="J169" s="21">
        <f t="shared" si="21"/>
        <v>0</v>
      </c>
      <c r="K169" s="6">
        <f>VLOOKUP(B169,'GIÁ 1.4'!$D:$F,3,0)</f>
        <v>151852</v>
      </c>
      <c r="L169" s="21">
        <f t="shared" si="22"/>
        <v>0</v>
      </c>
    </row>
    <row r="170" spans="1:12" ht="16.8" x14ac:dyDescent="0.3">
      <c r="A170" s="3">
        <v>5</v>
      </c>
      <c r="B170" s="23" t="s">
        <v>967</v>
      </c>
      <c r="C170" s="3" t="s">
        <v>6</v>
      </c>
      <c r="D170" s="64">
        <v>85100</v>
      </c>
      <c r="E170" s="1">
        <f t="shared" si="15"/>
        <v>91908</v>
      </c>
      <c r="F170" s="64">
        <v>178704</v>
      </c>
      <c r="G170" s="1">
        <f t="shared" si="18"/>
        <v>193000.32000000001</v>
      </c>
      <c r="I170" s="6">
        <f>VLOOKUP(B170,'GIÁ 1.4'!$D:$F,2,0)</f>
        <v>85100</v>
      </c>
      <c r="J170" s="21">
        <f t="shared" si="21"/>
        <v>0</v>
      </c>
      <c r="K170" s="6">
        <f>VLOOKUP(B170,'GIÁ 1.4'!$D:$F,3,0)</f>
        <v>178704</v>
      </c>
      <c r="L170" s="21">
        <f t="shared" si="22"/>
        <v>0</v>
      </c>
    </row>
    <row r="171" spans="1:12" ht="16.8" x14ac:dyDescent="0.3">
      <c r="A171" s="3">
        <v>6</v>
      </c>
      <c r="B171" s="30" t="s">
        <v>661</v>
      </c>
      <c r="C171" s="3" t="s">
        <v>6</v>
      </c>
      <c r="D171" s="64">
        <v>56000</v>
      </c>
      <c r="E171" s="1">
        <f t="shared" si="15"/>
        <v>60480.000000000007</v>
      </c>
      <c r="F171" s="64">
        <v>112037</v>
      </c>
      <c r="G171" s="1">
        <f t="shared" si="18"/>
        <v>120999.96</v>
      </c>
      <c r="I171" s="6">
        <f>VLOOKUP(B171,'GIÁ 1.4'!$D:$F,2,0)</f>
        <v>56000</v>
      </c>
      <c r="J171" s="21">
        <f t="shared" si="21"/>
        <v>0</v>
      </c>
      <c r="K171" s="6">
        <f>VLOOKUP(B171,'GIÁ 1.4'!$D:$F,3,0)</f>
        <v>112037</v>
      </c>
      <c r="L171" s="21">
        <f t="shared" si="22"/>
        <v>0</v>
      </c>
    </row>
    <row r="172" spans="1:12" ht="16.8" x14ac:dyDescent="0.3">
      <c r="A172" s="3">
        <v>7</v>
      </c>
      <c r="B172" s="23" t="s">
        <v>367</v>
      </c>
      <c r="C172" s="4" t="s">
        <v>6</v>
      </c>
      <c r="D172" s="64">
        <v>71000</v>
      </c>
      <c r="E172" s="1">
        <f t="shared" si="15"/>
        <v>76680</v>
      </c>
      <c r="F172" s="64">
        <v>141667</v>
      </c>
      <c r="G172" s="1">
        <f t="shared" si="18"/>
        <v>153000.36000000002</v>
      </c>
      <c r="I172" s="6">
        <f>VLOOKUP(B172,'GIÁ 1.4'!$D:$F,2,0)</f>
        <v>71000</v>
      </c>
      <c r="J172" s="21">
        <f t="shared" si="21"/>
        <v>0</v>
      </c>
      <c r="K172" s="6">
        <f>VLOOKUP(B172,'GIÁ 1.4'!$D:$F,3,0)</f>
        <v>141667</v>
      </c>
      <c r="L172" s="21">
        <f t="shared" si="22"/>
        <v>0</v>
      </c>
    </row>
    <row r="173" spans="1:12" ht="16.8" x14ac:dyDescent="0.3">
      <c r="A173" s="3">
        <v>8</v>
      </c>
      <c r="B173" s="23" t="s">
        <v>475</v>
      </c>
      <c r="C173" s="3" t="s">
        <v>6</v>
      </c>
      <c r="D173" s="64">
        <v>77900</v>
      </c>
      <c r="E173" s="1">
        <f t="shared" si="15"/>
        <v>84132</v>
      </c>
      <c r="F173" s="64">
        <v>146296</v>
      </c>
      <c r="G173" s="1">
        <f t="shared" si="18"/>
        <v>157999.68000000002</v>
      </c>
      <c r="I173" s="6">
        <f>VLOOKUP(B173,'GIÁ 1.4'!$D:$F,2,0)</f>
        <v>77900</v>
      </c>
      <c r="J173" s="21">
        <f t="shared" si="21"/>
        <v>0</v>
      </c>
      <c r="K173" s="6">
        <f>VLOOKUP(B173,'GIÁ 1.4'!$D:$F,3,0)</f>
        <v>146296</v>
      </c>
      <c r="L173" s="21">
        <f t="shared" si="22"/>
        <v>0</v>
      </c>
    </row>
    <row r="174" spans="1:12" ht="16.8" x14ac:dyDescent="0.3">
      <c r="A174" s="3">
        <v>9</v>
      </c>
      <c r="B174" s="30" t="s">
        <v>603</v>
      </c>
      <c r="C174" s="3" t="s">
        <v>6</v>
      </c>
      <c r="D174" s="64">
        <v>81000</v>
      </c>
      <c r="E174" s="1">
        <f t="shared" si="15"/>
        <v>87480</v>
      </c>
      <c r="F174" s="64">
        <v>180000</v>
      </c>
      <c r="G174" s="1">
        <f t="shared" si="18"/>
        <v>194400</v>
      </c>
      <c r="I174" s="6">
        <f>VLOOKUP(B174,'GIÁ 1.4'!$D:$F,2,0)</f>
        <v>81000</v>
      </c>
      <c r="J174" s="21">
        <f t="shared" si="21"/>
        <v>0</v>
      </c>
      <c r="K174" s="6">
        <f>VLOOKUP(B174,'GIÁ 1.4'!$D:$F,3,0)</f>
        <v>180000</v>
      </c>
      <c r="L174" s="21">
        <f t="shared" si="22"/>
        <v>0</v>
      </c>
    </row>
    <row r="175" spans="1:12" ht="16.8" x14ac:dyDescent="0.3">
      <c r="A175" s="3">
        <v>10</v>
      </c>
      <c r="B175" s="30" t="s">
        <v>13737</v>
      </c>
      <c r="C175" s="3" t="s">
        <v>6</v>
      </c>
      <c r="D175" s="64">
        <v>532000</v>
      </c>
      <c r="E175" s="1">
        <f t="shared" si="15"/>
        <v>574560</v>
      </c>
      <c r="F175" s="64">
        <v>1063889</v>
      </c>
      <c r="G175" s="1">
        <f t="shared" si="18"/>
        <v>1149000.1200000001</v>
      </c>
      <c r="I175" s="6">
        <f>VLOOKUP(B175,'GIÁ 1.4'!$D:$F,2,0)</f>
        <v>532000</v>
      </c>
      <c r="J175" s="21">
        <f t="shared" si="21"/>
        <v>0</v>
      </c>
      <c r="K175" s="6">
        <f>VLOOKUP(B175,'GIÁ 1.4'!$D:$F,3,0)</f>
        <v>1063889</v>
      </c>
      <c r="L175" s="21">
        <f t="shared" si="22"/>
        <v>0</v>
      </c>
    </row>
    <row r="176" spans="1:12" ht="16.8" x14ac:dyDescent="0.3">
      <c r="A176" s="3">
        <v>11</v>
      </c>
      <c r="B176" s="30" t="s">
        <v>10556</v>
      </c>
      <c r="C176" s="3" t="s">
        <v>6</v>
      </c>
      <c r="D176" s="64">
        <v>532000</v>
      </c>
      <c r="E176" s="1">
        <f t="shared" si="15"/>
        <v>574560</v>
      </c>
      <c r="F176" s="64">
        <v>1063889</v>
      </c>
      <c r="G176" s="1">
        <f t="shared" si="18"/>
        <v>1149000.1200000001</v>
      </c>
      <c r="I176" s="6">
        <f>VLOOKUP(B176,'GIÁ 1.4'!$D:$F,2,0)</f>
        <v>532000</v>
      </c>
      <c r="J176" s="21">
        <f t="shared" si="21"/>
        <v>0</v>
      </c>
      <c r="K176" s="6">
        <f>VLOOKUP(B176,'GIÁ 1.4'!$D:$F,3,0)</f>
        <v>1063889</v>
      </c>
      <c r="L176" s="21">
        <f t="shared" si="22"/>
        <v>0</v>
      </c>
    </row>
    <row r="177" spans="1:12" ht="16.8" x14ac:dyDescent="0.3">
      <c r="A177" s="3">
        <v>12</v>
      </c>
      <c r="B177" s="30" t="s">
        <v>8650</v>
      </c>
      <c r="C177" s="3" t="s">
        <v>6</v>
      </c>
      <c r="D177" s="64">
        <v>783000</v>
      </c>
      <c r="E177" s="1">
        <f t="shared" si="15"/>
        <v>845640</v>
      </c>
      <c r="F177" s="64">
        <v>1565741</v>
      </c>
      <c r="G177" s="1">
        <f t="shared" si="18"/>
        <v>1691000.28</v>
      </c>
      <c r="I177" s="6">
        <f>VLOOKUP(B177,'GIÁ 1.4'!$D:$F,2,0)</f>
        <v>783000</v>
      </c>
      <c r="J177" s="21">
        <f t="shared" si="21"/>
        <v>0</v>
      </c>
      <c r="K177" s="6">
        <f>VLOOKUP(B177,'GIÁ 1.4'!$D:$F,3,0)</f>
        <v>1565741</v>
      </c>
      <c r="L177" s="21">
        <f t="shared" si="22"/>
        <v>0</v>
      </c>
    </row>
    <row r="178" spans="1:12" ht="16.8" x14ac:dyDescent="0.3">
      <c r="A178" s="3">
        <v>13</v>
      </c>
      <c r="B178" s="30" t="s">
        <v>299</v>
      </c>
      <c r="C178" s="3" t="s">
        <v>6</v>
      </c>
      <c r="D178" s="64">
        <v>210000</v>
      </c>
      <c r="E178" s="1">
        <f t="shared" si="15"/>
        <v>226800.00000000003</v>
      </c>
      <c r="F178" s="64">
        <v>420370</v>
      </c>
      <c r="G178" s="1">
        <f t="shared" si="18"/>
        <v>453999.60000000003</v>
      </c>
      <c r="I178" s="6">
        <f>VLOOKUP(B178,'GIÁ 1.4'!$D:$F,2,0)</f>
        <v>210000</v>
      </c>
      <c r="J178" s="21">
        <f t="shared" si="21"/>
        <v>0</v>
      </c>
      <c r="K178" s="6">
        <f>VLOOKUP(B178,'GIÁ 1.4'!$D:$F,3,0)</f>
        <v>420370</v>
      </c>
      <c r="L178" s="21">
        <f t="shared" si="22"/>
        <v>0</v>
      </c>
    </row>
    <row r="179" spans="1:12" ht="16.8" x14ac:dyDescent="0.3">
      <c r="A179" s="3">
        <v>14</v>
      </c>
      <c r="B179" s="30" t="s">
        <v>204</v>
      </c>
      <c r="C179" s="3" t="s">
        <v>6</v>
      </c>
      <c r="D179" s="64">
        <v>304000</v>
      </c>
      <c r="E179" s="1">
        <f t="shared" si="15"/>
        <v>328320</v>
      </c>
      <c r="F179" s="64">
        <v>574000</v>
      </c>
      <c r="G179" s="1">
        <f t="shared" si="18"/>
        <v>619920</v>
      </c>
      <c r="I179" s="6">
        <f>VLOOKUP(B179,'GIÁ 1.4'!$D:$F,2,0)</f>
        <v>304000</v>
      </c>
      <c r="J179" s="21">
        <f t="shared" si="21"/>
        <v>0</v>
      </c>
      <c r="K179" s="6">
        <f>VLOOKUP(B179,'GIÁ 1.4'!$D:$F,3,0)</f>
        <v>574000</v>
      </c>
      <c r="L179" s="21">
        <f t="shared" si="22"/>
        <v>0</v>
      </c>
    </row>
    <row r="180" spans="1:12" ht="16.8" x14ac:dyDescent="0.3">
      <c r="A180" s="3">
        <v>15</v>
      </c>
      <c r="B180" s="30" t="s">
        <v>353</v>
      </c>
      <c r="C180" s="3" t="s">
        <v>6</v>
      </c>
      <c r="D180" s="64">
        <v>453000</v>
      </c>
      <c r="E180" s="1">
        <f t="shared" si="15"/>
        <v>489240.00000000006</v>
      </c>
      <c r="F180" s="64">
        <v>816000</v>
      </c>
      <c r="G180" s="1">
        <f t="shared" si="18"/>
        <v>881280</v>
      </c>
      <c r="I180" s="6">
        <f>VLOOKUP(B180,'GIÁ 1.4'!$D:$F,2,0)</f>
        <v>453000</v>
      </c>
      <c r="J180" s="21">
        <f t="shared" si="21"/>
        <v>0</v>
      </c>
      <c r="K180" s="6">
        <f>VLOOKUP(B180,'GIÁ 1.4'!$D:$F,3,0)</f>
        <v>816000</v>
      </c>
      <c r="L180" s="21">
        <f t="shared" si="22"/>
        <v>0</v>
      </c>
    </row>
    <row r="181" spans="1:12" ht="16.8" x14ac:dyDescent="0.3">
      <c r="A181" s="3">
        <v>16</v>
      </c>
      <c r="B181" s="30" t="s">
        <v>8148</v>
      </c>
      <c r="C181" s="3" t="s">
        <v>6</v>
      </c>
      <c r="D181" s="64">
        <v>550000</v>
      </c>
      <c r="E181" s="1">
        <f t="shared" ref="E181:E244" si="23">D181*1.08</f>
        <v>594000</v>
      </c>
      <c r="F181" s="64">
        <v>1100000</v>
      </c>
      <c r="G181" s="1">
        <f t="shared" si="18"/>
        <v>1188000</v>
      </c>
      <c r="I181" s="6">
        <f>VLOOKUP(B181,'GIÁ 1.4'!$D:$F,2,0)</f>
        <v>550000</v>
      </c>
      <c r="J181" s="21">
        <f t="shared" si="21"/>
        <v>0</v>
      </c>
      <c r="K181" s="6">
        <f>VLOOKUP(B181,'GIÁ 1.4'!$D:$F,3,0)</f>
        <v>1100000</v>
      </c>
      <c r="L181" s="21">
        <f t="shared" si="22"/>
        <v>0</v>
      </c>
    </row>
    <row r="182" spans="1:12" ht="16.8" x14ac:dyDescent="0.3">
      <c r="A182" s="3">
        <v>17</v>
      </c>
      <c r="B182" s="30" t="s">
        <v>10560</v>
      </c>
      <c r="C182" s="3" t="s">
        <v>6</v>
      </c>
      <c r="D182" s="64">
        <v>0</v>
      </c>
      <c r="E182" s="1">
        <f t="shared" si="23"/>
        <v>0</v>
      </c>
      <c r="F182" s="64">
        <v>695000</v>
      </c>
      <c r="G182" s="1">
        <f t="shared" si="18"/>
        <v>750600</v>
      </c>
      <c r="I182" s="6">
        <f>VLOOKUP(B182,'GIÁ 1.4'!$D:$F,2,0)</f>
        <v>0</v>
      </c>
      <c r="J182" s="21">
        <f t="shared" si="21"/>
        <v>0</v>
      </c>
      <c r="K182" s="6">
        <f>VLOOKUP(B182,'GIÁ 1.4'!$D:$F,3,0)</f>
        <v>695000</v>
      </c>
      <c r="L182" s="21">
        <f t="shared" si="22"/>
        <v>0</v>
      </c>
    </row>
    <row r="183" spans="1:12" ht="16.8" x14ac:dyDescent="0.3">
      <c r="A183" s="3">
        <v>18</v>
      </c>
      <c r="B183" s="30" t="s">
        <v>8596</v>
      </c>
      <c r="C183" s="3" t="s">
        <v>6</v>
      </c>
      <c r="D183" s="64">
        <v>0</v>
      </c>
      <c r="E183" s="1">
        <f t="shared" si="23"/>
        <v>0</v>
      </c>
      <c r="F183" s="64">
        <v>695000</v>
      </c>
      <c r="G183" s="1">
        <f t="shared" si="18"/>
        <v>750600</v>
      </c>
      <c r="I183" s="6">
        <f>VLOOKUP(B183,'GIÁ 1.4'!$D:$F,2,0)</f>
        <v>0</v>
      </c>
      <c r="J183" s="21">
        <f t="shared" si="21"/>
        <v>0</v>
      </c>
      <c r="K183" s="6">
        <f>VLOOKUP(B183,'GIÁ 1.4'!$D:$F,3,0)</f>
        <v>695000</v>
      </c>
      <c r="L183" s="21">
        <f t="shared" si="22"/>
        <v>0</v>
      </c>
    </row>
    <row r="184" spans="1:12" ht="16.8" x14ac:dyDescent="0.3">
      <c r="A184" s="3">
        <v>19</v>
      </c>
      <c r="B184" s="30" t="s">
        <v>809</v>
      </c>
      <c r="C184" s="3" t="s">
        <v>6</v>
      </c>
      <c r="D184" s="64">
        <v>70000</v>
      </c>
      <c r="E184" s="1">
        <f t="shared" si="23"/>
        <v>75600</v>
      </c>
      <c r="F184" s="64">
        <v>139815</v>
      </c>
      <c r="G184" s="1">
        <f t="shared" si="18"/>
        <v>151000.20000000001</v>
      </c>
      <c r="I184" s="6">
        <f>VLOOKUP(B184,'GIÁ 1.4'!$D:$F,2,0)</f>
        <v>70000</v>
      </c>
      <c r="J184" s="21">
        <f t="shared" si="21"/>
        <v>0</v>
      </c>
      <c r="K184" s="6">
        <f>VLOOKUP(B184,'GIÁ 1.4'!$D:$F,3,0)</f>
        <v>139815</v>
      </c>
      <c r="L184" s="21">
        <f t="shared" si="22"/>
        <v>0</v>
      </c>
    </row>
    <row r="185" spans="1:12" ht="16.8" x14ac:dyDescent="0.3">
      <c r="A185" s="3">
        <v>20</v>
      </c>
      <c r="B185" s="30" t="s">
        <v>813</v>
      </c>
      <c r="C185" s="3" t="s">
        <v>6</v>
      </c>
      <c r="D185" s="64">
        <v>98600</v>
      </c>
      <c r="E185" s="1">
        <f t="shared" si="23"/>
        <v>106488</v>
      </c>
      <c r="F185" s="64">
        <v>197222</v>
      </c>
      <c r="G185" s="1">
        <f t="shared" si="18"/>
        <v>212999.76</v>
      </c>
      <c r="I185" s="6">
        <f>VLOOKUP(B185,'GIÁ 1.4'!$D:$F,2,0)</f>
        <v>98600</v>
      </c>
      <c r="J185" s="21">
        <f t="shared" si="21"/>
        <v>0</v>
      </c>
      <c r="K185" s="6">
        <f>VLOOKUP(B185,'GIÁ 1.4'!$D:$F,3,0)</f>
        <v>197222</v>
      </c>
      <c r="L185" s="21">
        <f t="shared" si="22"/>
        <v>0</v>
      </c>
    </row>
    <row r="186" spans="1:12" ht="16.8" x14ac:dyDescent="0.3">
      <c r="A186" s="3">
        <v>21</v>
      </c>
      <c r="B186" s="30" t="s">
        <v>669</v>
      </c>
      <c r="C186" s="3" t="s">
        <v>6</v>
      </c>
      <c r="D186" s="64">
        <v>126000</v>
      </c>
      <c r="E186" s="1">
        <f t="shared" si="23"/>
        <v>136080</v>
      </c>
      <c r="F186" s="64">
        <v>251852</v>
      </c>
      <c r="G186" s="1">
        <f t="shared" si="18"/>
        <v>272000.16000000003</v>
      </c>
      <c r="I186" s="6">
        <f>VLOOKUP(B186,'GIÁ 1.4'!$D:$F,2,0)</f>
        <v>126000</v>
      </c>
      <c r="J186" s="21">
        <f t="shared" si="21"/>
        <v>0</v>
      </c>
      <c r="K186" s="6">
        <f>VLOOKUP(B186,'GIÁ 1.4'!$D:$F,3,0)</f>
        <v>251852</v>
      </c>
      <c r="L186" s="21">
        <f t="shared" si="22"/>
        <v>0</v>
      </c>
    </row>
    <row r="187" spans="1:12" ht="16.8" x14ac:dyDescent="0.3">
      <c r="A187" s="3">
        <v>22</v>
      </c>
      <c r="B187" s="2" t="s">
        <v>973</v>
      </c>
      <c r="C187" s="33" t="s">
        <v>6</v>
      </c>
      <c r="D187" s="66">
        <v>155000</v>
      </c>
      <c r="E187" s="5">
        <f t="shared" si="23"/>
        <v>167400</v>
      </c>
      <c r="F187" s="66">
        <v>310185</v>
      </c>
      <c r="G187" s="5">
        <v>440000</v>
      </c>
      <c r="I187" s="6">
        <f>VLOOKUP(B187,'GIÁ 1.4'!$D:$F,2,0)</f>
        <v>155000</v>
      </c>
      <c r="J187" s="21">
        <f t="shared" si="21"/>
        <v>0</v>
      </c>
      <c r="K187" s="6">
        <f>VLOOKUP(B187,'GIÁ 1.4'!$D:$F,3,0)</f>
        <v>310185</v>
      </c>
      <c r="L187" s="21">
        <f t="shared" si="22"/>
        <v>0</v>
      </c>
    </row>
    <row r="188" spans="1:12" ht="16.8" x14ac:dyDescent="0.3">
      <c r="A188" s="3">
        <v>23</v>
      </c>
      <c r="B188" s="30" t="s">
        <v>1059</v>
      </c>
      <c r="C188" s="3" t="s">
        <v>6</v>
      </c>
      <c r="D188" s="64">
        <v>98600</v>
      </c>
      <c r="E188" s="1">
        <f t="shared" si="23"/>
        <v>106488</v>
      </c>
      <c r="F188" s="64">
        <v>197222</v>
      </c>
      <c r="G188" s="1">
        <f>F188*1.08</f>
        <v>212999.76</v>
      </c>
      <c r="I188" s="6">
        <f>VLOOKUP(B188,'GIÁ 1.4'!$D:$F,2,0)</f>
        <v>98600</v>
      </c>
      <c r="J188" s="21">
        <f t="shared" si="21"/>
        <v>0</v>
      </c>
      <c r="K188" s="6">
        <f>VLOOKUP(B188,'GIÁ 1.4'!$D:$F,3,0)</f>
        <v>197222</v>
      </c>
      <c r="L188" s="21">
        <f t="shared" si="22"/>
        <v>0</v>
      </c>
    </row>
    <row r="189" spans="1:12" ht="16.8" x14ac:dyDescent="0.3">
      <c r="A189" s="3">
        <v>24</v>
      </c>
      <c r="B189" s="30" t="s">
        <v>170</v>
      </c>
      <c r="C189" s="3" t="s">
        <v>6</v>
      </c>
      <c r="D189" s="64">
        <v>126000</v>
      </c>
      <c r="E189" s="1">
        <f t="shared" si="23"/>
        <v>136080</v>
      </c>
      <c r="F189" s="64">
        <v>251852</v>
      </c>
      <c r="G189" s="1">
        <f>F189*1.08</f>
        <v>272000.16000000003</v>
      </c>
      <c r="I189" s="6">
        <f>VLOOKUP(B189,'GIÁ 1.4'!$D:$F,2,0)</f>
        <v>126000</v>
      </c>
      <c r="J189" s="21">
        <f t="shared" si="21"/>
        <v>0</v>
      </c>
      <c r="K189" s="6">
        <f>VLOOKUP(B189,'GIÁ 1.4'!$D:$F,3,0)</f>
        <v>251852</v>
      </c>
      <c r="L189" s="21">
        <f t="shared" si="22"/>
        <v>0</v>
      </c>
    </row>
    <row r="190" spans="1:12" ht="16.8" x14ac:dyDescent="0.3">
      <c r="A190" s="3">
        <v>25</v>
      </c>
      <c r="B190" s="2" t="s">
        <v>521</v>
      </c>
      <c r="C190" s="33" t="s">
        <v>6</v>
      </c>
      <c r="D190" s="66">
        <v>155000</v>
      </c>
      <c r="E190" s="5">
        <f t="shared" si="23"/>
        <v>167400</v>
      </c>
      <c r="F190" s="66">
        <v>310185</v>
      </c>
      <c r="G190" s="5">
        <v>440000</v>
      </c>
      <c r="I190" s="6">
        <f>VLOOKUP(B190,'GIÁ 1.4'!$D:$F,2,0)</f>
        <v>155000</v>
      </c>
      <c r="J190" s="21">
        <f t="shared" si="21"/>
        <v>0</v>
      </c>
      <c r="K190" s="6">
        <f>VLOOKUP(B190,'GIÁ 1.4'!$D:$F,3,0)</f>
        <v>310185</v>
      </c>
      <c r="L190" s="21">
        <f t="shared" si="22"/>
        <v>0</v>
      </c>
    </row>
    <row r="191" spans="1:12" ht="16.8" x14ac:dyDescent="0.3">
      <c r="A191" s="3">
        <v>26</v>
      </c>
      <c r="B191" s="30" t="s">
        <v>1963</v>
      </c>
      <c r="C191" s="3" t="s">
        <v>6</v>
      </c>
      <c r="D191" s="64">
        <v>44000</v>
      </c>
      <c r="E191" s="1">
        <f t="shared" si="23"/>
        <v>47520</v>
      </c>
      <c r="F191" s="64">
        <v>87963</v>
      </c>
      <c r="G191" s="1">
        <f t="shared" ref="G191:G216" si="24">F191*1.08</f>
        <v>95000.040000000008</v>
      </c>
      <c r="I191" s="6">
        <f>VLOOKUP(B191,'GIÁ 1.4'!$D:$F,2,0)</f>
        <v>44000</v>
      </c>
      <c r="J191" s="21">
        <f t="shared" si="21"/>
        <v>0</v>
      </c>
      <c r="K191" s="6">
        <f>VLOOKUP(B191,'GIÁ 1.4'!$D:$F,3,0)</f>
        <v>87963</v>
      </c>
      <c r="L191" s="21">
        <f t="shared" si="22"/>
        <v>0</v>
      </c>
    </row>
    <row r="192" spans="1:12" ht="16.8" x14ac:dyDescent="0.3">
      <c r="A192" s="3">
        <v>27</v>
      </c>
      <c r="B192" s="30" t="s">
        <v>2021</v>
      </c>
      <c r="C192" s="3" t="s">
        <v>6</v>
      </c>
      <c r="D192" s="64">
        <v>11000</v>
      </c>
      <c r="E192" s="1">
        <f t="shared" si="23"/>
        <v>11880</v>
      </c>
      <c r="F192" s="64">
        <v>22222</v>
      </c>
      <c r="G192" s="1">
        <f t="shared" si="24"/>
        <v>23999.760000000002</v>
      </c>
      <c r="I192" s="6">
        <f>VLOOKUP(B192,'GIÁ 1.4'!$D:$F,2,0)</f>
        <v>11000</v>
      </c>
      <c r="J192" s="21">
        <f t="shared" si="21"/>
        <v>0</v>
      </c>
      <c r="K192" s="6">
        <f>VLOOKUP(B192,'GIÁ 1.4'!$D:$F,3,0)</f>
        <v>22222</v>
      </c>
      <c r="L192" s="21">
        <f t="shared" si="22"/>
        <v>0</v>
      </c>
    </row>
    <row r="193" spans="1:12" ht="16.8" x14ac:dyDescent="0.3">
      <c r="A193" s="3">
        <v>28</v>
      </c>
      <c r="B193" s="23" t="s">
        <v>765</v>
      </c>
      <c r="C193" s="3" t="s">
        <v>6</v>
      </c>
      <c r="D193" s="64">
        <v>162000</v>
      </c>
      <c r="E193" s="1">
        <f t="shared" si="23"/>
        <v>174960</v>
      </c>
      <c r="F193" s="64">
        <v>324074</v>
      </c>
      <c r="G193" s="1">
        <f t="shared" si="24"/>
        <v>349999.92000000004</v>
      </c>
      <c r="I193" s="6">
        <f>VLOOKUP(B193,'GIÁ 1.4'!$D:$F,2,0)</f>
        <v>162000</v>
      </c>
      <c r="J193" s="21">
        <f t="shared" si="21"/>
        <v>0</v>
      </c>
      <c r="K193" s="6">
        <f>VLOOKUP(B193,'GIÁ 1.4'!$D:$F,3,0)</f>
        <v>324074</v>
      </c>
      <c r="L193" s="21">
        <f t="shared" si="22"/>
        <v>0</v>
      </c>
    </row>
    <row r="194" spans="1:12" ht="16.8" x14ac:dyDescent="0.3">
      <c r="A194" s="3">
        <v>29</v>
      </c>
      <c r="B194" s="30" t="s">
        <v>555</v>
      </c>
      <c r="C194" s="3" t="s">
        <v>6</v>
      </c>
      <c r="D194" s="64">
        <v>52700</v>
      </c>
      <c r="E194" s="1">
        <f t="shared" si="23"/>
        <v>56916.000000000007</v>
      </c>
      <c r="F194" s="64">
        <v>97963</v>
      </c>
      <c r="G194" s="1">
        <f t="shared" si="24"/>
        <v>105800.04000000001</v>
      </c>
      <c r="I194" s="6">
        <f>VLOOKUP(B194,'GIÁ 1.4'!$D:$F,2,0)</f>
        <v>52700</v>
      </c>
      <c r="J194" s="21">
        <f t="shared" si="21"/>
        <v>0</v>
      </c>
      <c r="K194" s="6">
        <f>VLOOKUP(B194,'GIÁ 1.4'!$D:$F,3,0)</f>
        <v>97963</v>
      </c>
      <c r="L194" s="21">
        <f t="shared" si="22"/>
        <v>0</v>
      </c>
    </row>
    <row r="195" spans="1:12" ht="16.8" x14ac:dyDescent="0.3">
      <c r="A195" s="3">
        <v>30</v>
      </c>
      <c r="B195" s="30" t="s">
        <v>154</v>
      </c>
      <c r="C195" s="3" t="s">
        <v>6</v>
      </c>
      <c r="D195" s="64">
        <v>58600</v>
      </c>
      <c r="E195" s="1">
        <f t="shared" si="23"/>
        <v>63288.000000000007</v>
      </c>
      <c r="F195" s="64">
        <v>103704</v>
      </c>
      <c r="G195" s="1">
        <f t="shared" si="24"/>
        <v>112000.32000000001</v>
      </c>
      <c r="I195" s="6">
        <f>VLOOKUP(B195,'GIÁ 1.4'!$D:$F,2,0)</f>
        <v>58600</v>
      </c>
      <c r="J195" s="21">
        <f t="shared" si="21"/>
        <v>0</v>
      </c>
      <c r="K195" s="6">
        <f>VLOOKUP(B195,'GIÁ 1.4'!$D:$F,3,0)</f>
        <v>103704</v>
      </c>
      <c r="L195" s="21">
        <f t="shared" si="22"/>
        <v>0</v>
      </c>
    </row>
    <row r="196" spans="1:12" ht="16.8" x14ac:dyDescent="0.3">
      <c r="A196" s="3">
        <v>31</v>
      </c>
      <c r="B196" s="30" t="s">
        <v>1005</v>
      </c>
      <c r="C196" s="3" t="s">
        <v>6</v>
      </c>
      <c r="D196" s="64">
        <v>82500</v>
      </c>
      <c r="E196" s="1">
        <f t="shared" si="23"/>
        <v>89100</v>
      </c>
      <c r="F196" s="64">
        <v>146296</v>
      </c>
      <c r="G196" s="1">
        <f t="shared" si="24"/>
        <v>157999.68000000002</v>
      </c>
      <c r="I196" s="6">
        <f>VLOOKUP(B196,'GIÁ 1.4'!$D:$F,2,0)</f>
        <v>82500</v>
      </c>
      <c r="J196" s="21">
        <f t="shared" si="21"/>
        <v>0</v>
      </c>
      <c r="K196" s="6">
        <f>VLOOKUP(B196,'GIÁ 1.4'!$D:$F,3,0)</f>
        <v>146296</v>
      </c>
      <c r="L196" s="21">
        <f t="shared" si="22"/>
        <v>0</v>
      </c>
    </row>
    <row r="197" spans="1:12" ht="16.8" x14ac:dyDescent="0.3">
      <c r="A197" s="3">
        <v>32</v>
      </c>
      <c r="B197" s="30" t="s">
        <v>903</v>
      </c>
      <c r="C197" s="3" t="s">
        <v>6</v>
      </c>
      <c r="D197" s="64">
        <v>110800</v>
      </c>
      <c r="E197" s="1">
        <f t="shared" si="23"/>
        <v>119664.00000000001</v>
      </c>
      <c r="F197" s="64">
        <v>200000</v>
      </c>
      <c r="G197" s="1">
        <f t="shared" si="24"/>
        <v>216000</v>
      </c>
      <c r="I197" s="6">
        <f>VLOOKUP(B197,'GIÁ 1.4'!$D:$F,2,0)</f>
        <v>110800</v>
      </c>
      <c r="J197" s="21">
        <f t="shared" si="21"/>
        <v>0</v>
      </c>
      <c r="K197" s="6">
        <f>VLOOKUP(B197,'GIÁ 1.4'!$D:$F,3,0)</f>
        <v>200000</v>
      </c>
      <c r="L197" s="21">
        <f t="shared" si="22"/>
        <v>0</v>
      </c>
    </row>
    <row r="198" spans="1:12" ht="16.8" x14ac:dyDescent="0.3">
      <c r="A198" s="3">
        <v>33</v>
      </c>
      <c r="B198" s="30" t="s">
        <v>218</v>
      </c>
      <c r="C198" s="3" t="s">
        <v>6</v>
      </c>
      <c r="D198" s="64">
        <v>400000</v>
      </c>
      <c r="E198" s="1">
        <f t="shared" si="23"/>
        <v>432000</v>
      </c>
      <c r="F198" s="64">
        <v>800000</v>
      </c>
      <c r="G198" s="1">
        <f t="shared" si="24"/>
        <v>864000</v>
      </c>
      <c r="I198" s="6">
        <f>VLOOKUP(B198,'GIÁ 1.4'!$D:$F,2,0)</f>
        <v>400000</v>
      </c>
      <c r="J198" s="21">
        <f t="shared" ref="J198:J222" si="25">D198-I198</f>
        <v>0</v>
      </c>
      <c r="K198" s="6">
        <f>VLOOKUP(B198,'GIÁ 1.4'!$D:$F,3,0)</f>
        <v>800000</v>
      </c>
      <c r="L198" s="21">
        <f t="shared" ref="L198:L222" si="26">F198-K198</f>
        <v>0</v>
      </c>
    </row>
    <row r="199" spans="1:12" ht="16.8" x14ac:dyDescent="0.3">
      <c r="A199" s="3">
        <v>34</v>
      </c>
      <c r="B199" s="30" t="s">
        <v>949</v>
      </c>
      <c r="C199" s="3" t="s">
        <v>6</v>
      </c>
      <c r="D199" s="64">
        <v>555000</v>
      </c>
      <c r="E199" s="1">
        <f t="shared" si="23"/>
        <v>599400</v>
      </c>
      <c r="F199" s="64">
        <v>1110185</v>
      </c>
      <c r="G199" s="1">
        <f t="shared" si="24"/>
        <v>1198999.8</v>
      </c>
      <c r="I199" s="6">
        <f>VLOOKUP(B199,'GIÁ 1.4'!$D:$F,2,0)</f>
        <v>555000</v>
      </c>
      <c r="J199" s="21">
        <f t="shared" si="25"/>
        <v>0</v>
      </c>
      <c r="K199" s="6">
        <f>VLOOKUP(B199,'GIÁ 1.4'!$D:$F,3,0)</f>
        <v>1110185</v>
      </c>
      <c r="L199" s="21">
        <f t="shared" si="26"/>
        <v>0</v>
      </c>
    </row>
    <row r="200" spans="1:12" ht="16.8" x14ac:dyDescent="0.3">
      <c r="A200" s="3">
        <v>35</v>
      </c>
      <c r="B200" s="30" t="s">
        <v>613</v>
      </c>
      <c r="C200" s="3" t="s">
        <v>6</v>
      </c>
      <c r="D200" s="64">
        <v>361000</v>
      </c>
      <c r="E200" s="1">
        <f t="shared" si="23"/>
        <v>389880</v>
      </c>
      <c r="F200" s="64">
        <v>722222</v>
      </c>
      <c r="G200" s="1">
        <f t="shared" si="24"/>
        <v>779999.76</v>
      </c>
      <c r="I200" s="6">
        <f>VLOOKUP(B200,'GIÁ 1.4'!$D:$F,2,0)</f>
        <v>361000</v>
      </c>
      <c r="J200" s="21">
        <f t="shared" si="25"/>
        <v>0</v>
      </c>
      <c r="K200" s="6">
        <f>VLOOKUP(B200,'GIÁ 1.4'!$D:$F,3,0)</f>
        <v>722222</v>
      </c>
      <c r="L200" s="21">
        <f t="shared" si="26"/>
        <v>0</v>
      </c>
    </row>
    <row r="201" spans="1:12" ht="16.8" x14ac:dyDescent="0.3">
      <c r="A201" s="3">
        <v>36</v>
      </c>
      <c r="B201" s="30" t="s">
        <v>226</v>
      </c>
      <c r="C201" s="3" t="s">
        <v>6</v>
      </c>
      <c r="D201" s="64">
        <v>474000</v>
      </c>
      <c r="E201" s="1">
        <f t="shared" si="23"/>
        <v>511920.00000000006</v>
      </c>
      <c r="F201" s="64">
        <v>948148</v>
      </c>
      <c r="G201" s="1">
        <f t="shared" si="24"/>
        <v>1023999.8400000001</v>
      </c>
      <c r="I201" s="6">
        <f>VLOOKUP(B201,'GIÁ 1.4'!$D:$F,2,0)</f>
        <v>474000</v>
      </c>
      <c r="J201" s="21">
        <f t="shared" si="25"/>
        <v>0</v>
      </c>
      <c r="K201" s="6">
        <f>VLOOKUP(B201,'GIÁ 1.4'!$D:$F,3,0)</f>
        <v>948148</v>
      </c>
      <c r="L201" s="21">
        <f t="shared" si="26"/>
        <v>0</v>
      </c>
    </row>
    <row r="202" spans="1:12" ht="16.8" x14ac:dyDescent="0.3">
      <c r="A202" s="3">
        <v>37</v>
      </c>
      <c r="B202" s="30" t="s">
        <v>361</v>
      </c>
      <c r="C202" s="3" t="s">
        <v>6</v>
      </c>
      <c r="D202" s="64">
        <v>112900</v>
      </c>
      <c r="E202" s="1">
        <f t="shared" si="23"/>
        <v>121932.00000000001</v>
      </c>
      <c r="F202" s="64">
        <v>194000</v>
      </c>
      <c r="G202" s="1">
        <f t="shared" si="24"/>
        <v>209520</v>
      </c>
      <c r="I202" s="6">
        <f>VLOOKUP(B202,'GIÁ 1.4'!$D:$F,2,0)</f>
        <v>112900</v>
      </c>
      <c r="J202" s="21">
        <f t="shared" si="25"/>
        <v>0</v>
      </c>
      <c r="K202" s="6">
        <f>VLOOKUP(B202,'GIÁ 1.4'!$D:$F,3,0)</f>
        <v>194000</v>
      </c>
      <c r="L202" s="21">
        <f t="shared" si="26"/>
        <v>0</v>
      </c>
    </row>
    <row r="203" spans="1:12" ht="16.8" x14ac:dyDescent="0.3">
      <c r="A203" s="3">
        <v>38</v>
      </c>
      <c r="B203" s="30" t="s">
        <v>601</v>
      </c>
      <c r="C203" s="3" t="s">
        <v>6</v>
      </c>
      <c r="D203" s="64">
        <v>124000</v>
      </c>
      <c r="E203" s="1">
        <f t="shared" si="23"/>
        <v>133920</v>
      </c>
      <c r="F203" s="64">
        <v>248000</v>
      </c>
      <c r="G203" s="1">
        <f t="shared" si="24"/>
        <v>267840</v>
      </c>
      <c r="I203" s="6">
        <f>VLOOKUP(B203,'GIÁ 1.4'!$D:$F,2,0)</f>
        <v>124000</v>
      </c>
      <c r="J203" s="21">
        <f t="shared" si="25"/>
        <v>0</v>
      </c>
      <c r="K203" s="6">
        <f>VLOOKUP(B203,'GIÁ 1.4'!$D:$F,3,0)</f>
        <v>248000</v>
      </c>
      <c r="L203" s="21">
        <f t="shared" si="26"/>
        <v>0</v>
      </c>
    </row>
    <row r="204" spans="1:12" ht="16.8" x14ac:dyDescent="0.3">
      <c r="A204" s="3">
        <v>39</v>
      </c>
      <c r="B204" s="30" t="s">
        <v>799</v>
      </c>
      <c r="C204" s="3" t="s">
        <v>6</v>
      </c>
      <c r="D204" s="64">
        <v>249000</v>
      </c>
      <c r="E204" s="1">
        <f t="shared" si="23"/>
        <v>268920</v>
      </c>
      <c r="F204" s="64">
        <v>430000</v>
      </c>
      <c r="G204" s="1">
        <f t="shared" si="24"/>
        <v>464400.00000000006</v>
      </c>
      <c r="I204" s="6">
        <f>VLOOKUP(B204,'GIÁ 1.4'!$D:$F,2,0)</f>
        <v>249000</v>
      </c>
      <c r="J204" s="21">
        <f t="shared" si="25"/>
        <v>0</v>
      </c>
      <c r="K204" s="6">
        <f>VLOOKUP(B204,'GIÁ 1.4'!$D:$F,3,0)</f>
        <v>430000</v>
      </c>
      <c r="L204" s="21">
        <f t="shared" si="26"/>
        <v>0</v>
      </c>
    </row>
    <row r="205" spans="1:12" ht="16.8" x14ac:dyDescent="0.3">
      <c r="A205" s="3">
        <v>40</v>
      </c>
      <c r="B205" s="30" t="s">
        <v>248</v>
      </c>
      <c r="C205" s="3" t="s">
        <v>6</v>
      </c>
      <c r="D205" s="64">
        <v>271500</v>
      </c>
      <c r="E205" s="1">
        <f t="shared" si="23"/>
        <v>293220</v>
      </c>
      <c r="F205" s="64">
        <v>543000</v>
      </c>
      <c r="G205" s="1">
        <f t="shared" si="24"/>
        <v>586440</v>
      </c>
      <c r="I205" s="6">
        <f>VLOOKUP(B205,'GIÁ 1.4'!$D:$F,2,0)</f>
        <v>271500</v>
      </c>
      <c r="J205" s="21">
        <f t="shared" si="25"/>
        <v>0</v>
      </c>
      <c r="K205" s="6">
        <f>VLOOKUP(B205,'GIÁ 1.4'!$D:$F,3,0)</f>
        <v>543000</v>
      </c>
      <c r="L205" s="21">
        <f t="shared" si="26"/>
        <v>0</v>
      </c>
    </row>
    <row r="206" spans="1:12" ht="16.8" x14ac:dyDescent="0.3">
      <c r="A206" s="3">
        <v>41</v>
      </c>
      <c r="B206" s="30" t="s">
        <v>12012</v>
      </c>
      <c r="C206" s="3" t="s">
        <v>6</v>
      </c>
      <c r="D206" s="64">
        <v>2448000</v>
      </c>
      <c r="E206" s="1">
        <f t="shared" si="23"/>
        <v>2643840</v>
      </c>
      <c r="F206" s="64">
        <v>4896296</v>
      </c>
      <c r="G206" s="1">
        <f t="shared" si="24"/>
        <v>5287999.6800000006</v>
      </c>
      <c r="I206" s="6">
        <f>VLOOKUP(B206,'GIÁ 1.4'!$D:$F,2,0)</f>
        <v>2448000</v>
      </c>
      <c r="J206" s="21">
        <f t="shared" si="25"/>
        <v>0</v>
      </c>
      <c r="K206" s="6">
        <f>VLOOKUP(B206,'GIÁ 1.4'!$D:$F,3,0)</f>
        <v>4896296</v>
      </c>
      <c r="L206" s="21">
        <f t="shared" si="26"/>
        <v>0</v>
      </c>
    </row>
    <row r="207" spans="1:12" ht="16.8" x14ac:dyDescent="0.3">
      <c r="A207" s="3">
        <v>42</v>
      </c>
      <c r="B207" s="37" t="s">
        <v>869</v>
      </c>
      <c r="C207" s="38" t="s">
        <v>6</v>
      </c>
      <c r="D207" s="70">
        <v>158000</v>
      </c>
      <c r="E207" s="1">
        <f t="shared" si="23"/>
        <v>170640</v>
      </c>
      <c r="F207" s="64">
        <v>315741</v>
      </c>
      <c r="G207" s="1">
        <f t="shared" si="24"/>
        <v>341000.28</v>
      </c>
      <c r="I207" s="6">
        <f>VLOOKUP(B207,'GIÁ 1.4'!$D:$F,2,0)</f>
        <v>158000</v>
      </c>
      <c r="J207" s="21">
        <f t="shared" si="25"/>
        <v>0</v>
      </c>
      <c r="K207" s="6">
        <f>VLOOKUP(B207,'GIÁ 1.4'!$D:$F,3,0)</f>
        <v>315741</v>
      </c>
      <c r="L207" s="21">
        <f t="shared" si="26"/>
        <v>0</v>
      </c>
    </row>
    <row r="208" spans="1:12" ht="16.8" x14ac:dyDescent="0.3">
      <c r="A208" s="3">
        <v>43</v>
      </c>
      <c r="B208" s="2" t="s">
        <v>9972</v>
      </c>
      <c r="C208" s="38" t="s">
        <v>6</v>
      </c>
      <c r="D208" s="65">
        <v>750000</v>
      </c>
      <c r="E208" s="1">
        <f t="shared" si="23"/>
        <v>810000</v>
      </c>
      <c r="F208" s="64">
        <v>1500000</v>
      </c>
      <c r="G208" s="1">
        <f t="shared" si="24"/>
        <v>1620000</v>
      </c>
      <c r="I208" s="6">
        <f>VLOOKUP(B208,'GIÁ 1.4'!$D:$F,2,0)</f>
        <v>750000</v>
      </c>
      <c r="J208" s="21">
        <f t="shared" si="25"/>
        <v>0</v>
      </c>
      <c r="K208" s="6">
        <f>VLOOKUP(B208,'GIÁ 1.4'!$D:$F,3,0)</f>
        <v>1500000</v>
      </c>
      <c r="L208" s="21">
        <f t="shared" si="26"/>
        <v>0</v>
      </c>
    </row>
    <row r="209" spans="1:12" ht="16.8" x14ac:dyDescent="0.3">
      <c r="A209" s="3">
        <v>44</v>
      </c>
      <c r="B209" s="2" t="s">
        <v>577</v>
      </c>
      <c r="C209" s="38" t="s">
        <v>6</v>
      </c>
      <c r="D209" s="65">
        <v>365000</v>
      </c>
      <c r="E209" s="1">
        <f t="shared" si="23"/>
        <v>394200</v>
      </c>
      <c r="F209" s="64">
        <v>729630</v>
      </c>
      <c r="G209" s="1">
        <f t="shared" si="24"/>
        <v>788000.4</v>
      </c>
      <c r="I209" s="6">
        <f>VLOOKUP(B209,'GIÁ 1.4'!$D:$F,2,0)</f>
        <v>365000</v>
      </c>
      <c r="J209" s="21">
        <f t="shared" si="25"/>
        <v>0</v>
      </c>
      <c r="K209" s="6">
        <f>VLOOKUP(B209,'GIÁ 1.4'!$D:$F,3,0)</f>
        <v>729630</v>
      </c>
      <c r="L209" s="21">
        <f t="shared" si="26"/>
        <v>0</v>
      </c>
    </row>
    <row r="210" spans="1:12" ht="16.8" x14ac:dyDescent="0.3">
      <c r="A210" s="3">
        <v>45</v>
      </c>
      <c r="B210" s="2" t="s">
        <v>387</v>
      </c>
      <c r="C210" s="38" t="s">
        <v>6</v>
      </c>
      <c r="D210" s="65">
        <v>73000</v>
      </c>
      <c r="E210" s="1">
        <f t="shared" si="23"/>
        <v>78840</v>
      </c>
      <c r="F210" s="64">
        <v>146296</v>
      </c>
      <c r="G210" s="1">
        <f t="shared" si="24"/>
        <v>157999.68000000002</v>
      </c>
      <c r="I210" s="6">
        <f>VLOOKUP(B210,'GIÁ 1.4'!$D:$F,2,0)</f>
        <v>73000</v>
      </c>
      <c r="J210" s="21">
        <f t="shared" si="25"/>
        <v>0</v>
      </c>
      <c r="K210" s="6">
        <f>VLOOKUP(B210,'GIÁ 1.4'!$D:$F,3,0)</f>
        <v>146296</v>
      </c>
      <c r="L210" s="21">
        <f t="shared" si="26"/>
        <v>0</v>
      </c>
    </row>
    <row r="211" spans="1:12" ht="16.8" x14ac:dyDescent="0.3">
      <c r="A211" s="3">
        <v>46</v>
      </c>
      <c r="B211" s="2" t="s">
        <v>885</v>
      </c>
      <c r="C211" s="38" t="s">
        <v>6</v>
      </c>
      <c r="D211" s="65">
        <v>118000</v>
      </c>
      <c r="E211" s="1">
        <f t="shared" si="23"/>
        <v>127440.00000000001</v>
      </c>
      <c r="F211" s="64">
        <v>236111</v>
      </c>
      <c r="G211" s="1">
        <f t="shared" si="24"/>
        <v>254999.88</v>
      </c>
      <c r="I211" s="6">
        <f>VLOOKUP(B211,'GIÁ 1.4'!$D:$F,2,0)</f>
        <v>118000</v>
      </c>
      <c r="J211" s="21">
        <f t="shared" si="25"/>
        <v>0</v>
      </c>
      <c r="K211" s="6">
        <f>VLOOKUP(B211,'GIÁ 1.4'!$D:$F,3,0)</f>
        <v>236111</v>
      </c>
      <c r="L211" s="21">
        <f t="shared" si="26"/>
        <v>0</v>
      </c>
    </row>
    <row r="212" spans="1:12" ht="16.8" x14ac:dyDescent="0.3">
      <c r="A212" s="3">
        <v>47</v>
      </c>
      <c r="B212" s="2" t="s">
        <v>1842</v>
      </c>
      <c r="C212" s="38" t="s">
        <v>6</v>
      </c>
      <c r="D212" s="65">
        <v>113000</v>
      </c>
      <c r="E212" s="1">
        <f t="shared" si="23"/>
        <v>122040.00000000001</v>
      </c>
      <c r="F212" s="64">
        <v>225926</v>
      </c>
      <c r="G212" s="1">
        <f t="shared" si="24"/>
        <v>244000.08000000002</v>
      </c>
      <c r="I212" s="6">
        <f>VLOOKUP(B212,'GIÁ 1.4'!$D:$F,2,0)</f>
        <v>113000</v>
      </c>
      <c r="J212" s="21">
        <f t="shared" si="25"/>
        <v>0</v>
      </c>
      <c r="K212" s="6">
        <f>VLOOKUP(B212,'GIÁ 1.4'!$D:$F,3,0)</f>
        <v>225926</v>
      </c>
      <c r="L212" s="21">
        <f t="shared" si="26"/>
        <v>0</v>
      </c>
    </row>
    <row r="213" spans="1:12" ht="16.8" x14ac:dyDescent="0.3">
      <c r="A213" s="3">
        <v>48</v>
      </c>
      <c r="B213" s="2" t="s">
        <v>1887</v>
      </c>
      <c r="C213" s="38" t="s">
        <v>6</v>
      </c>
      <c r="D213" s="65">
        <v>70000</v>
      </c>
      <c r="E213" s="1">
        <f t="shared" si="23"/>
        <v>75600</v>
      </c>
      <c r="F213" s="64">
        <v>139815</v>
      </c>
      <c r="G213" s="1">
        <f t="shared" si="24"/>
        <v>151000.20000000001</v>
      </c>
      <c r="I213" s="6">
        <f>VLOOKUP(B213,'GIÁ 1.4'!$D:$F,2,0)</f>
        <v>70000</v>
      </c>
      <c r="J213" s="21">
        <f t="shared" si="25"/>
        <v>0</v>
      </c>
      <c r="K213" s="6">
        <f>VLOOKUP(B213,'GIÁ 1.4'!$D:$F,3,0)</f>
        <v>139815</v>
      </c>
      <c r="L213" s="21">
        <f t="shared" si="26"/>
        <v>0</v>
      </c>
    </row>
    <row r="214" spans="1:12" ht="16.8" x14ac:dyDescent="0.3">
      <c r="A214" s="3">
        <v>49</v>
      </c>
      <c r="B214" s="2" t="s">
        <v>737</v>
      </c>
      <c r="C214" s="38" t="s">
        <v>6</v>
      </c>
      <c r="D214" s="65">
        <v>0</v>
      </c>
      <c r="E214" s="1">
        <f t="shared" si="23"/>
        <v>0</v>
      </c>
      <c r="F214" s="64">
        <v>1910185</v>
      </c>
      <c r="G214" s="1">
        <f t="shared" si="24"/>
        <v>2062999.8</v>
      </c>
      <c r="I214" s="6">
        <f>VLOOKUP(B214,'GIÁ 1.4'!$D:$F,2,0)</f>
        <v>0</v>
      </c>
      <c r="J214" s="21">
        <f t="shared" si="25"/>
        <v>0</v>
      </c>
      <c r="K214" s="6">
        <f>VLOOKUP(B214,'GIÁ 1.4'!$D:$F,3,0)</f>
        <v>1910185</v>
      </c>
      <c r="L214" s="21">
        <f t="shared" si="26"/>
        <v>0</v>
      </c>
    </row>
    <row r="215" spans="1:12" ht="16.8" x14ac:dyDescent="0.3">
      <c r="A215" s="3">
        <v>50</v>
      </c>
      <c r="B215" s="2" t="s">
        <v>543</v>
      </c>
      <c r="C215" s="38" t="s">
        <v>6</v>
      </c>
      <c r="D215" s="65">
        <v>0</v>
      </c>
      <c r="E215" s="1">
        <f t="shared" si="23"/>
        <v>0</v>
      </c>
      <c r="F215" s="64">
        <v>2170370</v>
      </c>
      <c r="G215" s="1">
        <f t="shared" si="24"/>
        <v>2343999.6</v>
      </c>
      <c r="I215" s="6">
        <f>VLOOKUP(B215,'GIÁ 1.4'!$D:$F,2,0)</f>
        <v>0</v>
      </c>
      <c r="J215" s="21">
        <f t="shared" si="25"/>
        <v>0</v>
      </c>
      <c r="K215" s="6">
        <f>VLOOKUP(B215,'GIÁ 1.4'!$D:$F,3,0)</f>
        <v>2170370</v>
      </c>
      <c r="L215" s="21">
        <f t="shared" si="26"/>
        <v>0</v>
      </c>
    </row>
    <row r="216" spans="1:12" ht="16.8" x14ac:dyDescent="0.3">
      <c r="A216" s="3">
        <v>51</v>
      </c>
      <c r="B216" s="2" t="s">
        <v>1161</v>
      </c>
      <c r="C216" s="3" t="s">
        <v>6</v>
      </c>
      <c r="D216" s="65">
        <v>320000</v>
      </c>
      <c r="E216" s="1">
        <f t="shared" si="23"/>
        <v>345600</v>
      </c>
      <c r="F216" s="64">
        <v>638889</v>
      </c>
      <c r="G216" s="1">
        <f t="shared" si="24"/>
        <v>690000.12</v>
      </c>
      <c r="I216" s="6">
        <f>VLOOKUP(B216,'GIÁ 1.4'!$D:$F,2,0)</f>
        <v>320000</v>
      </c>
      <c r="J216" s="21">
        <f t="shared" si="25"/>
        <v>0</v>
      </c>
      <c r="K216" s="6">
        <f>VLOOKUP(B216,'GIÁ 1.4'!$D:$F,3,0)</f>
        <v>638889</v>
      </c>
      <c r="L216" s="21">
        <f t="shared" si="26"/>
        <v>0</v>
      </c>
    </row>
    <row r="217" spans="1:12" ht="16.8" x14ac:dyDescent="0.3">
      <c r="A217" s="3">
        <v>52</v>
      </c>
      <c r="B217" s="2" t="s">
        <v>1462</v>
      </c>
      <c r="C217" s="33" t="s">
        <v>6</v>
      </c>
      <c r="D217" s="66">
        <v>240000</v>
      </c>
      <c r="E217" s="5">
        <f t="shared" si="23"/>
        <v>259200.00000000003</v>
      </c>
      <c r="F217" s="66">
        <v>479630</v>
      </c>
      <c r="G217" s="5">
        <v>518000</v>
      </c>
      <c r="I217" s="6">
        <f>VLOOKUP(B217,'GIÁ 1.4'!$D:$F,2,0)</f>
        <v>240000</v>
      </c>
      <c r="J217" s="21">
        <f t="shared" si="25"/>
        <v>0</v>
      </c>
      <c r="K217" s="6">
        <f>VLOOKUP(B217,'GIÁ 1.4'!$D:$F,3,0)</f>
        <v>479630</v>
      </c>
      <c r="L217" s="21">
        <f t="shared" si="26"/>
        <v>0</v>
      </c>
    </row>
    <row r="218" spans="1:12" ht="16.8" x14ac:dyDescent="0.3">
      <c r="A218" s="3">
        <v>53</v>
      </c>
      <c r="B218" s="30" t="s">
        <v>1618</v>
      </c>
      <c r="C218" s="3" t="s">
        <v>6</v>
      </c>
      <c r="D218" s="71">
        <v>80000</v>
      </c>
      <c r="E218" s="1">
        <f t="shared" si="23"/>
        <v>86400</v>
      </c>
      <c r="F218" s="71">
        <v>160185</v>
      </c>
      <c r="G218" s="1">
        <f>F218*1.08</f>
        <v>172999.80000000002</v>
      </c>
      <c r="I218" s="6">
        <f>VLOOKUP(B218,'GIÁ 1.4'!$D:$F,2,0)</f>
        <v>80000</v>
      </c>
      <c r="J218" s="21">
        <f t="shared" si="25"/>
        <v>0</v>
      </c>
      <c r="K218" s="6">
        <f>VLOOKUP(B218,'GIÁ 1.4'!$D:$F,3,0)</f>
        <v>160185</v>
      </c>
      <c r="L218" s="21">
        <f t="shared" si="26"/>
        <v>0</v>
      </c>
    </row>
    <row r="219" spans="1:12" ht="16.8" x14ac:dyDescent="0.3">
      <c r="A219" s="3">
        <v>54</v>
      </c>
      <c r="B219" s="30" t="s">
        <v>270</v>
      </c>
      <c r="C219" s="3" t="s">
        <v>6</v>
      </c>
      <c r="D219" s="71">
        <v>80000</v>
      </c>
      <c r="E219" s="1">
        <f t="shared" si="23"/>
        <v>86400</v>
      </c>
      <c r="F219" s="71">
        <v>160185</v>
      </c>
      <c r="G219" s="1">
        <f>F219*1.08</f>
        <v>172999.80000000002</v>
      </c>
      <c r="I219" s="6">
        <f>VLOOKUP(B219,'GIÁ 1.4'!$D:$F,2,0)</f>
        <v>80000</v>
      </c>
      <c r="J219" s="21">
        <f t="shared" si="25"/>
        <v>0</v>
      </c>
      <c r="K219" s="6">
        <f>VLOOKUP(B219,'GIÁ 1.4'!$D:$F,3,0)</f>
        <v>160185</v>
      </c>
      <c r="L219" s="21">
        <f t="shared" si="26"/>
        <v>0</v>
      </c>
    </row>
    <row r="220" spans="1:12" ht="16.8" x14ac:dyDescent="0.3">
      <c r="A220" s="3">
        <v>55</v>
      </c>
      <c r="B220" s="30" t="s">
        <v>1314</v>
      </c>
      <c r="C220" s="3" t="s">
        <v>6</v>
      </c>
      <c r="D220" s="64">
        <v>128000</v>
      </c>
      <c r="E220" s="1">
        <f t="shared" si="23"/>
        <v>138240</v>
      </c>
      <c r="F220" s="64">
        <v>255556</v>
      </c>
      <c r="G220" s="1">
        <f>F220*1.08</f>
        <v>276000.48000000004</v>
      </c>
      <c r="I220" s="6">
        <f>VLOOKUP(B220,'GIÁ 1.4'!$D:$F,2,0)</f>
        <v>128000</v>
      </c>
      <c r="J220" s="21">
        <f t="shared" si="25"/>
        <v>0</v>
      </c>
      <c r="K220" s="6">
        <f>VLOOKUP(B220,'GIÁ 1.4'!$D:$F,3,0)</f>
        <v>255556</v>
      </c>
      <c r="L220" s="21">
        <f t="shared" si="26"/>
        <v>0</v>
      </c>
    </row>
    <row r="221" spans="1:12" ht="16.8" x14ac:dyDescent="0.3">
      <c r="A221" s="3">
        <v>56</v>
      </c>
      <c r="B221" s="30" t="s">
        <v>1750</v>
      </c>
      <c r="C221" s="3" t="s">
        <v>6</v>
      </c>
      <c r="D221" s="71">
        <v>128000</v>
      </c>
      <c r="E221" s="1">
        <f t="shared" si="23"/>
        <v>138240</v>
      </c>
      <c r="F221" s="71">
        <v>255556</v>
      </c>
      <c r="G221" s="1">
        <f>F221*1.08</f>
        <v>276000.48000000004</v>
      </c>
      <c r="I221" s="6">
        <f>VLOOKUP(B221,'GIÁ 1.4'!$D:$F,2,0)</f>
        <v>128000</v>
      </c>
      <c r="J221" s="21">
        <f t="shared" si="25"/>
        <v>0</v>
      </c>
      <c r="K221" s="6">
        <f>VLOOKUP(B221,'GIÁ 1.4'!$D:$F,3,0)</f>
        <v>255556</v>
      </c>
      <c r="L221" s="21">
        <f t="shared" si="26"/>
        <v>0</v>
      </c>
    </row>
    <row r="222" spans="1:12" ht="16.8" x14ac:dyDescent="0.3">
      <c r="A222" s="3">
        <v>57</v>
      </c>
      <c r="B222" s="2" t="s">
        <v>2109</v>
      </c>
      <c r="C222" s="2" t="s">
        <v>6</v>
      </c>
      <c r="D222" s="66">
        <v>161000</v>
      </c>
      <c r="E222" s="5">
        <f t="shared" si="23"/>
        <v>173880</v>
      </c>
      <c r="F222" s="66">
        <v>322222</v>
      </c>
      <c r="G222" s="5">
        <v>440000</v>
      </c>
      <c r="I222" s="6">
        <f>VLOOKUP(B222,'GIÁ 1.4'!$D:$F,2,0)</f>
        <v>161000</v>
      </c>
      <c r="J222" s="21">
        <f t="shared" si="25"/>
        <v>0</v>
      </c>
      <c r="K222" s="6">
        <f>VLOOKUP(B222,'GIÁ 1.4'!$D:$F,3,0)</f>
        <v>322222</v>
      </c>
      <c r="L222" s="21">
        <f t="shared" si="26"/>
        <v>0</v>
      </c>
    </row>
    <row r="223" spans="1:12" ht="16.8" x14ac:dyDescent="0.3">
      <c r="A223" s="3"/>
      <c r="B223" s="36" t="s">
        <v>2303</v>
      </c>
      <c r="C223" s="27"/>
      <c r="D223" s="69"/>
      <c r="E223" s="1">
        <f t="shared" si="23"/>
        <v>0</v>
      </c>
      <c r="F223" s="69"/>
      <c r="G223" s="1">
        <f t="shared" ref="G223:G254" si="27">F223*1.08</f>
        <v>0</v>
      </c>
      <c r="J223" s="21"/>
      <c r="L223" s="21"/>
    </row>
    <row r="224" spans="1:12" ht="16.8" x14ac:dyDescent="0.3">
      <c r="A224" s="3">
        <v>1</v>
      </c>
      <c r="B224" s="30" t="s">
        <v>3144</v>
      </c>
      <c r="C224" s="3" t="s">
        <v>6</v>
      </c>
      <c r="D224" s="64">
        <v>14500</v>
      </c>
      <c r="E224" s="1">
        <f t="shared" si="23"/>
        <v>15660.000000000002</v>
      </c>
      <c r="F224" s="64">
        <v>28981</v>
      </c>
      <c r="G224" s="1">
        <f t="shared" si="27"/>
        <v>31299.480000000003</v>
      </c>
      <c r="I224" s="6">
        <f>VLOOKUP(B224,'GIÁ 1.4'!$D:$F,2,0)</f>
        <v>14500</v>
      </c>
      <c r="J224" s="21">
        <f t="shared" ref="J224:J255" si="28">D224-I224</f>
        <v>0</v>
      </c>
      <c r="K224" s="6">
        <f>VLOOKUP(B224,'GIÁ 1.4'!$D:$F,3,0)</f>
        <v>28981</v>
      </c>
      <c r="L224" s="21">
        <f t="shared" ref="L224:L255" si="29">F224-K224</f>
        <v>0</v>
      </c>
    </row>
    <row r="225" spans="1:12" ht="16.8" x14ac:dyDescent="0.3">
      <c r="A225" s="3">
        <v>2</v>
      </c>
      <c r="B225" s="30" t="s">
        <v>2627</v>
      </c>
      <c r="C225" s="3" t="s">
        <v>6</v>
      </c>
      <c r="D225" s="64">
        <v>14500</v>
      </c>
      <c r="E225" s="1">
        <f t="shared" si="23"/>
        <v>15660.000000000002</v>
      </c>
      <c r="F225" s="64">
        <v>28981</v>
      </c>
      <c r="G225" s="1">
        <f t="shared" si="27"/>
        <v>31299.480000000003</v>
      </c>
      <c r="I225" s="6">
        <f>VLOOKUP(B225,'GIÁ 1.4'!$D:$F,2,0)</f>
        <v>14500</v>
      </c>
      <c r="J225" s="21">
        <f t="shared" si="28"/>
        <v>0</v>
      </c>
      <c r="K225" s="6">
        <f>VLOOKUP(B225,'GIÁ 1.4'!$D:$F,3,0)</f>
        <v>28981</v>
      </c>
      <c r="L225" s="21">
        <f t="shared" si="29"/>
        <v>0</v>
      </c>
    </row>
    <row r="226" spans="1:12" ht="16.8" x14ac:dyDescent="0.3">
      <c r="A226" s="3">
        <v>3</v>
      </c>
      <c r="B226" s="30" t="s">
        <v>2473</v>
      </c>
      <c r="C226" s="3" t="s">
        <v>6</v>
      </c>
      <c r="D226" s="64">
        <v>14500</v>
      </c>
      <c r="E226" s="1">
        <f t="shared" si="23"/>
        <v>15660.000000000002</v>
      </c>
      <c r="F226" s="64">
        <v>28981</v>
      </c>
      <c r="G226" s="1">
        <f t="shared" si="27"/>
        <v>31299.480000000003</v>
      </c>
      <c r="I226" s="6">
        <f>VLOOKUP(B226,'GIÁ 1.4'!$D:$F,2,0)</f>
        <v>14500</v>
      </c>
      <c r="J226" s="21">
        <f t="shared" si="28"/>
        <v>0</v>
      </c>
      <c r="K226" s="6">
        <f>VLOOKUP(B226,'GIÁ 1.4'!$D:$F,3,0)</f>
        <v>28981</v>
      </c>
      <c r="L226" s="21">
        <f t="shared" si="29"/>
        <v>0</v>
      </c>
    </row>
    <row r="227" spans="1:12" ht="16.8" x14ac:dyDescent="0.3">
      <c r="A227" s="3">
        <v>4</v>
      </c>
      <c r="B227" s="30" t="s">
        <v>5021</v>
      </c>
      <c r="C227" s="3" t="s">
        <v>6</v>
      </c>
      <c r="D227" s="64">
        <v>14500</v>
      </c>
      <c r="E227" s="1">
        <f t="shared" si="23"/>
        <v>15660.000000000002</v>
      </c>
      <c r="F227" s="64">
        <v>28981</v>
      </c>
      <c r="G227" s="1">
        <f t="shared" si="27"/>
        <v>31299.480000000003</v>
      </c>
      <c r="I227" s="6">
        <f>VLOOKUP(B227,'GIÁ 1.4'!$D:$F,2,0)</f>
        <v>14500</v>
      </c>
      <c r="J227" s="21">
        <f t="shared" si="28"/>
        <v>0</v>
      </c>
      <c r="K227" s="6">
        <f>VLOOKUP(B227,'GIÁ 1.4'!$D:$F,3,0)</f>
        <v>28981</v>
      </c>
      <c r="L227" s="21">
        <f t="shared" si="29"/>
        <v>0</v>
      </c>
    </row>
    <row r="228" spans="1:12" ht="16.8" x14ac:dyDescent="0.3">
      <c r="A228" s="3">
        <v>5</v>
      </c>
      <c r="B228" s="30" t="s">
        <v>2317</v>
      </c>
      <c r="C228" s="3" t="s">
        <v>6</v>
      </c>
      <c r="D228" s="64">
        <v>14500</v>
      </c>
      <c r="E228" s="1">
        <f t="shared" si="23"/>
        <v>15660.000000000002</v>
      </c>
      <c r="F228" s="64">
        <v>28981</v>
      </c>
      <c r="G228" s="1">
        <f t="shared" si="27"/>
        <v>31299.480000000003</v>
      </c>
      <c r="I228" s="6">
        <f>VLOOKUP(B228,'GIÁ 1.4'!$D:$F,2,0)</f>
        <v>14500</v>
      </c>
      <c r="J228" s="21">
        <f t="shared" si="28"/>
        <v>0</v>
      </c>
      <c r="K228" s="6">
        <f>VLOOKUP(B228,'GIÁ 1.4'!$D:$F,3,0)</f>
        <v>28981</v>
      </c>
      <c r="L228" s="21">
        <f t="shared" si="29"/>
        <v>0</v>
      </c>
    </row>
    <row r="229" spans="1:12" ht="16.8" x14ac:dyDescent="0.3">
      <c r="A229" s="3">
        <v>6</v>
      </c>
      <c r="B229" s="30" t="s">
        <v>2375</v>
      </c>
      <c r="C229" s="3" t="s">
        <v>6</v>
      </c>
      <c r="D229" s="64">
        <v>18000</v>
      </c>
      <c r="E229" s="1">
        <f t="shared" si="23"/>
        <v>19440</v>
      </c>
      <c r="F229" s="64">
        <v>36019</v>
      </c>
      <c r="G229" s="1">
        <f t="shared" si="27"/>
        <v>38900.520000000004</v>
      </c>
      <c r="I229" s="6">
        <f>VLOOKUP(B229,'GIÁ 1.4'!$D:$F,2,0)</f>
        <v>18000</v>
      </c>
      <c r="J229" s="21">
        <f t="shared" si="28"/>
        <v>0</v>
      </c>
      <c r="K229" s="6">
        <f>VLOOKUP(B229,'GIÁ 1.4'!$D:$F,3,0)</f>
        <v>36019</v>
      </c>
      <c r="L229" s="21">
        <f t="shared" si="29"/>
        <v>0</v>
      </c>
    </row>
    <row r="230" spans="1:12" ht="16.8" x14ac:dyDescent="0.3">
      <c r="A230" s="3">
        <v>7</v>
      </c>
      <c r="B230" s="30" t="s">
        <v>3034</v>
      </c>
      <c r="C230" s="3" t="s">
        <v>6</v>
      </c>
      <c r="D230" s="64">
        <v>23000</v>
      </c>
      <c r="E230" s="1">
        <f t="shared" si="23"/>
        <v>24840</v>
      </c>
      <c r="F230" s="64">
        <v>46019</v>
      </c>
      <c r="G230" s="1">
        <f t="shared" si="27"/>
        <v>49700.520000000004</v>
      </c>
      <c r="I230" s="6">
        <f>VLOOKUP(B230,'GIÁ 1.4'!$D:$F,2,0)</f>
        <v>23000</v>
      </c>
      <c r="J230" s="21">
        <f t="shared" si="28"/>
        <v>0</v>
      </c>
      <c r="K230" s="6">
        <f>VLOOKUP(B230,'GIÁ 1.4'!$D:$F,3,0)</f>
        <v>46019</v>
      </c>
      <c r="L230" s="21">
        <f t="shared" si="29"/>
        <v>0</v>
      </c>
    </row>
    <row r="231" spans="1:12" ht="16.8" x14ac:dyDescent="0.3">
      <c r="A231" s="3">
        <v>8</v>
      </c>
      <c r="B231" s="30" t="s">
        <v>3446</v>
      </c>
      <c r="C231" s="3" t="s">
        <v>6</v>
      </c>
      <c r="D231" s="64">
        <v>26500</v>
      </c>
      <c r="E231" s="1">
        <f t="shared" si="23"/>
        <v>28620.000000000004</v>
      </c>
      <c r="F231" s="64">
        <v>52963</v>
      </c>
      <c r="G231" s="1">
        <f t="shared" si="27"/>
        <v>57200.04</v>
      </c>
      <c r="I231" s="6">
        <f>VLOOKUP(B231,'GIÁ 1.4'!$D:$F,2,0)</f>
        <v>26500</v>
      </c>
      <c r="J231" s="21">
        <f t="shared" si="28"/>
        <v>0</v>
      </c>
      <c r="K231" s="6">
        <f>VLOOKUP(B231,'GIÁ 1.4'!$D:$F,3,0)</f>
        <v>52963</v>
      </c>
      <c r="L231" s="21">
        <f t="shared" si="29"/>
        <v>0</v>
      </c>
    </row>
    <row r="232" spans="1:12" ht="16.8" x14ac:dyDescent="0.3">
      <c r="A232" s="3">
        <v>9</v>
      </c>
      <c r="B232" s="31" t="s">
        <v>4300</v>
      </c>
      <c r="C232" s="3" t="s">
        <v>6</v>
      </c>
      <c r="D232" s="64">
        <v>31000</v>
      </c>
      <c r="E232" s="1">
        <f t="shared" si="23"/>
        <v>33480</v>
      </c>
      <c r="F232" s="64">
        <v>62037</v>
      </c>
      <c r="G232" s="1">
        <f t="shared" si="27"/>
        <v>66999.960000000006</v>
      </c>
      <c r="I232" s="6">
        <f>VLOOKUP(B232,'GIÁ 1.4'!$D:$F,2,0)</f>
        <v>31000</v>
      </c>
      <c r="J232" s="21">
        <f t="shared" si="28"/>
        <v>0</v>
      </c>
      <c r="K232" s="6">
        <f>VLOOKUP(B232,'GIÁ 1.4'!$D:$F,3,0)</f>
        <v>62037</v>
      </c>
      <c r="L232" s="21">
        <f t="shared" si="29"/>
        <v>0</v>
      </c>
    </row>
    <row r="233" spans="1:12" ht="16.8" x14ac:dyDescent="0.3">
      <c r="A233" s="3">
        <v>10</v>
      </c>
      <c r="B233" s="30" t="s">
        <v>2523</v>
      </c>
      <c r="C233" s="3" t="s">
        <v>6</v>
      </c>
      <c r="D233" s="64">
        <v>38000</v>
      </c>
      <c r="E233" s="1">
        <f t="shared" si="23"/>
        <v>41040</v>
      </c>
      <c r="F233" s="64">
        <v>76019</v>
      </c>
      <c r="G233" s="1">
        <f t="shared" si="27"/>
        <v>82100.52</v>
      </c>
      <c r="I233" s="6">
        <f>VLOOKUP(B233,'GIÁ 1.4'!$D:$F,2,0)</f>
        <v>38000</v>
      </c>
      <c r="J233" s="21">
        <f t="shared" si="28"/>
        <v>0</v>
      </c>
      <c r="K233" s="6">
        <f>VLOOKUP(B233,'GIÁ 1.4'!$D:$F,3,0)</f>
        <v>76019</v>
      </c>
      <c r="L233" s="21">
        <f t="shared" si="29"/>
        <v>0</v>
      </c>
    </row>
    <row r="234" spans="1:12" ht="16.8" x14ac:dyDescent="0.3">
      <c r="A234" s="3">
        <v>11</v>
      </c>
      <c r="B234" s="30" t="s">
        <v>4726</v>
      </c>
      <c r="C234" s="3" t="s">
        <v>6</v>
      </c>
      <c r="D234" s="64">
        <v>48000</v>
      </c>
      <c r="E234" s="1">
        <f t="shared" si="23"/>
        <v>51840</v>
      </c>
      <c r="F234" s="64">
        <v>96019</v>
      </c>
      <c r="G234" s="1">
        <f t="shared" si="27"/>
        <v>103700.52</v>
      </c>
      <c r="I234" s="6">
        <f>VLOOKUP(B234,'GIÁ 1.4'!$D:$F,2,0)</f>
        <v>48000</v>
      </c>
      <c r="J234" s="21">
        <f t="shared" si="28"/>
        <v>0</v>
      </c>
      <c r="K234" s="6">
        <f>VLOOKUP(B234,'GIÁ 1.4'!$D:$F,3,0)</f>
        <v>96019</v>
      </c>
      <c r="L234" s="21">
        <f t="shared" si="29"/>
        <v>0</v>
      </c>
    </row>
    <row r="235" spans="1:12" ht="16.8" x14ac:dyDescent="0.3">
      <c r="A235" s="3">
        <v>12</v>
      </c>
      <c r="B235" s="30" t="s">
        <v>3040</v>
      </c>
      <c r="C235" s="3" t="s">
        <v>6</v>
      </c>
      <c r="D235" s="64">
        <v>63100</v>
      </c>
      <c r="E235" s="1">
        <f t="shared" si="23"/>
        <v>68148</v>
      </c>
      <c r="F235" s="64">
        <v>125926</v>
      </c>
      <c r="G235" s="1">
        <f t="shared" si="27"/>
        <v>136000.08000000002</v>
      </c>
      <c r="I235" s="6">
        <f>VLOOKUP(B235,'GIÁ 1.4'!$D:$F,2,0)</f>
        <v>63100</v>
      </c>
      <c r="J235" s="21">
        <f t="shared" si="28"/>
        <v>0</v>
      </c>
      <c r="K235" s="6">
        <f>VLOOKUP(B235,'GIÁ 1.4'!$D:$F,3,0)</f>
        <v>125926</v>
      </c>
      <c r="L235" s="21">
        <f t="shared" si="29"/>
        <v>0</v>
      </c>
    </row>
    <row r="236" spans="1:12" ht="16.8" x14ac:dyDescent="0.3">
      <c r="A236" s="3">
        <v>13</v>
      </c>
      <c r="B236" s="30" t="s">
        <v>2313</v>
      </c>
      <c r="C236" s="3" t="s">
        <v>6</v>
      </c>
      <c r="D236" s="64">
        <v>87500</v>
      </c>
      <c r="E236" s="1">
        <f t="shared" si="23"/>
        <v>94500</v>
      </c>
      <c r="F236" s="64">
        <v>175000</v>
      </c>
      <c r="G236" s="1">
        <f t="shared" si="27"/>
        <v>189000</v>
      </c>
      <c r="I236" s="6">
        <f>VLOOKUP(B236,'GIÁ 1.4'!$D:$F,2,0)</f>
        <v>87500</v>
      </c>
      <c r="J236" s="21">
        <f t="shared" si="28"/>
        <v>0</v>
      </c>
      <c r="K236" s="6">
        <f>VLOOKUP(B236,'GIÁ 1.4'!$D:$F,3,0)</f>
        <v>175000</v>
      </c>
      <c r="L236" s="21">
        <f t="shared" si="29"/>
        <v>0</v>
      </c>
    </row>
    <row r="237" spans="1:12" ht="16.8" x14ac:dyDescent="0.3">
      <c r="A237" s="3">
        <v>14</v>
      </c>
      <c r="B237" s="30" t="s">
        <v>4470</v>
      </c>
      <c r="C237" s="3" t="s">
        <v>6</v>
      </c>
      <c r="D237" s="64">
        <v>30000</v>
      </c>
      <c r="E237" s="1">
        <f t="shared" si="23"/>
        <v>32400.000000000004</v>
      </c>
      <c r="F237" s="64">
        <v>60000</v>
      </c>
      <c r="G237" s="1">
        <f t="shared" si="27"/>
        <v>64800.000000000007</v>
      </c>
      <c r="I237" s="6">
        <f>VLOOKUP(B237,'GIÁ 1.4'!$D:$F,2,0)</f>
        <v>30000</v>
      </c>
      <c r="J237" s="21">
        <f t="shared" si="28"/>
        <v>0</v>
      </c>
      <c r="K237" s="6">
        <f>VLOOKUP(B237,'GIÁ 1.4'!$D:$F,3,0)</f>
        <v>60000</v>
      </c>
      <c r="L237" s="21">
        <f t="shared" si="29"/>
        <v>0</v>
      </c>
    </row>
    <row r="238" spans="1:12" ht="16.8" x14ac:dyDescent="0.3">
      <c r="A238" s="3">
        <v>15</v>
      </c>
      <c r="B238" s="30" t="s">
        <v>8150</v>
      </c>
      <c r="C238" s="3" t="s">
        <v>6</v>
      </c>
      <c r="D238" s="64">
        <v>40100</v>
      </c>
      <c r="E238" s="1">
        <f t="shared" si="23"/>
        <v>43308</v>
      </c>
      <c r="F238" s="64">
        <v>84000</v>
      </c>
      <c r="G238" s="1">
        <f t="shared" si="27"/>
        <v>90720</v>
      </c>
      <c r="I238" s="6">
        <f>VLOOKUP(B238,'GIÁ 1.4'!$D:$F,2,0)</f>
        <v>40100</v>
      </c>
      <c r="J238" s="21">
        <f t="shared" si="28"/>
        <v>0</v>
      </c>
      <c r="K238" s="6">
        <f>VLOOKUP(B238,'GIÁ 1.4'!$D:$F,3,0)</f>
        <v>84000</v>
      </c>
      <c r="L238" s="21">
        <f t="shared" si="29"/>
        <v>0</v>
      </c>
    </row>
    <row r="239" spans="1:12" ht="16.8" x14ac:dyDescent="0.3">
      <c r="A239" s="3">
        <v>16</v>
      </c>
      <c r="B239" s="30" t="s">
        <v>10368</v>
      </c>
      <c r="C239" s="3" t="s">
        <v>6</v>
      </c>
      <c r="D239" s="64">
        <v>44200</v>
      </c>
      <c r="E239" s="1">
        <f t="shared" si="23"/>
        <v>47736</v>
      </c>
      <c r="F239" s="64">
        <v>88000</v>
      </c>
      <c r="G239" s="1">
        <f t="shared" si="27"/>
        <v>95040</v>
      </c>
      <c r="I239" s="6">
        <f>VLOOKUP(B239,'GIÁ 1.4'!$D:$F,2,0)</f>
        <v>44200</v>
      </c>
      <c r="J239" s="21">
        <f t="shared" si="28"/>
        <v>0</v>
      </c>
      <c r="K239" s="6">
        <f>VLOOKUP(B239,'GIÁ 1.4'!$D:$F,3,0)</f>
        <v>88000</v>
      </c>
      <c r="L239" s="21">
        <f t="shared" si="29"/>
        <v>0</v>
      </c>
    </row>
    <row r="240" spans="1:12" ht="16.8" x14ac:dyDescent="0.3">
      <c r="A240" s="3">
        <v>17</v>
      </c>
      <c r="B240" s="30" t="s">
        <v>2623</v>
      </c>
      <c r="C240" s="3" t="s">
        <v>6</v>
      </c>
      <c r="D240" s="64">
        <v>33800</v>
      </c>
      <c r="E240" s="1">
        <f t="shared" si="23"/>
        <v>36504</v>
      </c>
      <c r="F240" s="64">
        <v>67593</v>
      </c>
      <c r="G240" s="1">
        <f t="shared" si="27"/>
        <v>73000.44</v>
      </c>
      <c r="I240" s="6">
        <f>VLOOKUP(B240,'GIÁ 1.4'!$D:$F,2,0)</f>
        <v>33800</v>
      </c>
      <c r="J240" s="21">
        <f t="shared" si="28"/>
        <v>0</v>
      </c>
      <c r="K240" s="6">
        <f>VLOOKUP(B240,'GIÁ 1.4'!$D:$F,3,0)</f>
        <v>67593</v>
      </c>
      <c r="L240" s="21">
        <f t="shared" si="29"/>
        <v>0</v>
      </c>
    </row>
    <row r="241" spans="1:12" ht="16.8" x14ac:dyDescent="0.3">
      <c r="A241" s="3">
        <v>18</v>
      </c>
      <c r="B241" s="30" t="s">
        <v>3146</v>
      </c>
      <c r="C241" s="3" t="s">
        <v>6</v>
      </c>
      <c r="D241" s="64">
        <v>38000</v>
      </c>
      <c r="E241" s="1">
        <f t="shared" si="23"/>
        <v>41040</v>
      </c>
      <c r="F241" s="64">
        <v>76019</v>
      </c>
      <c r="G241" s="1">
        <f t="shared" si="27"/>
        <v>82100.52</v>
      </c>
      <c r="I241" s="6">
        <f>VLOOKUP(B241,'GIÁ 1.4'!$D:$F,2,0)</f>
        <v>38000</v>
      </c>
      <c r="J241" s="21">
        <f t="shared" si="28"/>
        <v>0</v>
      </c>
      <c r="K241" s="6">
        <f>VLOOKUP(B241,'GIÁ 1.4'!$D:$F,3,0)</f>
        <v>76019</v>
      </c>
      <c r="L241" s="21">
        <f t="shared" si="29"/>
        <v>0</v>
      </c>
    </row>
    <row r="242" spans="1:12" ht="16.8" x14ac:dyDescent="0.3">
      <c r="A242" s="3">
        <v>19</v>
      </c>
      <c r="B242" s="30" t="s">
        <v>5013</v>
      </c>
      <c r="C242" s="3" t="s">
        <v>6</v>
      </c>
      <c r="D242" s="64">
        <v>48500</v>
      </c>
      <c r="E242" s="1">
        <f t="shared" si="23"/>
        <v>52380</v>
      </c>
      <c r="F242" s="64">
        <v>97037</v>
      </c>
      <c r="G242" s="1">
        <f t="shared" si="27"/>
        <v>104799.96</v>
      </c>
      <c r="I242" s="6">
        <f>VLOOKUP(B242,'GIÁ 1.4'!$D:$F,2,0)</f>
        <v>48500</v>
      </c>
      <c r="J242" s="21">
        <f t="shared" si="28"/>
        <v>0</v>
      </c>
      <c r="K242" s="6">
        <f>VLOOKUP(B242,'GIÁ 1.4'!$D:$F,3,0)</f>
        <v>97037</v>
      </c>
      <c r="L242" s="21">
        <f t="shared" si="29"/>
        <v>0</v>
      </c>
    </row>
    <row r="243" spans="1:12" ht="16.8" x14ac:dyDescent="0.3">
      <c r="A243" s="3">
        <v>20</v>
      </c>
      <c r="B243" s="30" t="s">
        <v>11404</v>
      </c>
      <c r="C243" s="3" t="s">
        <v>6</v>
      </c>
      <c r="D243" s="64">
        <v>77200</v>
      </c>
      <c r="E243" s="1">
        <f t="shared" si="23"/>
        <v>83376</v>
      </c>
      <c r="F243" s="64">
        <v>154630</v>
      </c>
      <c r="G243" s="1">
        <f t="shared" si="27"/>
        <v>167000.40000000002</v>
      </c>
      <c r="I243" s="6">
        <f>VLOOKUP(B243,'GIÁ 1.4'!$D:$F,2,0)</f>
        <v>77200</v>
      </c>
      <c r="J243" s="21">
        <f t="shared" si="28"/>
        <v>0</v>
      </c>
      <c r="K243" s="6">
        <f>VLOOKUP(B243,'GIÁ 1.4'!$D:$F,3,0)</f>
        <v>154630</v>
      </c>
      <c r="L243" s="21">
        <f t="shared" si="29"/>
        <v>0</v>
      </c>
    </row>
    <row r="244" spans="1:12" ht="16.8" x14ac:dyDescent="0.3">
      <c r="A244" s="3">
        <v>21</v>
      </c>
      <c r="B244" s="30" t="s">
        <v>9162</v>
      </c>
      <c r="C244" s="3" t="s">
        <v>6</v>
      </c>
      <c r="D244" s="64">
        <v>96000</v>
      </c>
      <c r="E244" s="1">
        <f t="shared" si="23"/>
        <v>103680</v>
      </c>
      <c r="F244" s="64">
        <v>191667</v>
      </c>
      <c r="G244" s="1">
        <f t="shared" si="27"/>
        <v>207000.36000000002</v>
      </c>
      <c r="I244" s="6">
        <f>VLOOKUP(B244,'GIÁ 1.4'!$D:$F,2,0)</f>
        <v>96000</v>
      </c>
      <c r="J244" s="21">
        <f t="shared" si="28"/>
        <v>0</v>
      </c>
      <c r="K244" s="6">
        <f>VLOOKUP(B244,'GIÁ 1.4'!$D:$F,3,0)</f>
        <v>191667</v>
      </c>
      <c r="L244" s="21">
        <f t="shared" si="29"/>
        <v>0</v>
      </c>
    </row>
    <row r="245" spans="1:12" ht="16.8" x14ac:dyDescent="0.3">
      <c r="A245" s="3">
        <v>22</v>
      </c>
      <c r="B245" s="30" t="s">
        <v>3104</v>
      </c>
      <c r="C245" s="3" t="s">
        <v>6</v>
      </c>
      <c r="D245" s="64">
        <v>63000</v>
      </c>
      <c r="E245" s="1">
        <f t="shared" ref="E245:E308" si="30">D245*1.08</f>
        <v>68040</v>
      </c>
      <c r="F245" s="64">
        <v>125926</v>
      </c>
      <c r="G245" s="1">
        <f t="shared" si="27"/>
        <v>136000.08000000002</v>
      </c>
      <c r="I245" s="6">
        <f>VLOOKUP(B245,'GIÁ 1.4'!$D:$F,2,0)</f>
        <v>63000</v>
      </c>
      <c r="J245" s="21">
        <f t="shared" si="28"/>
        <v>0</v>
      </c>
      <c r="K245" s="6">
        <f>VLOOKUP(B245,'GIÁ 1.4'!$D:$F,3,0)</f>
        <v>125926</v>
      </c>
      <c r="L245" s="21">
        <f t="shared" si="29"/>
        <v>0</v>
      </c>
    </row>
    <row r="246" spans="1:12" ht="16.8" x14ac:dyDescent="0.3">
      <c r="A246" s="3">
        <v>23</v>
      </c>
      <c r="B246" s="30" t="s">
        <v>3526</v>
      </c>
      <c r="C246" s="3" t="s">
        <v>6</v>
      </c>
      <c r="D246" s="64">
        <v>63000</v>
      </c>
      <c r="E246" s="1">
        <f t="shared" si="30"/>
        <v>68040</v>
      </c>
      <c r="F246" s="64">
        <v>132407</v>
      </c>
      <c r="G246" s="1">
        <f t="shared" si="27"/>
        <v>142999.56</v>
      </c>
      <c r="I246" s="6">
        <f>VLOOKUP(B246,'GIÁ 1.4'!$D:$F,2,0)</f>
        <v>63000</v>
      </c>
      <c r="J246" s="21">
        <f t="shared" si="28"/>
        <v>0</v>
      </c>
      <c r="K246" s="6">
        <f>VLOOKUP(B246,'GIÁ 1.4'!$D:$F,3,0)</f>
        <v>132407</v>
      </c>
      <c r="L246" s="21">
        <f t="shared" si="29"/>
        <v>0</v>
      </c>
    </row>
    <row r="247" spans="1:12" ht="16.8" x14ac:dyDescent="0.3">
      <c r="A247" s="3">
        <v>24</v>
      </c>
      <c r="B247" s="30" t="s">
        <v>4304</v>
      </c>
      <c r="C247" s="3" t="s">
        <v>6</v>
      </c>
      <c r="D247" s="64">
        <v>84600</v>
      </c>
      <c r="E247" s="1">
        <f t="shared" si="30"/>
        <v>91368</v>
      </c>
      <c r="F247" s="64">
        <v>169444</v>
      </c>
      <c r="G247" s="1">
        <f t="shared" si="27"/>
        <v>182999.52000000002</v>
      </c>
      <c r="I247" s="6">
        <f>VLOOKUP(B247,'GIÁ 1.4'!$D:$F,2,0)</f>
        <v>84600</v>
      </c>
      <c r="J247" s="21">
        <f t="shared" si="28"/>
        <v>0</v>
      </c>
      <c r="K247" s="6">
        <f>VLOOKUP(B247,'GIÁ 1.4'!$D:$F,3,0)</f>
        <v>169444</v>
      </c>
      <c r="L247" s="21">
        <f t="shared" si="29"/>
        <v>0</v>
      </c>
    </row>
    <row r="248" spans="1:12" ht="16.8" x14ac:dyDescent="0.3">
      <c r="A248" s="3">
        <v>25</v>
      </c>
      <c r="B248" s="30" t="s">
        <v>4732</v>
      </c>
      <c r="C248" s="3" t="s">
        <v>6</v>
      </c>
      <c r="D248" s="64">
        <v>84600</v>
      </c>
      <c r="E248" s="1">
        <f t="shared" si="30"/>
        <v>91368</v>
      </c>
      <c r="F248" s="64">
        <v>179630</v>
      </c>
      <c r="G248" s="1">
        <f t="shared" si="27"/>
        <v>194000.40000000002</v>
      </c>
      <c r="I248" s="6">
        <f>VLOOKUP(B248,'GIÁ 1.4'!$D:$F,2,0)</f>
        <v>84600</v>
      </c>
      <c r="J248" s="21">
        <f t="shared" si="28"/>
        <v>0</v>
      </c>
      <c r="K248" s="6">
        <f>VLOOKUP(B248,'GIÁ 1.4'!$D:$F,3,0)</f>
        <v>179630</v>
      </c>
      <c r="L248" s="21">
        <f t="shared" si="29"/>
        <v>0</v>
      </c>
    </row>
    <row r="249" spans="1:12" ht="16.8" x14ac:dyDescent="0.3">
      <c r="A249" s="3">
        <v>26</v>
      </c>
      <c r="B249" s="39" t="s">
        <v>4464</v>
      </c>
      <c r="C249" s="3" t="s">
        <v>6</v>
      </c>
      <c r="D249" s="64">
        <v>111000</v>
      </c>
      <c r="E249" s="1">
        <f t="shared" si="30"/>
        <v>119880.00000000001</v>
      </c>
      <c r="F249" s="64">
        <v>222222</v>
      </c>
      <c r="G249" s="1">
        <f t="shared" si="27"/>
        <v>239999.76</v>
      </c>
      <c r="I249" s="6">
        <f>VLOOKUP(B249,'GIÁ 1.4'!$D:$F,2,0)</f>
        <v>111000</v>
      </c>
      <c r="J249" s="21">
        <f t="shared" si="28"/>
        <v>0</v>
      </c>
      <c r="K249" s="6">
        <f>VLOOKUP(B249,'GIÁ 1.4'!$D:$F,3,0)</f>
        <v>222222</v>
      </c>
      <c r="L249" s="21">
        <f t="shared" si="29"/>
        <v>0</v>
      </c>
    </row>
    <row r="250" spans="1:12" ht="16.8" x14ac:dyDescent="0.3">
      <c r="A250" s="3">
        <v>27</v>
      </c>
      <c r="B250" s="39" t="s">
        <v>9510</v>
      </c>
      <c r="C250" s="3" t="s">
        <v>6</v>
      </c>
      <c r="D250" s="64">
        <v>133000</v>
      </c>
      <c r="E250" s="1">
        <f t="shared" si="30"/>
        <v>143640</v>
      </c>
      <c r="F250" s="64">
        <v>265741</v>
      </c>
      <c r="G250" s="1">
        <f t="shared" si="27"/>
        <v>287000.28000000003</v>
      </c>
      <c r="I250" s="6">
        <f>VLOOKUP(B250,'GIÁ 1.4'!$D:$F,2,0)</f>
        <v>133000</v>
      </c>
      <c r="J250" s="21">
        <f t="shared" si="28"/>
        <v>0</v>
      </c>
      <c r="K250" s="6">
        <f>VLOOKUP(B250,'GIÁ 1.4'!$D:$F,3,0)</f>
        <v>265741</v>
      </c>
      <c r="L250" s="21">
        <f t="shared" si="29"/>
        <v>0</v>
      </c>
    </row>
    <row r="251" spans="1:12" ht="16.8" x14ac:dyDescent="0.3">
      <c r="A251" s="3">
        <v>28</v>
      </c>
      <c r="B251" s="30" t="s">
        <v>3178</v>
      </c>
      <c r="C251" s="3" t="s">
        <v>6</v>
      </c>
      <c r="D251" s="64">
        <v>189000</v>
      </c>
      <c r="E251" s="1">
        <f t="shared" si="30"/>
        <v>204120</v>
      </c>
      <c r="F251" s="64">
        <v>377778</v>
      </c>
      <c r="G251" s="1">
        <f t="shared" si="27"/>
        <v>408000.24000000005</v>
      </c>
      <c r="I251" s="6">
        <f>VLOOKUP(B251,'GIÁ 1.4'!$D:$F,2,0)</f>
        <v>189000</v>
      </c>
      <c r="J251" s="21">
        <f t="shared" si="28"/>
        <v>0</v>
      </c>
      <c r="K251" s="6">
        <f>VLOOKUP(B251,'GIÁ 1.4'!$D:$F,3,0)</f>
        <v>377778</v>
      </c>
      <c r="L251" s="21">
        <f t="shared" si="29"/>
        <v>0</v>
      </c>
    </row>
    <row r="252" spans="1:12" ht="16.8" x14ac:dyDescent="0.3">
      <c r="A252" s="3">
        <v>29</v>
      </c>
      <c r="B252" s="30" t="s">
        <v>4003</v>
      </c>
      <c r="C252" s="3" t="s">
        <v>6</v>
      </c>
      <c r="D252" s="64">
        <v>208000</v>
      </c>
      <c r="E252" s="1">
        <f t="shared" si="30"/>
        <v>224640.00000000003</v>
      </c>
      <c r="F252" s="64">
        <v>415741</v>
      </c>
      <c r="G252" s="1">
        <f t="shared" si="27"/>
        <v>449000.28</v>
      </c>
      <c r="I252" s="6">
        <f>VLOOKUP(B252,'GIÁ 1.4'!$D:$F,2,0)</f>
        <v>208000</v>
      </c>
      <c r="J252" s="21">
        <f t="shared" si="28"/>
        <v>0</v>
      </c>
      <c r="K252" s="6">
        <f>VLOOKUP(B252,'GIÁ 1.4'!$D:$F,3,0)</f>
        <v>415741</v>
      </c>
      <c r="L252" s="21">
        <f t="shared" si="29"/>
        <v>0</v>
      </c>
    </row>
    <row r="253" spans="1:12" ht="16.8" x14ac:dyDescent="0.3">
      <c r="A253" s="3">
        <v>30</v>
      </c>
      <c r="B253" s="30" t="s">
        <v>4071</v>
      </c>
      <c r="C253" s="3" t="s">
        <v>6</v>
      </c>
      <c r="D253" s="64">
        <v>26500</v>
      </c>
      <c r="E253" s="1">
        <f t="shared" si="30"/>
        <v>28620.000000000004</v>
      </c>
      <c r="F253" s="64">
        <v>48000</v>
      </c>
      <c r="G253" s="1">
        <f t="shared" si="27"/>
        <v>51840</v>
      </c>
      <c r="I253" s="6">
        <f>VLOOKUP(B253,'GIÁ 1.4'!$D:$F,2,0)</f>
        <v>26500</v>
      </c>
      <c r="J253" s="21">
        <f t="shared" si="28"/>
        <v>0</v>
      </c>
      <c r="K253" s="6">
        <f>VLOOKUP(B253,'GIÁ 1.4'!$D:$F,3,0)</f>
        <v>48000</v>
      </c>
      <c r="L253" s="21">
        <f t="shared" si="29"/>
        <v>0</v>
      </c>
    </row>
    <row r="254" spans="1:12" ht="16.8" x14ac:dyDescent="0.3">
      <c r="A254" s="3">
        <v>31</v>
      </c>
      <c r="B254" s="30" t="s">
        <v>2325</v>
      </c>
      <c r="C254" s="3" t="s">
        <v>6</v>
      </c>
      <c r="D254" s="64">
        <v>27000</v>
      </c>
      <c r="E254" s="1">
        <f t="shared" si="30"/>
        <v>29160.000000000004</v>
      </c>
      <c r="F254" s="64">
        <v>53704</v>
      </c>
      <c r="G254" s="1">
        <f t="shared" si="27"/>
        <v>58000.320000000007</v>
      </c>
      <c r="I254" s="6">
        <f>VLOOKUP(B254,'GIÁ 1.4'!$D:$F,2,0)</f>
        <v>27000</v>
      </c>
      <c r="J254" s="21">
        <f t="shared" si="28"/>
        <v>0</v>
      </c>
      <c r="K254" s="6">
        <f>VLOOKUP(B254,'GIÁ 1.4'!$D:$F,3,0)</f>
        <v>53704</v>
      </c>
      <c r="L254" s="21">
        <f t="shared" si="29"/>
        <v>0</v>
      </c>
    </row>
    <row r="255" spans="1:12" ht="16.8" x14ac:dyDescent="0.3">
      <c r="A255" s="3">
        <v>32</v>
      </c>
      <c r="B255" s="30" t="s">
        <v>2711</v>
      </c>
      <c r="C255" s="3" t="s">
        <v>6</v>
      </c>
      <c r="D255" s="64">
        <v>35900</v>
      </c>
      <c r="E255" s="1">
        <f t="shared" si="30"/>
        <v>38772</v>
      </c>
      <c r="F255" s="64">
        <v>71759</v>
      </c>
      <c r="G255" s="1">
        <f t="shared" ref="G255:G286" si="31">F255*1.08</f>
        <v>77499.72</v>
      </c>
      <c r="I255" s="6">
        <f>VLOOKUP(B255,'GIÁ 1.4'!$D:$F,2,0)</f>
        <v>35900</v>
      </c>
      <c r="J255" s="21">
        <f t="shared" si="28"/>
        <v>0</v>
      </c>
      <c r="K255" s="6">
        <f>VLOOKUP(B255,'GIÁ 1.4'!$D:$F,3,0)</f>
        <v>71759</v>
      </c>
      <c r="L255" s="21">
        <f t="shared" si="29"/>
        <v>0</v>
      </c>
    </row>
    <row r="256" spans="1:12" ht="16.8" x14ac:dyDescent="0.3">
      <c r="A256" s="3">
        <v>33</v>
      </c>
      <c r="B256" s="30" t="s">
        <v>4308</v>
      </c>
      <c r="C256" s="3" t="s">
        <v>6</v>
      </c>
      <c r="D256" s="64">
        <v>46400</v>
      </c>
      <c r="E256" s="1">
        <f t="shared" si="30"/>
        <v>50112</v>
      </c>
      <c r="F256" s="64">
        <v>92778</v>
      </c>
      <c r="G256" s="1">
        <f t="shared" si="31"/>
        <v>100200.24</v>
      </c>
      <c r="I256" s="6">
        <f>VLOOKUP(B256,'GIÁ 1.4'!$D:$F,2,0)</f>
        <v>46400</v>
      </c>
      <c r="J256" s="21">
        <f t="shared" ref="J256:J285" si="32">D256-I256</f>
        <v>0</v>
      </c>
      <c r="K256" s="6">
        <f>VLOOKUP(B256,'GIÁ 1.4'!$D:$F,3,0)</f>
        <v>92778</v>
      </c>
      <c r="L256" s="21">
        <f t="shared" ref="L256:L285" si="33">F256-K256</f>
        <v>0</v>
      </c>
    </row>
    <row r="257" spans="1:12" ht="16.8" x14ac:dyDescent="0.3">
      <c r="A257" s="3">
        <v>34</v>
      </c>
      <c r="B257" s="30" t="s">
        <v>9506</v>
      </c>
      <c r="C257" s="3" t="s">
        <v>6</v>
      </c>
      <c r="D257" s="64">
        <v>37900</v>
      </c>
      <c r="E257" s="1">
        <f t="shared" si="30"/>
        <v>40932</v>
      </c>
      <c r="F257" s="64">
        <v>75833</v>
      </c>
      <c r="G257" s="1">
        <f t="shared" si="31"/>
        <v>81899.64</v>
      </c>
      <c r="I257" s="6">
        <f>VLOOKUP(B257,'GIÁ 1.4'!$D:$F,2,0)</f>
        <v>37900</v>
      </c>
      <c r="J257" s="21">
        <f t="shared" si="32"/>
        <v>0</v>
      </c>
      <c r="K257" s="6">
        <f>VLOOKUP(B257,'GIÁ 1.4'!$D:$F,3,0)</f>
        <v>75833</v>
      </c>
      <c r="L257" s="21">
        <f t="shared" si="33"/>
        <v>0</v>
      </c>
    </row>
    <row r="258" spans="1:12" ht="16.8" x14ac:dyDescent="0.3">
      <c r="A258" s="3">
        <v>35</v>
      </c>
      <c r="B258" s="30" t="s">
        <v>2469</v>
      </c>
      <c r="C258" s="3" t="s">
        <v>6</v>
      </c>
      <c r="D258" s="64">
        <v>48400</v>
      </c>
      <c r="E258" s="1">
        <f t="shared" si="30"/>
        <v>52272</v>
      </c>
      <c r="F258" s="64">
        <v>96759</v>
      </c>
      <c r="G258" s="1">
        <f t="shared" si="31"/>
        <v>104499.72</v>
      </c>
      <c r="I258" s="6">
        <f>VLOOKUP(B258,'GIÁ 1.4'!$D:$F,2,0)</f>
        <v>48400</v>
      </c>
      <c r="J258" s="21">
        <f t="shared" si="32"/>
        <v>0</v>
      </c>
      <c r="K258" s="6">
        <f>VLOOKUP(B258,'GIÁ 1.4'!$D:$F,3,0)</f>
        <v>96759</v>
      </c>
      <c r="L258" s="21">
        <f t="shared" si="33"/>
        <v>0</v>
      </c>
    </row>
    <row r="259" spans="1:12" ht="16.8" x14ac:dyDescent="0.3">
      <c r="A259" s="3">
        <v>36</v>
      </c>
      <c r="B259" s="30" t="s">
        <v>3142</v>
      </c>
      <c r="C259" s="3" t="s">
        <v>6</v>
      </c>
      <c r="D259" s="64">
        <v>51000</v>
      </c>
      <c r="E259" s="1">
        <f t="shared" si="30"/>
        <v>55080</v>
      </c>
      <c r="F259" s="64">
        <v>101852</v>
      </c>
      <c r="G259" s="1">
        <f t="shared" si="31"/>
        <v>110000.16</v>
      </c>
      <c r="I259" s="6">
        <f>VLOOKUP(B259,'GIÁ 1.4'!$D:$F,2,0)</f>
        <v>51000</v>
      </c>
      <c r="J259" s="21">
        <f t="shared" si="32"/>
        <v>0</v>
      </c>
      <c r="K259" s="6">
        <f>VLOOKUP(B259,'GIÁ 1.4'!$D:$F,3,0)</f>
        <v>101852</v>
      </c>
      <c r="L259" s="21">
        <f t="shared" si="33"/>
        <v>0</v>
      </c>
    </row>
    <row r="260" spans="1:12" ht="16.8" x14ac:dyDescent="0.3">
      <c r="A260" s="3">
        <v>37</v>
      </c>
      <c r="B260" s="30" t="s">
        <v>4472</v>
      </c>
      <c r="C260" s="3" t="s">
        <v>6</v>
      </c>
      <c r="D260" s="64">
        <v>61300</v>
      </c>
      <c r="E260" s="1">
        <f t="shared" si="30"/>
        <v>66204</v>
      </c>
      <c r="F260" s="64">
        <v>122222</v>
      </c>
      <c r="G260" s="1">
        <f t="shared" si="31"/>
        <v>131999.76</v>
      </c>
      <c r="I260" s="6">
        <f>VLOOKUP(B260,'GIÁ 1.4'!$D:$F,2,0)</f>
        <v>61300</v>
      </c>
      <c r="J260" s="21">
        <f t="shared" si="32"/>
        <v>0</v>
      </c>
      <c r="K260" s="6">
        <f>VLOOKUP(B260,'GIÁ 1.4'!$D:$F,3,0)</f>
        <v>122222</v>
      </c>
      <c r="L260" s="21">
        <f t="shared" si="33"/>
        <v>0</v>
      </c>
    </row>
    <row r="261" spans="1:12" ht="16.8" x14ac:dyDescent="0.3">
      <c r="A261" s="3">
        <v>38</v>
      </c>
      <c r="B261" s="30" t="s">
        <v>2287</v>
      </c>
      <c r="C261" s="3" t="s">
        <v>6</v>
      </c>
      <c r="D261" s="64">
        <v>40000</v>
      </c>
      <c r="E261" s="1">
        <f t="shared" si="30"/>
        <v>43200</v>
      </c>
      <c r="F261" s="64">
        <v>85185</v>
      </c>
      <c r="G261" s="1">
        <f t="shared" si="31"/>
        <v>91999.8</v>
      </c>
      <c r="I261" s="6">
        <f>VLOOKUP(B261,'GIÁ 1.4'!$D:$F,2,0)</f>
        <v>40000</v>
      </c>
      <c r="J261" s="21">
        <f t="shared" si="32"/>
        <v>0</v>
      </c>
      <c r="K261" s="6">
        <f>VLOOKUP(B261,'GIÁ 1.4'!$D:$F,3,0)</f>
        <v>85185</v>
      </c>
      <c r="L261" s="21">
        <f t="shared" si="33"/>
        <v>0</v>
      </c>
    </row>
    <row r="262" spans="1:12" ht="16.8" x14ac:dyDescent="0.3">
      <c r="A262" s="3">
        <v>39</v>
      </c>
      <c r="B262" s="30" t="s">
        <v>2293</v>
      </c>
      <c r="C262" s="3" t="s">
        <v>6</v>
      </c>
      <c r="D262" s="64">
        <v>38500</v>
      </c>
      <c r="E262" s="1">
        <f t="shared" si="30"/>
        <v>41580</v>
      </c>
      <c r="F262" s="64">
        <v>76852</v>
      </c>
      <c r="G262" s="1">
        <f t="shared" si="31"/>
        <v>83000.160000000003</v>
      </c>
      <c r="I262" s="6">
        <f>VLOOKUP(B262,'GIÁ 1.4'!$D:$F,2,0)</f>
        <v>38500</v>
      </c>
      <c r="J262" s="21">
        <f t="shared" si="32"/>
        <v>0</v>
      </c>
      <c r="K262" s="6">
        <f>VLOOKUP(B262,'GIÁ 1.4'!$D:$F,3,0)</f>
        <v>76852</v>
      </c>
      <c r="L262" s="21">
        <f t="shared" si="33"/>
        <v>0</v>
      </c>
    </row>
    <row r="263" spans="1:12" ht="16.8" x14ac:dyDescent="0.3">
      <c r="A263" s="3">
        <v>40</v>
      </c>
      <c r="B263" s="30" t="s">
        <v>2503</v>
      </c>
      <c r="C263" s="3" t="s">
        <v>6</v>
      </c>
      <c r="D263" s="64">
        <v>38000</v>
      </c>
      <c r="E263" s="1">
        <f t="shared" si="30"/>
        <v>41040</v>
      </c>
      <c r="F263" s="64">
        <v>75926</v>
      </c>
      <c r="G263" s="1">
        <f t="shared" si="31"/>
        <v>82000.08</v>
      </c>
      <c r="I263" s="6">
        <f>VLOOKUP(B263,'GIÁ 1.4'!$D:$F,2,0)</f>
        <v>38000</v>
      </c>
      <c r="J263" s="21">
        <f t="shared" si="32"/>
        <v>0</v>
      </c>
      <c r="K263" s="6">
        <f>VLOOKUP(B263,'GIÁ 1.4'!$D:$F,3,0)</f>
        <v>75926</v>
      </c>
      <c r="L263" s="21">
        <f t="shared" si="33"/>
        <v>0</v>
      </c>
    </row>
    <row r="264" spans="1:12" ht="16.8" x14ac:dyDescent="0.3">
      <c r="A264" s="3">
        <v>41</v>
      </c>
      <c r="B264" s="30" t="s">
        <v>2383</v>
      </c>
      <c r="C264" s="3" t="s">
        <v>6</v>
      </c>
      <c r="D264" s="64">
        <v>104000</v>
      </c>
      <c r="E264" s="1">
        <f t="shared" si="30"/>
        <v>112320.00000000001</v>
      </c>
      <c r="F264" s="64">
        <v>213889</v>
      </c>
      <c r="G264" s="1">
        <f t="shared" si="31"/>
        <v>231000.12000000002</v>
      </c>
      <c r="I264" s="6">
        <f>VLOOKUP(B264,'GIÁ 1.4'!$D:$F,2,0)</f>
        <v>104000</v>
      </c>
      <c r="J264" s="21">
        <f t="shared" si="32"/>
        <v>0</v>
      </c>
      <c r="K264" s="6">
        <f>VLOOKUP(B264,'GIÁ 1.4'!$D:$F,3,0)</f>
        <v>213889</v>
      </c>
      <c r="L264" s="21">
        <f t="shared" si="33"/>
        <v>0</v>
      </c>
    </row>
    <row r="265" spans="1:12" ht="16.8" x14ac:dyDescent="0.3">
      <c r="A265" s="3">
        <v>42</v>
      </c>
      <c r="B265" s="30" t="s">
        <v>4482</v>
      </c>
      <c r="C265" s="3" t="s">
        <v>6</v>
      </c>
      <c r="D265" s="64">
        <v>104000</v>
      </c>
      <c r="E265" s="1">
        <f t="shared" si="30"/>
        <v>112320.00000000001</v>
      </c>
      <c r="F265" s="64">
        <v>213889</v>
      </c>
      <c r="G265" s="1">
        <f t="shared" si="31"/>
        <v>231000.12000000002</v>
      </c>
      <c r="I265" s="6">
        <f>VLOOKUP(B265,'GIÁ 1.4'!$D:$F,2,0)</f>
        <v>104000</v>
      </c>
      <c r="J265" s="21">
        <f t="shared" si="32"/>
        <v>0</v>
      </c>
      <c r="K265" s="6">
        <f>VLOOKUP(B265,'GIÁ 1.4'!$D:$F,3,0)</f>
        <v>213889</v>
      </c>
      <c r="L265" s="21">
        <f t="shared" si="33"/>
        <v>0</v>
      </c>
    </row>
    <row r="266" spans="1:12" ht="16.8" x14ac:dyDescent="0.3">
      <c r="A266" s="3">
        <v>43</v>
      </c>
      <c r="B266" s="30" t="s">
        <v>4750</v>
      </c>
      <c r="C266" s="3" t="s">
        <v>6</v>
      </c>
      <c r="D266" s="64">
        <v>143000</v>
      </c>
      <c r="E266" s="1">
        <f t="shared" si="30"/>
        <v>154440</v>
      </c>
      <c r="F266" s="64">
        <v>286111</v>
      </c>
      <c r="G266" s="1">
        <f t="shared" si="31"/>
        <v>308999.88</v>
      </c>
      <c r="I266" s="6">
        <f>VLOOKUP(B266,'GIÁ 1.4'!$D:$F,2,0)</f>
        <v>143000</v>
      </c>
      <c r="J266" s="21">
        <f t="shared" si="32"/>
        <v>0</v>
      </c>
      <c r="K266" s="6">
        <f>VLOOKUP(B266,'GIÁ 1.4'!$D:$F,3,0)</f>
        <v>286111</v>
      </c>
      <c r="L266" s="21">
        <f t="shared" si="33"/>
        <v>0</v>
      </c>
    </row>
    <row r="267" spans="1:12" ht="16.8" x14ac:dyDescent="0.3">
      <c r="A267" s="3">
        <v>44</v>
      </c>
      <c r="B267" s="30" t="s">
        <v>10498</v>
      </c>
      <c r="C267" s="3" t="s">
        <v>6</v>
      </c>
      <c r="D267" s="64">
        <v>72000</v>
      </c>
      <c r="E267" s="1">
        <f t="shared" si="30"/>
        <v>77760</v>
      </c>
      <c r="F267" s="64">
        <v>143519</v>
      </c>
      <c r="G267" s="1">
        <f t="shared" si="31"/>
        <v>155000.52000000002</v>
      </c>
      <c r="I267" s="6">
        <f>VLOOKUP(B267,'GIÁ 1.4'!$D:$F,2,0)</f>
        <v>72000</v>
      </c>
      <c r="J267" s="21">
        <f t="shared" si="32"/>
        <v>0</v>
      </c>
      <c r="K267" s="6">
        <f>VLOOKUP(B267,'GIÁ 1.4'!$D:$F,3,0)</f>
        <v>143519</v>
      </c>
      <c r="L267" s="21">
        <f t="shared" si="33"/>
        <v>0</v>
      </c>
    </row>
    <row r="268" spans="1:12" ht="16.8" x14ac:dyDescent="0.3">
      <c r="A268" s="3">
        <v>45</v>
      </c>
      <c r="B268" s="30" t="s">
        <v>3054</v>
      </c>
      <c r="C268" s="3" t="s">
        <v>6</v>
      </c>
      <c r="D268" s="64">
        <v>102000</v>
      </c>
      <c r="E268" s="1">
        <f t="shared" si="30"/>
        <v>110160</v>
      </c>
      <c r="F268" s="64">
        <v>203704</v>
      </c>
      <c r="G268" s="1">
        <f t="shared" si="31"/>
        <v>220000.32</v>
      </c>
      <c r="I268" s="6">
        <f>VLOOKUP(B268,'GIÁ 1.4'!$D:$F,2,0)</f>
        <v>102000</v>
      </c>
      <c r="J268" s="21">
        <f t="shared" si="32"/>
        <v>0</v>
      </c>
      <c r="K268" s="6">
        <f>VLOOKUP(B268,'GIÁ 1.4'!$D:$F,3,0)</f>
        <v>203704</v>
      </c>
      <c r="L268" s="21">
        <f t="shared" si="33"/>
        <v>0</v>
      </c>
    </row>
    <row r="269" spans="1:12" ht="16.8" x14ac:dyDescent="0.3">
      <c r="A269" s="3">
        <v>46</v>
      </c>
      <c r="B269" s="30" t="s">
        <v>5243</v>
      </c>
      <c r="C269" s="3" t="s">
        <v>6</v>
      </c>
      <c r="D269" s="64">
        <v>72300</v>
      </c>
      <c r="E269" s="1">
        <f t="shared" si="30"/>
        <v>78084</v>
      </c>
      <c r="F269" s="64">
        <v>144444</v>
      </c>
      <c r="G269" s="1">
        <f t="shared" si="31"/>
        <v>155999.52000000002</v>
      </c>
      <c r="I269" s="6">
        <f>VLOOKUP(B269,'GIÁ 1.4'!$D:$F,2,0)</f>
        <v>72300</v>
      </c>
      <c r="J269" s="21">
        <f t="shared" si="32"/>
        <v>0</v>
      </c>
      <c r="K269" s="6">
        <f>VLOOKUP(B269,'GIÁ 1.4'!$D:$F,3,0)</f>
        <v>144444</v>
      </c>
      <c r="L269" s="21">
        <f t="shared" si="33"/>
        <v>0</v>
      </c>
    </row>
    <row r="270" spans="1:12" ht="16.8" x14ac:dyDescent="0.3">
      <c r="A270" s="3">
        <v>47</v>
      </c>
      <c r="B270" s="30" t="s">
        <v>4486</v>
      </c>
      <c r="C270" s="3" t="s">
        <v>6</v>
      </c>
      <c r="D270" s="64">
        <v>70400</v>
      </c>
      <c r="E270" s="1">
        <f t="shared" si="30"/>
        <v>76032</v>
      </c>
      <c r="F270" s="64">
        <v>140741</v>
      </c>
      <c r="G270" s="1">
        <f t="shared" si="31"/>
        <v>152000.28</v>
      </c>
      <c r="I270" s="6">
        <f>VLOOKUP(B270,'GIÁ 1.4'!$D:$F,2,0)</f>
        <v>70400</v>
      </c>
      <c r="J270" s="21">
        <f t="shared" si="32"/>
        <v>0</v>
      </c>
      <c r="K270" s="6">
        <f>VLOOKUP(B270,'GIÁ 1.4'!$D:$F,3,0)</f>
        <v>140741</v>
      </c>
      <c r="L270" s="21">
        <f t="shared" si="33"/>
        <v>0</v>
      </c>
    </row>
    <row r="271" spans="1:12" ht="16.8" x14ac:dyDescent="0.3">
      <c r="A271" s="3">
        <v>48</v>
      </c>
      <c r="B271" s="30" t="s">
        <v>4306</v>
      </c>
      <c r="C271" s="3" t="s">
        <v>6</v>
      </c>
      <c r="D271" s="64">
        <v>72000</v>
      </c>
      <c r="E271" s="1">
        <f t="shared" si="30"/>
        <v>77760</v>
      </c>
      <c r="F271" s="64">
        <v>144000</v>
      </c>
      <c r="G271" s="1">
        <f t="shared" si="31"/>
        <v>155520</v>
      </c>
      <c r="I271" s="6">
        <f>VLOOKUP(B271,'GIÁ 1.4'!$D:$F,2,0)</f>
        <v>72000</v>
      </c>
      <c r="J271" s="21">
        <f t="shared" si="32"/>
        <v>0</v>
      </c>
      <c r="K271" s="6">
        <f>VLOOKUP(B271,'GIÁ 1.4'!$D:$F,3,0)</f>
        <v>144000</v>
      </c>
      <c r="L271" s="21">
        <f t="shared" si="33"/>
        <v>0</v>
      </c>
    </row>
    <row r="272" spans="1:12" ht="16.8" x14ac:dyDescent="0.3">
      <c r="A272" s="3">
        <v>49</v>
      </c>
      <c r="B272" s="30" t="s">
        <v>15586</v>
      </c>
      <c r="C272" s="3" t="s">
        <v>6</v>
      </c>
      <c r="D272" s="64">
        <v>34800</v>
      </c>
      <c r="E272" s="1">
        <f t="shared" si="30"/>
        <v>37584</v>
      </c>
      <c r="F272" s="64">
        <v>69630</v>
      </c>
      <c r="G272" s="1">
        <f t="shared" si="31"/>
        <v>75200.400000000009</v>
      </c>
      <c r="I272" s="6">
        <f>VLOOKUP(B272,'GIÁ 1.4'!$D:$F,2,0)</f>
        <v>34800</v>
      </c>
      <c r="J272" s="21">
        <f t="shared" si="32"/>
        <v>0</v>
      </c>
      <c r="K272" s="6">
        <f>VLOOKUP(B272,'GIÁ 1.4'!$D:$F,3,0)</f>
        <v>69630</v>
      </c>
      <c r="L272" s="21">
        <f t="shared" si="33"/>
        <v>0</v>
      </c>
    </row>
    <row r="273" spans="1:12" ht="16.8" x14ac:dyDescent="0.3">
      <c r="A273" s="3">
        <v>50</v>
      </c>
      <c r="B273" s="30" t="s">
        <v>15587</v>
      </c>
      <c r="C273" s="3" t="s">
        <v>6</v>
      </c>
      <c r="D273" s="64">
        <v>42400</v>
      </c>
      <c r="E273" s="1">
        <f t="shared" si="30"/>
        <v>45792</v>
      </c>
      <c r="F273" s="64">
        <v>84815</v>
      </c>
      <c r="G273" s="1">
        <f t="shared" si="31"/>
        <v>91600.200000000012</v>
      </c>
      <c r="I273" s="6">
        <f>VLOOKUP(B273,'GIÁ 1.4'!$D:$F,2,0)</f>
        <v>42400</v>
      </c>
      <c r="J273" s="21">
        <f t="shared" si="32"/>
        <v>0</v>
      </c>
      <c r="K273" s="6">
        <f>VLOOKUP(B273,'GIÁ 1.4'!$D:$F,3,0)</f>
        <v>84815</v>
      </c>
      <c r="L273" s="21">
        <f t="shared" si="33"/>
        <v>0</v>
      </c>
    </row>
    <row r="274" spans="1:12" ht="16.8" x14ac:dyDescent="0.3">
      <c r="A274" s="3">
        <v>51</v>
      </c>
      <c r="B274" s="30" t="s">
        <v>15588</v>
      </c>
      <c r="C274" s="3" t="s">
        <v>6</v>
      </c>
      <c r="D274" s="64">
        <v>44800</v>
      </c>
      <c r="E274" s="1">
        <f t="shared" si="30"/>
        <v>48384</v>
      </c>
      <c r="F274" s="64">
        <v>89630</v>
      </c>
      <c r="G274" s="1">
        <f t="shared" si="31"/>
        <v>96800.400000000009</v>
      </c>
      <c r="I274" s="6">
        <f>VLOOKUP(B274,'GIÁ 1.4'!$D:$F,2,0)</f>
        <v>44800</v>
      </c>
      <c r="J274" s="21">
        <f t="shared" si="32"/>
        <v>0</v>
      </c>
      <c r="K274" s="6">
        <f>VLOOKUP(B274,'GIÁ 1.4'!$D:$F,3,0)</f>
        <v>89630</v>
      </c>
      <c r="L274" s="21">
        <f t="shared" si="33"/>
        <v>0</v>
      </c>
    </row>
    <row r="275" spans="1:12" ht="16.8" x14ac:dyDescent="0.3">
      <c r="A275" s="3">
        <v>52</v>
      </c>
      <c r="B275" s="30" t="s">
        <v>15589</v>
      </c>
      <c r="C275" s="3" t="s">
        <v>6</v>
      </c>
      <c r="D275" s="64">
        <v>53000</v>
      </c>
      <c r="E275" s="1">
        <f t="shared" si="30"/>
        <v>57240.000000000007</v>
      </c>
      <c r="F275" s="64">
        <v>105556</v>
      </c>
      <c r="G275" s="1">
        <f t="shared" si="31"/>
        <v>114000.48000000001</v>
      </c>
      <c r="I275" s="6">
        <f>VLOOKUP(B275,'GIÁ 1.4'!$D:$F,2,0)</f>
        <v>53000</v>
      </c>
      <c r="J275" s="21">
        <f t="shared" si="32"/>
        <v>0</v>
      </c>
      <c r="K275" s="6">
        <f>VLOOKUP(B275,'GIÁ 1.4'!$D:$F,3,0)</f>
        <v>105556</v>
      </c>
      <c r="L275" s="21">
        <f t="shared" si="33"/>
        <v>0</v>
      </c>
    </row>
    <row r="276" spans="1:12" ht="16.8" x14ac:dyDescent="0.3">
      <c r="A276" s="3">
        <v>53</v>
      </c>
      <c r="B276" s="30" t="s">
        <v>2918</v>
      </c>
      <c r="C276" s="3" t="s">
        <v>6</v>
      </c>
      <c r="D276" s="64">
        <v>36000</v>
      </c>
      <c r="E276" s="1">
        <f t="shared" si="30"/>
        <v>38880</v>
      </c>
      <c r="F276" s="64">
        <v>72037</v>
      </c>
      <c r="G276" s="1">
        <f t="shared" si="31"/>
        <v>77799.960000000006</v>
      </c>
      <c r="I276" s="6">
        <f>VLOOKUP(B276,'GIÁ 1.4'!$D:$F,2,0)</f>
        <v>36000</v>
      </c>
      <c r="J276" s="21">
        <f t="shared" si="32"/>
        <v>0</v>
      </c>
      <c r="K276" s="6">
        <f>VLOOKUP(B276,'GIÁ 1.4'!$D:$F,3,0)</f>
        <v>72037</v>
      </c>
      <c r="L276" s="21">
        <f t="shared" si="33"/>
        <v>0</v>
      </c>
    </row>
    <row r="277" spans="1:12" ht="16.8" x14ac:dyDescent="0.3">
      <c r="A277" s="3">
        <v>54</v>
      </c>
      <c r="B277" s="31" t="s">
        <v>3736</v>
      </c>
      <c r="C277" s="3" t="s">
        <v>6</v>
      </c>
      <c r="D277" s="65">
        <v>189000</v>
      </c>
      <c r="E277" s="1">
        <f t="shared" si="30"/>
        <v>204120</v>
      </c>
      <c r="F277" s="65">
        <v>377778</v>
      </c>
      <c r="G277" s="1">
        <f t="shared" si="31"/>
        <v>408000.24000000005</v>
      </c>
      <c r="I277" s="6">
        <f>VLOOKUP(B277,'GIÁ 1.4'!$D:$F,2,0)</f>
        <v>189000</v>
      </c>
      <c r="J277" s="21">
        <f t="shared" si="32"/>
        <v>0</v>
      </c>
      <c r="K277" s="6">
        <f>VLOOKUP(B277,'GIÁ 1.4'!$D:$F,3,0)</f>
        <v>377778</v>
      </c>
      <c r="L277" s="21">
        <f t="shared" si="33"/>
        <v>0</v>
      </c>
    </row>
    <row r="278" spans="1:12" ht="16.8" x14ac:dyDescent="0.3">
      <c r="A278" s="3">
        <v>55</v>
      </c>
      <c r="B278" s="31" t="s">
        <v>4091</v>
      </c>
      <c r="C278" s="3" t="s">
        <v>6</v>
      </c>
      <c r="D278" s="65">
        <v>51000</v>
      </c>
      <c r="E278" s="1">
        <f t="shared" si="30"/>
        <v>55080</v>
      </c>
      <c r="F278" s="65">
        <v>101852</v>
      </c>
      <c r="G278" s="1">
        <f t="shared" si="31"/>
        <v>110000.16</v>
      </c>
      <c r="I278" s="6">
        <f>VLOOKUP(B278,'GIÁ 1.4'!$D:$F,2,0)</f>
        <v>51000</v>
      </c>
      <c r="J278" s="21">
        <f t="shared" si="32"/>
        <v>0</v>
      </c>
      <c r="K278" s="6">
        <f>VLOOKUP(B278,'GIÁ 1.4'!$D:$F,3,0)</f>
        <v>101852</v>
      </c>
      <c r="L278" s="21">
        <f t="shared" si="33"/>
        <v>0</v>
      </c>
    </row>
    <row r="279" spans="1:12" ht="16.8" x14ac:dyDescent="0.3">
      <c r="A279" s="3">
        <v>56</v>
      </c>
      <c r="B279" s="31" t="s">
        <v>9528</v>
      </c>
      <c r="C279" s="3" t="s">
        <v>6</v>
      </c>
      <c r="D279" s="65">
        <v>61300</v>
      </c>
      <c r="E279" s="1">
        <f t="shared" si="30"/>
        <v>66204</v>
      </c>
      <c r="F279" s="65">
        <v>122222</v>
      </c>
      <c r="G279" s="1">
        <f t="shared" si="31"/>
        <v>131999.76</v>
      </c>
      <c r="I279" s="6">
        <f>VLOOKUP(B279,'GIÁ 1.4'!$D:$F,2,0)</f>
        <v>61300</v>
      </c>
      <c r="J279" s="21">
        <f t="shared" si="32"/>
        <v>0</v>
      </c>
      <c r="K279" s="6">
        <f>VLOOKUP(B279,'GIÁ 1.4'!$D:$F,3,0)</f>
        <v>122222</v>
      </c>
      <c r="L279" s="21">
        <f t="shared" si="33"/>
        <v>0</v>
      </c>
    </row>
    <row r="280" spans="1:12" ht="16.8" x14ac:dyDescent="0.3">
      <c r="A280" s="3">
        <v>57</v>
      </c>
      <c r="B280" s="31" t="s">
        <v>3076</v>
      </c>
      <c r="C280" s="3" t="s">
        <v>6</v>
      </c>
      <c r="D280" s="65">
        <v>66400</v>
      </c>
      <c r="E280" s="1">
        <f t="shared" si="30"/>
        <v>71712</v>
      </c>
      <c r="F280" s="65">
        <v>132407</v>
      </c>
      <c r="G280" s="1">
        <f t="shared" si="31"/>
        <v>142999.56</v>
      </c>
      <c r="I280" s="6">
        <f>VLOOKUP(B280,'GIÁ 1.4'!$D:$F,2,0)</f>
        <v>66400</v>
      </c>
      <c r="J280" s="21">
        <f t="shared" si="32"/>
        <v>0</v>
      </c>
      <c r="K280" s="6">
        <f>VLOOKUP(B280,'GIÁ 1.4'!$D:$F,3,0)</f>
        <v>132407</v>
      </c>
      <c r="L280" s="21">
        <f t="shared" si="33"/>
        <v>0</v>
      </c>
    </row>
    <row r="281" spans="1:12" ht="16.8" x14ac:dyDescent="0.3">
      <c r="A281" s="3">
        <v>58</v>
      </c>
      <c r="B281" s="31" t="s">
        <v>3740</v>
      </c>
      <c r="C281" s="3" t="s">
        <v>6</v>
      </c>
      <c r="D281" s="65">
        <v>75300</v>
      </c>
      <c r="E281" s="1">
        <f t="shared" si="30"/>
        <v>81324</v>
      </c>
      <c r="F281" s="65">
        <v>150926</v>
      </c>
      <c r="G281" s="1">
        <f t="shared" si="31"/>
        <v>163000.08000000002</v>
      </c>
      <c r="I281" s="6">
        <f>VLOOKUP(B281,'GIÁ 1.4'!$D:$F,2,0)</f>
        <v>75300</v>
      </c>
      <c r="J281" s="21">
        <f t="shared" si="32"/>
        <v>0</v>
      </c>
      <c r="K281" s="6">
        <f>VLOOKUP(B281,'GIÁ 1.4'!$D:$F,3,0)</f>
        <v>150926</v>
      </c>
      <c r="L281" s="21">
        <f t="shared" si="33"/>
        <v>0</v>
      </c>
    </row>
    <row r="282" spans="1:12" ht="16.8" x14ac:dyDescent="0.3">
      <c r="A282" s="3">
        <v>59</v>
      </c>
      <c r="B282" s="31" t="s">
        <v>3546</v>
      </c>
      <c r="C282" s="3" t="s">
        <v>6</v>
      </c>
      <c r="D282" s="65">
        <v>88500</v>
      </c>
      <c r="E282" s="1">
        <f t="shared" si="30"/>
        <v>95580</v>
      </c>
      <c r="F282" s="65">
        <v>176852</v>
      </c>
      <c r="G282" s="1">
        <f t="shared" si="31"/>
        <v>191000.16</v>
      </c>
      <c r="I282" s="6">
        <f>VLOOKUP(B282,'GIÁ 1.4'!$D:$F,2,0)</f>
        <v>88500</v>
      </c>
      <c r="J282" s="21">
        <f t="shared" si="32"/>
        <v>0</v>
      </c>
      <c r="K282" s="6">
        <f>VLOOKUP(B282,'GIÁ 1.4'!$D:$F,3,0)</f>
        <v>176852</v>
      </c>
      <c r="L282" s="21">
        <f t="shared" si="33"/>
        <v>0</v>
      </c>
    </row>
    <row r="283" spans="1:12" ht="16.8" x14ac:dyDescent="0.3">
      <c r="A283" s="3">
        <v>60</v>
      </c>
      <c r="B283" s="31" t="s">
        <v>5261</v>
      </c>
      <c r="C283" s="3" t="s">
        <v>6</v>
      </c>
      <c r="D283" s="65">
        <v>97200</v>
      </c>
      <c r="E283" s="1">
        <f t="shared" si="30"/>
        <v>104976</v>
      </c>
      <c r="F283" s="65">
        <v>194444</v>
      </c>
      <c r="G283" s="1">
        <f t="shared" si="31"/>
        <v>209999.52000000002</v>
      </c>
      <c r="I283" s="6">
        <f>VLOOKUP(B283,'GIÁ 1.4'!$D:$F,2,0)</f>
        <v>97200</v>
      </c>
      <c r="J283" s="21">
        <f t="shared" si="32"/>
        <v>0</v>
      </c>
      <c r="K283" s="6">
        <f>VLOOKUP(B283,'GIÁ 1.4'!$D:$F,3,0)</f>
        <v>194444</v>
      </c>
      <c r="L283" s="21">
        <f t="shared" si="33"/>
        <v>0</v>
      </c>
    </row>
    <row r="284" spans="1:12" ht="16.8" x14ac:dyDescent="0.3">
      <c r="A284" s="3">
        <v>61</v>
      </c>
      <c r="B284" s="2" t="s">
        <v>5041</v>
      </c>
      <c r="C284" s="3" t="s">
        <v>6</v>
      </c>
      <c r="D284" s="64">
        <v>37900</v>
      </c>
      <c r="E284" s="1">
        <f t="shared" si="30"/>
        <v>40932</v>
      </c>
      <c r="F284" s="64">
        <v>75833</v>
      </c>
      <c r="G284" s="1">
        <f t="shared" si="31"/>
        <v>81899.64</v>
      </c>
      <c r="I284" s="6">
        <f>VLOOKUP(B284,'GIÁ 1.4'!$D:$F,2,0)</f>
        <v>37900</v>
      </c>
      <c r="J284" s="21">
        <f t="shared" si="32"/>
        <v>0</v>
      </c>
      <c r="K284" s="6">
        <f>VLOOKUP(B284,'GIÁ 1.4'!$D:$F,3,0)</f>
        <v>75833</v>
      </c>
      <c r="L284" s="21">
        <f t="shared" si="33"/>
        <v>0</v>
      </c>
    </row>
    <row r="285" spans="1:12" ht="16.8" x14ac:dyDescent="0.3">
      <c r="A285" s="3">
        <v>62</v>
      </c>
      <c r="B285" s="2" t="s">
        <v>4758</v>
      </c>
      <c r="C285" s="3" t="s">
        <v>6</v>
      </c>
      <c r="D285" s="64">
        <v>48400</v>
      </c>
      <c r="E285" s="1">
        <f t="shared" si="30"/>
        <v>52272</v>
      </c>
      <c r="F285" s="64">
        <v>96759</v>
      </c>
      <c r="G285" s="1">
        <f t="shared" si="31"/>
        <v>104499.72</v>
      </c>
      <c r="I285" s="6">
        <f>VLOOKUP(B285,'GIÁ 1.4'!$D:$F,2,0)</f>
        <v>48400</v>
      </c>
      <c r="J285" s="21">
        <f t="shared" si="32"/>
        <v>0</v>
      </c>
      <c r="K285" s="6">
        <f>VLOOKUP(B285,'GIÁ 1.4'!$D:$F,3,0)</f>
        <v>96759</v>
      </c>
      <c r="L285" s="21">
        <f t="shared" si="33"/>
        <v>0</v>
      </c>
    </row>
    <row r="286" spans="1:12" ht="16.8" x14ac:dyDescent="0.3">
      <c r="A286" s="3"/>
      <c r="B286" s="36" t="s">
        <v>15590</v>
      </c>
      <c r="C286" s="27"/>
      <c r="D286" s="69"/>
      <c r="E286" s="1">
        <f t="shared" si="30"/>
        <v>0</v>
      </c>
      <c r="F286" s="69"/>
      <c r="G286" s="1">
        <f t="shared" si="31"/>
        <v>0</v>
      </c>
      <c r="J286" s="21"/>
      <c r="L286" s="21"/>
    </row>
    <row r="287" spans="1:12" ht="16.8" x14ac:dyDescent="0.3">
      <c r="A287" s="3">
        <v>1</v>
      </c>
      <c r="B287" s="30" t="s">
        <v>4856</v>
      </c>
      <c r="C287" s="3" t="s">
        <v>6</v>
      </c>
      <c r="D287" s="64">
        <v>54400</v>
      </c>
      <c r="E287" s="1">
        <f t="shared" si="30"/>
        <v>58752.000000000007</v>
      </c>
      <c r="F287" s="64">
        <v>122222</v>
      </c>
      <c r="G287" s="1">
        <f t="shared" ref="G287:G318" si="34">F287*1.08</f>
        <v>131999.76</v>
      </c>
      <c r="I287" s="6">
        <f>VLOOKUP(B287,'GIÁ 1.4'!$D:$F,2,0)</f>
        <v>54400</v>
      </c>
      <c r="J287" s="21">
        <f t="shared" ref="J287:J318" si="35">D287-I287</f>
        <v>0</v>
      </c>
      <c r="K287" s="6">
        <f>VLOOKUP(B287,'GIÁ 1.4'!$D:$F,3,0)</f>
        <v>122222</v>
      </c>
      <c r="L287" s="21">
        <f t="shared" ref="L287:L318" si="36">F287-K287</f>
        <v>0</v>
      </c>
    </row>
    <row r="288" spans="1:12" ht="16.8" x14ac:dyDescent="0.3">
      <c r="A288" s="3">
        <v>2</v>
      </c>
      <c r="B288" s="30" t="s">
        <v>6588</v>
      </c>
      <c r="C288" s="3" t="s">
        <v>6</v>
      </c>
      <c r="D288" s="64">
        <v>54400</v>
      </c>
      <c r="E288" s="1">
        <f t="shared" si="30"/>
        <v>58752.000000000007</v>
      </c>
      <c r="F288" s="64">
        <v>122222</v>
      </c>
      <c r="G288" s="1">
        <f t="shared" si="34"/>
        <v>131999.76</v>
      </c>
      <c r="I288" s="6">
        <f>VLOOKUP(B288,'GIÁ 1.4'!$D:$F,2,0)</f>
        <v>54400</v>
      </c>
      <c r="J288" s="21">
        <f t="shared" si="35"/>
        <v>0</v>
      </c>
      <c r="K288" s="6">
        <f>VLOOKUP(B288,'GIÁ 1.4'!$D:$F,3,0)</f>
        <v>122222</v>
      </c>
      <c r="L288" s="21">
        <f t="shared" si="36"/>
        <v>0</v>
      </c>
    </row>
    <row r="289" spans="1:12" ht="16.8" x14ac:dyDescent="0.3">
      <c r="A289" s="3">
        <v>3</v>
      </c>
      <c r="B289" s="30" t="s">
        <v>5377</v>
      </c>
      <c r="C289" s="3" t="s">
        <v>6</v>
      </c>
      <c r="D289" s="64">
        <v>59600</v>
      </c>
      <c r="E289" s="1">
        <f t="shared" si="30"/>
        <v>64368.000000000007</v>
      </c>
      <c r="F289" s="64">
        <v>133333</v>
      </c>
      <c r="G289" s="1">
        <f t="shared" si="34"/>
        <v>143999.64000000001</v>
      </c>
      <c r="I289" s="6">
        <f>VLOOKUP(B289,'GIÁ 1.4'!$D:$F,2,0)</f>
        <v>59600</v>
      </c>
      <c r="J289" s="21">
        <f t="shared" si="35"/>
        <v>0</v>
      </c>
      <c r="K289" s="6">
        <f>VLOOKUP(B289,'GIÁ 1.4'!$D:$F,3,0)</f>
        <v>133333</v>
      </c>
      <c r="L289" s="21">
        <f t="shared" si="36"/>
        <v>0</v>
      </c>
    </row>
    <row r="290" spans="1:12" ht="16.8" x14ac:dyDescent="0.3">
      <c r="A290" s="3">
        <v>4</v>
      </c>
      <c r="B290" s="30" t="s">
        <v>7974</v>
      </c>
      <c r="C290" s="3" t="s">
        <v>6</v>
      </c>
      <c r="D290" s="64">
        <v>59600</v>
      </c>
      <c r="E290" s="1">
        <f t="shared" si="30"/>
        <v>64368.000000000007</v>
      </c>
      <c r="F290" s="64">
        <v>133333</v>
      </c>
      <c r="G290" s="1">
        <f t="shared" si="34"/>
        <v>143999.64000000001</v>
      </c>
      <c r="I290" s="6">
        <f>VLOOKUP(B290,'GIÁ 1.4'!$D:$F,2,0)</f>
        <v>59600</v>
      </c>
      <c r="J290" s="21">
        <f t="shared" si="35"/>
        <v>0</v>
      </c>
      <c r="K290" s="6">
        <f>VLOOKUP(B290,'GIÁ 1.4'!$D:$F,3,0)</f>
        <v>133333</v>
      </c>
      <c r="L290" s="21">
        <f t="shared" si="36"/>
        <v>0</v>
      </c>
    </row>
    <row r="291" spans="1:12" ht="16.8" x14ac:dyDescent="0.3">
      <c r="A291" s="3">
        <v>5</v>
      </c>
      <c r="B291" s="30" t="s">
        <v>7436</v>
      </c>
      <c r="C291" s="3" t="s">
        <v>6</v>
      </c>
      <c r="D291" s="64">
        <v>61400</v>
      </c>
      <c r="E291" s="1">
        <f t="shared" si="30"/>
        <v>66312</v>
      </c>
      <c r="F291" s="64">
        <v>136111</v>
      </c>
      <c r="G291" s="1">
        <f t="shared" si="34"/>
        <v>146999.88</v>
      </c>
      <c r="I291" s="6">
        <f>VLOOKUP(B291,'GIÁ 1.4'!$D:$F,2,0)</f>
        <v>61400</v>
      </c>
      <c r="J291" s="21">
        <f t="shared" si="35"/>
        <v>0</v>
      </c>
      <c r="K291" s="6">
        <f>VLOOKUP(B291,'GIÁ 1.4'!$D:$F,3,0)</f>
        <v>136111</v>
      </c>
      <c r="L291" s="21">
        <f t="shared" si="36"/>
        <v>0</v>
      </c>
    </row>
    <row r="292" spans="1:12" ht="16.8" x14ac:dyDescent="0.3">
      <c r="A292" s="3">
        <v>6</v>
      </c>
      <c r="B292" s="30" t="s">
        <v>6223</v>
      </c>
      <c r="C292" s="3" t="s">
        <v>6</v>
      </c>
      <c r="D292" s="64">
        <v>61400</v>
      </c>
      <c r="E292" s="1">
        <f t="shared" si="30"/>
        <v>66312</v>
      </c>
      <c r="F292" s="64">
        <v>136111</v>
      </c>
      <c r="G292" s="1">
        <f t="shared" si="34"/>
        <v>146999.88</v>
      </c>
      <c r="I292" s="6">
        <f>VLOOKUP(B292,'GIÁ 1.4'!$D:$F,2,0)</f>
        <v>61400</v>
      </c>
      <c r="J292" s="21">
        <f t="shared" si="35"/>
        <v>0</v>
      </c>
      <c r="K292" s="6">
        <f>VLOOKUP(B292,'GIÁ 1.4'!$D:$F,3,0)</f>
        <v>136111</v>
      </c>
      <c r="L292" s="21">
        <f t="shared" si="36"/>
        <v>0</v>
      </c>
    </row>
    <row r="293" spans="1:12" ht="16.8" x14ac:dyDescent="0.3">
      <c r="A293" s="3">
        <v>7</v>
      </c>
      <c r="B293" s="30" t="s">
        <v>6762</v>
      </c>
      <c r="C293" s="3" t="s">
        <v>6</v>
      </c>
      <c r="D293" s="64">
        <v>70100</v>
      </c>
      <c r="E293" s="1">
        <f t="shared" si="30"/>
        <v>75708</v>
      </c>
      <c r="F293" s="64">
        <v>156481</v>
      </c>
      <c r="G293" s="1">
        <f t="shared" si="34"/>
        <v>168999.48</v>
      </c>
      <c r="I293" s="6">
        <f>VLOOKUP(B293,'GIÁ 1.4'!$D:$F,2,0)</f>
        <v>70100</v>
      </c>
      <c r="J293" s="21">
        <f t="shared" si="35"/>
        <v>0</v>
      </c>
      <c r="K293" s="6">
        <f>VLOOKUP(B293,'GIÁ 1.4'!$D:$F,3,0)</f>
        <v>156481</v>
      </c>
      <c r="L293" s="21">
        <f t="shared" si="36"/>
        <v>0</v>
      </c>
    </row>
    <row r="294" spans="1:12" ht="16.8" x14ac:dyDescent="0.3">
      <c r="A294" s="3">
        <v>8</v>
      </c>
      <c r="B294" s="30" t="s">
        <v>5641</v>
      </c>
      <c r="C294" s="3" t="s">
        <v>6</v>
      </c>
      <c r="D294" s="64">
        <v>70100</v>
      </c>
      <c r="E294" s="1">
        <f t="shared" si="30"/>
        <v>75708</v>
      </c>
      <c r="F294" s="64">
        <v>156481</v>
      </c>
      <c r="G294" s="1">
        <f t="shared" si="34"/>
        <v>168999.48</v>
      </c>
      <c r="I294" s="6">
        <f>VLOOKUP(B294,'GIÁ 1.4'!$D:$F,2,0)</f>
        <v>70100</v>
      </c>
      <c r="J294" s="21">
        <f t="shared" si="35"/>
        <v>0</v>
      </c>
      <c r="K294" s="6">
        <f>VLOOKUP(B294,'GIÁ 1.4'!$D:$F,3,0)</f>
        <v>156481</v>
      </c>
      <c r="L294" s="21">
        <f t="shared" si="36"/>
        <v>0</v>
      </c>
    </row>
    <row r="295" spans="1:12" ht="16.8" x14ac:dyDescent="0.3">
      <c r="A295" s="3">
        <v>9</v>
      </c>
      <c r="B295" s="30" t="s">
        <v>5083</v>
      </c>
      <c r="C295" s="3" t="s">
        <v>6</v>
      </c>
      <c r="D295" s="64">
        <v>76300</v>
      </c>
      <c r="E295" s="1">
        <f t="shared" si="30"/>
        <v>82404</v>
      </c>
      <c r="F295" s="64">
        <v>170370</v>
      </c>
      <c r="G295" s="1">
        <f t="shared" si="34"/>
        <v>183999.6</v>
      </c>
      <c r="I295" s="6">
        <f>VLOOKUP(B295,'GIÁ 1.4'!$D:$F,2,0)</f>
        <v>76300</v>
      </c>
      <c r="J295" s="21">
        <f t="shared" si="35"/>
        <v>0</v>
      </c>
      <c r="K295" s="6">
        <f>VLOOKUP(B295,'GIÁ 1.4'!$D:$F,3,0)</f>
        <v>170370</v>
      </c>
      <c r="L295" s="21">
        <f t="shared" si="36"/>
        <v>0</v>
      </c>
    </row>
    <row r="296" spans="1:12" ht="16.8" x14ac:dyDescent="0.3">
      <c r="A296" s="3">
        <v>10</v>
      </c>
      <c r="B296" s="30" t="s">
        <v>9616</v>
      </c>
      <c r="C296" s="3" t="s">
        <v>6</v>
      </c>
      <c r="D296" s="64">
        <v>76300</v>
      </c>
      <c r="E296" s="1">
        <f t="shared" si="30"/>
        <v>82404</v>
      </c>
      <c r="F296" s="64">
        <v>170370</v>
      </c>
      <c r="G296" s="1">
        <f t="shared" si="34"/>
        <v>183999.6</v>
      </c>
      <c r="I296" s="6">
        <f>VLOOKUP(B296,'GIÁ 1.4'!$D:$F,2,0)</f>
        <v>76300</v>
      </c>
      <c r="J296" s="21">
        <f t="shared" si="35"/>
        <v>0</v>
      </c>
      <c r="K296" s="6">
        <f>VLOOKUP(B296,'GIÁ 1.4'!$D:$F,3,0)</f>
        <v>170370</v>
      </c>
      <c r="L296" s="21">
        <f t="shared" si="36"/>
        <v>0</v>
      </c>
    </row>
    <row r="297" spans="1:12" ht="16.8" x14ac:dyDescent="0.3">
      <c r="A297" s="3">
        <v>11</v>
      </c>
      <c r="B297" s="30" t="s">
        <v>5367</v>
      </c>
      <c r="C297" s="3" t="s">
        <v>6</v>
      </c>
      <c r="D297" s="64">
        <v>93000</v>
      </c>
      <c r="E297" s="1">
        <f t="shared" si="30"/>
        <v>100440</v>
      </c>
      <c r="F297" s="64">
        <v>203636</v>
      </c>
      <c r="G297" s="1">
        <f t="shared" si="34"/>
        <v>219926.88</v>
      </c>
      <c r="I297" s="6">
        <f>VLOOKUP(B297,'GIÁ 1.4'!$D:$F,2,0)</f>
        <v>93000</v>
      </c>
      <c r="J297" s="21">
        <f t="shared" si="35"/>
        <v>0</v>
      </c>
      <c r="K297" s="6">
        <f>VLOOKUP(B297,'GIÁ 1.4'!$D:$F,3,0)</f>
        <v>203636</v>
      </c>
      <c r="L297" s="21">
        <f t="shared" si="36"/>
        <v>0</v>
      </c>
    </row>
    <row r="298" spans="1:12" ht="16.8" x14ac:dyDescent="0.3">
      <c r="A298" s="3">
        <v>12</v>
      </c>
      <c r="B298" s="30" t="s">
        <v>5547</v>
      </c>
      <c r="C298" s="3" t="s">
        <v>6</v>
      </c>
      <c r="D298" s="64">
        <v>71000</v>
      </c>
      <c r="E298" s="1">
        <f t="shared" si="30"/>
        <v>76680</v>
      </c>
      <c r="F298" s="64">
        <v>158333</v>
      </c>
      <c r="G298" s="1">
        <f t="shared" si="34"/>
        <v>170999.64</v>
      </c>
      <c r="I298" s="6">
        <f>VLOOKUP(B298,'GIÁ 1.4'!$D:$F,2,0)</f>
        <v>71000</v>
      </c>
      <c r="J298" s="21">
        <f t="shared" si="35"/>
        <v>0</v>
      </c>
      <c r="K298" s="6">
        <f>VLOOKUP(B298,'GIÁ 1.4'!$D:$F,3,0)</f>
        <v>158333</v>
      </c>
      <c r="L298" s="21">
        <f t="shared" si="36"/>
        <v>0</v>
      </c>
    </row>
    <row r="299" spans="1:12" ht="16.8" x14ac:dyDescent="0.3">
      <c r="A299" s="3">
        <v>13</v>
      </c>
      <c r="B299" s="30" t="s">
        <v>6333</v>
      </c>
      <c r="C299" s="3" t="s">
        <v>6</v>
      </c>
      <c r="D299" s="64">
        <v>71000</v>
      </c>
      <c r="E299" s="1">
        <f t="shared" si="30"/>
        <v>76680</v>
      </c>
      <c r="F299" s="64">
        <v>158333</v>
      </c>
      <c r="G299" s="1">
        <f t="shared" si="34"/>
        <v>170999.64</v>
      </c>
      <c r="I299" s="6">
        <f>VLOOKUP(B299,'GIÁ 1.4'!$D:$F,2,0)</f>
        <v>71000</v>
      </c>
      <c r="J299" s="21">
        <f t="shared" si="35"/>
        <v>0</v>
      </c>
      <c r="K299" s="6">
        <f>VLOOKUP(B299,'GIÁ 1.4'!$D:$F,3,0)</f>
        <v>158333</v>
      </c>
      <c r="L299" s="21">
        <f t="shared" si="36"/>
        <v>0</v>
      </c>
    </row>
    <row r="300" spans="1:12" ht="16.8" x14ac:dyDescent="0.3">
      <c r="A300" s="3">
        <v>14</v>
      </c>
      <c r="B300" s="30" t="s">
        <v>5087</v>
      </c>
      <c r="C300" s="3" t="s">
        <v>6</v>
      </c>
      <c r="D300" s="64">
        <v>71000</v>
      </c>
      <c r="E300" s="1">
        <f t="shared" si="30"/>
        <v>76680</v>
      </c>
      <c r="F300" s="64">
        <v>158333</v>
      </c>
      <c r="G300" s="1">
        <f t="shared" si="34"/>
        <v>170999.64</v>
      </c>
      <c r="I300" s="6">
        <f>VLOOKUP(B300,'GIÁ 1.4'!$D:$F,2,0)</f>
        <v>71000</v>
      </c>
      <c r="J300" s="21">
        <f t="shared" si="35"/>
        <v>0</v>
      </c>
      <c r="K300" s="6">
        <f>VLOOKUP(B300,'GIÁ 1.4'!$D:$F,3,0)</f>
        <v>158333</v>
      </c>
      <c r="L300" s="21">
        <f t="shared" si="36"/>
        <v>0</v>
      </c>
    </row>
    <row r="301" spans="1:12" ht="16.8" x14ac:dyDescent="0.3">
      <c r="A301" s="3">
        <v>15</v>
      </c>
      <c r="B301" s="30" t="s">
        <v>6097</v>
      </c>
      <c r="C301" s="3" t="s">
        <v>6</v>
      </c>
      <c r="D301" s="64">
        <v>71000</v>
      </c>
      <c r="E301" s="1">
        <f t="shared" si="30"/>
        <v>76680</v>
      </c>
      <c r="F301" s="64">
        <v>158333</v>
      </c>
      <c r="G301" s="1">
        <f t="shared" si="34"/>
        <v>170999.64</v>
      </c>
      <c r="I301" s="6">
        <f>VLOOKUP(B301,'GIÁ 1.4'!$D:$F,2,0)</f>
        <v>71000</v>
      </c>
      <c r="J301" s="21">
        <f t="shared" si="35"/>
        <v>0</v>
      </c>
      <c r="K301" s="6">
        <f>VLOOKUP(B301,'GIÁ 1.4'!$D:$F,3,0)</f>
        <v>158333</v>
      </c>
      <c r="L301" s="21">
        <f t="shared" si="36"/>
        <v>0</v>
      </c>
    </row>
    <row r="302" spans="1:12" ht="16.8" x14ac:dyDescent="0.3">
      <c r="A302" s="3">
        <v>16</v>
      </c>
      <c r="B302" s="30" t="s">
        <v>12426</v>
      </c>
      <c r="C302" s="3" t="s">
        <v>6</v>
      </c>
      <c r="D302" s="64">
        <v>77200</v>
      </c>
      <c r="E302" s="1">
        <f t="shared" si="30"/>
        <v>83376</v>
      </c>
      <c r="F302" s="64">
        <v>172222</v>
      </c>
      <c r="G302" s="1">
        <f t="shared" si="34"/>
        <v>185999.76</v>
      </c>
      <c r="I302" s="6">
        <f>VLOOKUP(B302,'GIÁ 1.4'!$D:$F,2,0)</f>
        <v>77200</v>
      </c>
      <c r="J302" s="21">
        <f t="shared" si="35"/>
        <v>0</v>
      </c>
      <c r="K302" s="6">
        <f>VLOOKUP(B302,'GIÁ 1.4'!$D:$F,3,0)</f>
        <v>172222</v>
      </c>
      <c r="L302" s="21">
        <f t="shared" si="36"/>
        <v>0</v>
      </c>
    </row>
    <row r="303" spans="1:12" ht="16.8" x14ac:dyDescent="0.3">
      <c r="A303" s="3">
        <v>17</v>
      </c>
      <c r="B303" s="30" t="s">
        <v>6415</v>
      </c>
      <c r="C303" s="3" t="s">
        <v>6</v>
      </c>
      <c r="D303" s="64">
        <v>82400</v>
      </c>
      <c r="E303" s="1">
        <f t="shared" si="30"/>
        <v>88992</v>
      </c>
      <c r="F303" s="64">
        <v>185185</v>
      </c>
      <c r="G303" s="1">
        <f t="shared" si="34"/>
        <v>199999.80000000002</v>
      </c>
      <c r="I303" s="6">
        <f>VLOOKUP(B303,'GIÁ 1.4'!$D:$F,2,0)</f>
        <v>82400</v>
      </c>
      <c r="J303" s="21">
        <f t="shared" si="35"/>
        <v>0</v>
      </c>
      <c r="K303" s="6">
        <f>VLOOKUP(B303,'GIÁ 1.4'!$D:$F,3,0)</f>
        <v>185185</v>
      </c>
      <c r="L303" s="21">
        <f t="shared" si="36"/>
        <v>0</v>
      </c>
    </row>
    <row r="304" spans="1:12" ht="16.8" x14ac:dyDescent="0.3">
      <c r="A304" s="3">
        <v>18</v>
      </c>
      <c r="B304" s="30" t="s">
        <v>5529</v>
      </c>
      <c r="C304" s="3" t="s">
        <v>6</v>
      </c>
      <c r="D304" s="64">
        <v>100000</v>
      </c>
      <c r="E304" s="1">
        <f t="shared" si="30"/>
        <v>108000</v>
      </c>
      <c r="F304" s="64">
        <v>220370</v>
      </c>
      <c r="G304" s="1">
        <f t="shared" si="34"/>
        <v>237999.6</v>
      </c>
      <c r="I304" s="6">
        <f>VLOOKUP(B304,'GIÁ 1.4'!$D:$F,2,0)</f>
        <v>100000</v>
      </c>
      <c r="J304" s="21">
        <f t="shared" si="35"/>
        <v>0</v>
      </c>
      <c r="K304" s="6">
        <f>VLOOKUP(B304,'GIÁ 1.4'!$D:$F,3,0)</f>
        <v>220370</v>
      </c>
      <c r="L304" s="21">
        <f t="shared" si="36"/>
        <v>0</v>
      </c>
    </row>
    <row r="305" spans="1:12" ht="16.8" x14ac:dyDescent="0.3">
      <c r="A305" s="3">
        <v>19</v>
      </c>
      <c r="B305" s="30" t="s">
        <v>6121</v>
      </c>
      <c r="C305" s="3" t="s">
        <v>6</v>
      </c>
      <c r="D305" s="64">
        <v>87700</v>
      </c>
      <c r="E305" s="1">
        <f t="shared" si="30"/>
        <v>94716</v>
      </c>
      <c r="F305" s="64">
        <v>197222</v>
      </c>
      <c r="G305" s="1">
        <f t="shared" si="34"/>
        <v>212999.76</v>
      </c>
      <c r="I305" s="6">
        <f>VLOOKUP(B305,'GIÁ 1.4'!$D:$F,2,0)</f>
        <v>87700</v>
      </c>
      <c r="J305" s="21">
        <f t="shared" si="35"/>
        <v>0</v>
      </c>
      <c r="K305" s="6">
        <f>VLOOKUP(B305,'GIÁ 1.4'!$D:$F,3,0)</f>
        <v>197222</v>
      </c>
      <c r="L305" s="21">
        <f t="shared" si="36"/>
        <v>0</v>
      </c>
    </row>
    <row r="306" spans="1:12" ht="16.8" x14ac:dyDescent="0.3">
      <c r="A306" s="3">
        <v>20</v>
      </c>
      <c r="B306" s="30" t="s">
        <v>7400</v>
      </c>
      <c r="C306" s="3" t="s">
        <v>6</v>
      </c>
      <c r="D306" s="64">
        <v>92900</v>
      </c>
      <c r="E306" s="1">
        <f t="shared" si="30"/>
        <v>100332</v>
      </c>
      <c r="F306" s="64">
        <v>210185</v>
      </c>
      <c r="G306" s="1">
        <f t="shared" si="34"/>
        <v>226999.80000000002</v>
      </c>
      <c r="I306" s="6">
        <f>VLOOKUP(B306,'GIÁ 1.4'!$D:$F,2,0)</f>
        <v>92900</v>
      </c>
      <c r="J306" s="21">
        <f t="shared" si="35"/>
        <v>0</v>
      </c>
      <c r="K306" s="6">
        <f>VLOOKUP(B306,'GIÁ 1.4'!$D:$F,3,0)</f>
        <v>210185</v>
      </c>
      <c r="L306" s="21">
        <f t="shared" si="36"/>
        <v>0</v>
      </c>
    </row>
    <row r="307" spans="1:12" ht="16.8" x14ac:dyDescent="0.3">
      <c r="A307" s="3">
        <v>21</v>
      </c>
      <c r="B307" s="30" t="s">
        <v>10548</v>
      </c>
      <c r="C307" s="3" t="s">
        <v>6</v>
      </c>
      <c r="D307" s="64">
        <v>77200</v>
      </c>
      <c r="E307" s="1">
        <f t="shared" si="30"/>
        <v>83376</v>
      </c>
      <c r="F307" s="64">
        <v>172222</v>
      </c>
      <c r="G307" s="1">
        <f t="shared" si="34"/>
        <v>185999.76</v>
      </c>
      <c r="I307" s="6">
        <f>VLOOKUP(B307,'GIÁ 1.4'!$D:$F,2,0)</f>
        <v>77200</v>
      </c>
      <c r="J307" s="21">
        <f t="shared" si="35"/>
        <v>0</v>
      </c>
      <c r="K307" s="6">
        <f>VLOOKUP(B307,'GIÁ 1.4'!$D:$F,3,0)</f>
        <v>172222</v>
      </c>
      <c r="L307" s="21">
        <f t="shared" si="36"/>
        <v>0</v>
      </c>
    </row>
    <row r="308" spans="1:12" ht="16.8" x14ac:dyDescent="0.3">
      <c r="A308" s="3">
        <v>22</v>
      </c>
      <c r="B308" s="30" t="s">
        <v>5407</v>
      </c>
      <c r="C308" s="3" t="s">
        <v>6</v>
      </c>
      <c r="D308" s="64">
        <v>77200</v>
      </c>
      <c r="E308" s="1">
        <f t="shared" si="30"/>
        <v>83376</v>
      </c>
      <c r="F308" s="64">
        <v>172222</v>
      </c>
      <c r="G308" s="1">
        <f t="shared" si="34"/>
        <v>185999.76</v>
      </c>
      <c r="I308" s="6">
        <f>VLOOKUP(B308,'GIÁ 1.4'!$D:$F,2,0)</f>
        <v>77200</v>
      </c>
      <c r="J308" s="21">
        <f t="shared" si="35"/>
        <v>0</v>
      </c>
      <c r="K308" s="6">
        <f>VLOOKUP(B308,'GIÁ 1.4'!$D:$F,3,0)</f>
        <v>172222</v>
      </c>
      <c r="L308" s="21">
        <f t="shared" si="36"/>
        <v>0</v>
      </c>
    </row>
    <row r="309" spans="1:12" ht="16.8" x14ac:dyDescent="0.3">
      <c r="A309" s="3">
        <v>23</v>
      </c>
      <c r="B309" s="30" t="s">
        <v>5085</v>
      </c>
      <c r="C309" s="3" t="s">
        <v>6</v>
      </c>
      <c r="D309" s="64">
        <v>82400</v>
      </c>
      <c r="E309" s="1">
        <f t="shared" ref="E309:E372" si="37">D309*1.08</f>
        <v>88992</v>
      </c>
      <c r="F309" s="64">
        <v>185185</v>
      </c>
      <c r="G309" s="1">
        <f t="shared" si="34"/>
        <v>199999.80000000002</v>
      </c>
      <c r="I309" s="6">
        <f>VLOOKUP(B309,'GIÁ 1.4'!$D:$F,2,0)</f>
        <v>82400</v>
      </c>
      <c r="J309" s="21">
        <f t="shared" si="35"/>
        <v>0</v>
      </c>
      <c r="K309" s="6">
        <f>VLOOKUP(B309,'GIÁ 1.4'!$D:$F,3,0)</f>
        <v>185185</v>
      </c>
      <c r="L309" s="21">
        <f t="shared" si="36"/>
        <v>0</v>
      </c>
    </row>
    <row r="310" spans="1:12" ht="16.8" x14ac:dyDescent="0.3">
      <c r="A310" s="3">
        <v>24</v>
      </c>
      <c r="B310" s="30" t="s">
        <v>4518</v>
      </c>
      <c r="C310" s="3" t="s">
        <v>6</v>
      </c>
      <c r="D310" s="64">
        <v>82400</v>
      </c>
      <c r="E310" s="1">
        <f t="shared" si="37"/>
        <v>88992</v>
      </c>
      <c r="F310" s="64">
        <v>185185</v>
      </c>
      <c r="G310" s="1">
        <f t="shared" si="34"/>
        <v>199999.80000000002</v>
      </c>
      <c r="I310" s="6">
        <f>VLOOKUP(B310,'GIÁ 1.4'!$D:$F,2,0)</f>
        <v>82400</v>
      </c>
      <c r="J310" s="21">
        <f t="shared" si="35"/>
        <v>0</v>
      </c>
      <c r="K310" s="6">
        <f>VLOOKUP(B310,'GIÁ 1.4'!$D:$F,3,0)</f>
        <v>185185</v>
      </c>
      <c r="L310" s="21">
        <f t="shared" si="36"/>
        <v>0</v>
      </c>
    </row>
    <row r="311" spans="1:12" ht="16.8" x14ac:dyDescent="0.3">
      <c r="A311" s="3">
        <v>25</v>
      </c>
      <c r="B311" s="30" t="s">
        <v>7964</v>
      </c>
      <c r="C311" s="3" t="s">
        <v>6</v>
      </c>
      <c r="D311" s="64">
        <v>87700</v>
      </c>
      <c r="E311" s="1">
        <f t="shared" si="37"/>
        <v>94716</v>
      </c>
      <c r="F311" s="64">
        <v>197222</v>
      </c>
      <c r="G311" s="1">
        <f t="shared" si="34"/>
        <v>212999.76</v>
      </c>
      <c r="I311" s="6">
        <f>VLOOKUP(B311,'GIÁ 1.4'!$D:$F,2,0)</f>
        <v>87700</v>
      </c>
      <c r="J311" s="21">
        <f t="shared" si="35"/>
        <v>0</v>
      </c>
      <c r="K311" s="6">
        <f>VLOOKUP(B311,'GIÁ 1.4'!$D:$F,3,0)</f>
        <v>197222</v>
      </c>
      <c r="L311" s="21">
        <f t="shared" si="36"/>
        <v>0</v>
      </c>
    </row>
    <row r="312" spans="1:12" ht="16.8" x14ac:dyDescent="0.3">
      <c r="A312" s="3">
        <v>26</v>
      </c>
      <c r="B312" s="30" t="s">
        <v>5631</v>
      </c>
      <c r="C312" s="3" t="s">
        <v>6</v>
      </c>
      <c r="D312" s="64">
        <v>87700</v>
      </c>
      <c r="E312" s="1">
        <f t="shared" si="37"/>
        <v>94716</v>
      </c>
      <c r="F312" s="64">
        <v>197222</v>
      </c>
      <c r="G312" s="1">
        <f t="shared" si="34"/>
        <v>212999.76</v>
      </c>
      <c r="I312" s="6">
        <f>VLOOKUP(B312,'GIÁ 1.4'!$D:$F,2,0)</f>
        <v>87700</v>
      </c>
      <c r="J312" s="21">
        <f t="shared" si="35"/>
        <v>0</v>
      </c>
      <c r="K312" s="6">
        <f>VLOOKUP(B312,'GIÁ 1.4'!$D:$F,3,0)</f>
        <v>197222</v>
      </c>
      <c r="L312" s="21">
        <f t="shared" si="36"/>
        <v>0</v>
      </c>
    </row>
    <row r="313" spans="1:12" ht="16.8" x14ac:dyDescent="0.3">
      <c r="A313" s="3">
        <v>27</v>
      </c>
      <c r="B313" s="30" t="s">
        <v>5545</v>
      </c>
      <c r="C313" s="3" t="s">
        <v>6</v>
      </c>
      <c r="D313" s="64">
        <v>92900</v>
      </c>
      <c r="E313" s="1">
        <f t="shared" si="37"/>
        <v>100332</v>
      </c>
      <c r="F313" s="64">
        <v>210185</v>
      </c>
      <c r="G313" s="1">
        <f t="shared" si="34"/>
        <v>226999.80000000002</v>
      </c>
      <c r="I313" s="6">
        <f>VLOOKUP(B313,'GIÁ 1.4'!$D:$F,2,0)</f>
        <v>92900</v>
      </c>
      <c r="J313" s="21">
        <f t="shared" si="35"/>
        <v>0</v>
      </c>
      <c r="K313" s="6">
        <f>VLOOKUP(B313,'GIÁ 1.4'!$D:$F,3,0)</f>
        <v>210185</v>
      </c>
      <c r="L313" s="21">
        <f t="shared" si="36"/>
        <v>0</v>
      </c>
    </row>
    <row r="314" spans="1:12" ht="16.8" x14ac:dyDescent="0.3">
      <c r="A314" s="3">
        <v>28</v>
      </c>
      <c r="B314" s="30" t="s">
        <v>7960</v>
      </c>
      <c r="C314" s="3" t="s">
        <v>6</v>
      </c>
      <c r="D314" s="64">
        <v>92900</v>
      </c>
      <c r="E314" s="1">
        <f t="shared" si="37"/>
        <v>100332</v>
      </c>
      <c r="F314" s="64">
        <v>210185</v>
      </c>
      <c r="G314" s="1">
        <f t="shared" si="34"/>
        <v>226999.80000000002</v>
      </c>
      <c r="I314" s="6">
        <f>VLOOKUP(B314,'GIÁ 1.4'!$D:$F,2,0)</f>
        <v>92900</v>
      </c>
      <c r="J314" s="21">
        <f t="shared" si="35"/>
        <v>0</v>
      </c>
      <c r="K314" s="6">
        <f>VLOOKUP(B314,'GIÁ 1.4'!$D:$F,3,0)</f>
        <v>210185</v>
      </c>
      <c r="L314" s="21">
        <f t="shared" si="36"/>
        <v>0</v>
      </c>
    </row>
    <row r="315" spans="1:12" ht="16.8" x14ac:dyDescent="0.3">
      <c r="A315" s="3">
        <v>29</v>
      </c>
      <c r="B315" s="30" t="s">
        <v>5109</v>
      </c>
      <c r="C315" s="3" t="s">
        <v>6</v>
      </c>
      <c r="D315" s="64">
        <v>54400</v>
      </c>
      <c r="E315" s="1">
        <f t="shared" si="37"/>
        <v>58752.000000000007</v>
      </c>
      <c r="F315" s="64">
        <v>122222</v>
      </c>
      <c r="G315" s="1">
        <f t="shared" si="34"/>
        <v>131999.76</v>
      </c>
      <c r="I315" s="6">
        <f>VLOOKUP(B315,'GIÁ 1.4'!$D:$F,2,0)</f>
        <v>54400</v>
      </c>
      <c r="J315" s="21">
        <f t="shared" si="35"/>
        <v>0</v>
      </c>
      <c r="K315" s="6">
        <f>VLOOKUP(B315,'GIÁ 1.4'!$D:$F,3,0)</f>
        <v>122222</v>
      </c>
      <c r="L315" s="21">
        <f t="shared" si="36"/>
        <v>0</v>
      </c>
    </row>
    <row r="316" spans="1:12" ht="16.8" x14ac:dyDescent="0.3">
      <c r="A316" s="3">
        <v>30</v>
      </c>
      <c r="B316" s="30" t="s">
        <v>8830</v>
      </c>
      <c r="C316" s="3" t="s">
        <v>6</v>
      </c>
      <c r="D316" s="64">
        <v>54400</v>
      </c>
      <c r="E316" s="1">
        <f t="shared" si="37"/>
        <v>58752.000000000007</v>
      </c>
      <c r="F316" s="64">
        <v>122222</v>
      </c>
      <c r="G316" s="1">
        <f t="shared" si="34"/>
        <v>131999.76</v>
      </c>
      <c r="I316" s="6">
        <f>VLOOKUP(B316,'GIÁ 1.4'!$D:$F,2,0)</f>
        <v>54400</v>
      </c>
      <c r="J316" s="21">
        <f t="shared" si="35"/>
        <v>0</v>
      </c>
      <c r="K316" s="6">
        <f>VLOOKUP(B316,'GIÁ 1.4'!$D:$F,3,0)</f>
        <v>122222</v>
      </c>
      <c r="L316" s="21">
        <f t="shared" si="36"/>
        <v>0</v>
      </c>
    </row>
    <row r="317" spans="1:12" ht="16.8" x14ac:dyDescent="0.3">
      <c r="A317" s="3">
        <v>31</v>
      </c>
      <c r="B317" s="30" t="s">
        <v>5667</v>
      </c>
      <c r="C317" s="3" t="s">
        <v>6</v>
      </c>
      <c r="D317" s="64">
        <v>61400</v>
      </c>
      <c r="E317" s="1">
        <f t="shared" si="37"/>
        <v>66312</v>
      </c>
      <c r="F317" s="64">
        <v>136111</v>
      </c>
      <c r="G317" s="1">
        <f t="shared" si="34"/>
        <v>146999.88</v>
      </c>
      <c r="I317" s="6">
        <f>VLOOKUP(B317,'GIÁ 1.4'!$D:$F,2,0)</f>
        <v>61400</v>
      </c>
      <c r="J317" s="21">
        <f t="shared" si="35"/>
        <v>0</v>
      </c>
      <c r="K317" s="6">
        <f>VLOOKUP(B317,'GIÁ 1.4'!$D:$F,3,0)</f>
        <v>136111</v>
      </c>
      <c r="L317" s="21">
        <f t="shared" si="36"/>
        <v>0</v>
      </c>
    </row>
    <row r="318" spans="1:12" ht="16.8" x14ac:dyDescent="0.3">
      <c r="A318" s="3">
        <v>32</v>
      </c>
      <c r="B318" s="30" t="s">
        <v>6233</v>
      </c>
      <c r="C318" s="3" t="s">
        <v>6</v>
      </c>
      <c r="D318" s="64">
        <v>61400</v>
      </c>
      <c r="E318" s="1">
        <f t="shared" si="37"/>
        <v>66312</v>
      </c>
      <c r="F318" s="64">
        <v>136111</v>
      </c>
      <c r="G318" s="1">
        <f t="shared" si="34"/>
        <v>146999.88</v>
      </c>
      <c r="I318" s="6">
        <f>VLOOKUP(B318,'GIÁ 1.4'!$D:$F,2,0)</f>
        <v>61400</v>
      </c>
      <c r="J318" s="21">
        <f t="shared" si="35"/>
        <v>0</v>
      </c>
      <c r="K318" s="6">
        <f>VLOOKUP(B318,'GIÁ 1.4'!$D:$F,3,0)</f>
        <v>136111</v>
      </c>
      <c r="L318" s="21">
        <f t="shared" si="36"/>
        <v>0</v>
      </c>
    </row>
    <row r="319" spans="1:12" ht="16.8" x14ac:dyDescent="0.3">
      <c r="A319" s="3">
        <v>33</v>
      </c>
      <c r="B319" s="30" t="s">
        <v>5111</v>
      </c>
      <c r="C319" s="3" t="s">
        <v>6</v>
      </c>
      <c r="D319" s="64">
        <v>70100</v>
      </c>
      <c r="E319" s="1">
        <f t="shared" si="37"/>
        <v>75708</v>
      </c>
      <c r="F319" s="64">
        <v>156481</v>
      </c>
      <c r="G319" s="1">
        <f t="shared" ref="G319:G350" si="38">F319*1.08</f>
        <v>168999.48</v>
      </c>
      <c r="I319" s="6">
        <f>VLOOKUP(B319,'GIÁ 1.4'!$D:$F,2,0)</f>
        <v>70100</v>
      </c>
      <c r="J319" s="21">
        <f t="shared" ref="J319:J350" si="39">D319-I319</f>
        <v>0</v>
      </c>
      <c r="K319" s="6">
        <f>VLOOKUP(B319,'GIÁ 1.4'!$D:$F,3,0)</f>
        <v>156481</v>
      </c>
      <c r="L319" s="21">
        <f t="shared" ref="L319:L350" si="40">F319-K319</f>
        <v>0</v>
      </c>
    </row>
    <row r="320" spans="1:12" ht="16.8" x14ac:dyDescent="0.3">
      <c r="A320" s="3">
        <v>34</v>
      </c>
      <c r="B320" s="30" t="s">
        <v>6417</v>
      </c>
      <c r="C320" s="3" t="s">
        <v>6</v>
      </c>
      <c r="D320" s="64">
        <v>70100</v>
      </c>
      <c r="E320" s="1">
        <f t="shared" si="37"/>
        <v>75708</v>
      </c>
      <c r="F320" s="64">
        <v>156481</v>
      </c>
      <c r="G320" s="1">
        <f t="shared" si="38"/>
        <v>168999.48</v>
      </c>
      <c r="I320" s="6">
        <f>VLOOKUP(B320,'GIÁ 1.4'!$D:$F,2,0)</f>
        <v>70100</v>
      </c>
      <c r="J320" s="21">
        <f t="shared" si="39"/>
        <v>0</v>
      </c>
      <c r="K320" s="6">
        <f>VLOOKUP(B320,'GIÁ 1.4'!$D:$F,3,0)</f>
        <v>156481</v>
      </c>
      <c r="L320" s="21">
        <f t="shared" si="40"/>
        <v>0</v>
      </c>
    </row>
    <row r="321" spans="1:12" ht="16.8" x14ac:dyDescent="0.3">
      <c r="A321" s="3">
        <v>35</v>
      </c>
      <c r="B321" s="30" t="s">
        <v>12585</v>
      </c>
      <c r="C321" s="3" t="s">
        <v>6</v>
      </c>
      <c r="D321" s="64">
        <v>76300</v>
      </c>
      <c r="E321" s="1">
        <f t="shared" si="37"/>
        <v>82404</v>
      </c>
      <c r="F321" s="64">
        <v>170370</v>
      </c>
      <c r="G321" s="1">
        <f t="shared" si="38"/>
        <v>183999.6</v>
      </c>
      <c r="I321" s="6">
        <f>VLOOKUP(B321,'GIÁ 1.4'!$D:$F,2,0)</f>
        <v>76300</v>
      </c>
      <c r="J321" s="21">
        <f t="shared" si="39"/>
        <v>0</v>
      </c>
      <c r="K321" s="6">
        <f>VLOOKUP(B321,'GIÁ 1.4'!$D:$F,3,0)</f>
        <v>170370</v>
      </c>
      <c r="L321" s="21">
        <f t="shared" si="40"/>
        <v>0</v>
      </c>
    </row>
    <row r="322" spans="1:12" ht="16.8" x14ac:dyDescent="0.3">
      <c r="A322" s="3">
        <v>36</v>
      </c>
      <c r="B322" s="30" t="s">
        <v>7444</v>
      </c>
      <c r="C322" s="3" t="s">
        <v>6</v>
      </c>
      <c r="D322" s="64">
        <v>76300</v>
      </c>
      <c r="E322" s="1">
        <f t="shared" si="37"/>
        <v>82404</v>
      </c>
      <c r="F322" s="64">
        <v>170370</v>
      </c>
      <c r="G322" s="1">
        <f t="shared" si="38"/>
        <v>183999.6</v>
      </c>
      <c r="I322" s="6">
        <f>VLOOKUP(B322,'GIÁ 1.4'!$D:$F,2,0)</f>
        <v>76300</v>
      </c>
      <c r="J322" s="21">
        <f t="shared" si="39"/>
        <v>0</v>
      </c>
      <c r="K322" s="6">
        <f>VLOOKUP(B322,'GIÁ 1.4'!$D:$F,3,0)</f>
        <v>170370</v>
      </c>
      <c r="L322" s="21">
        <f t="shared" si="40"/>
        <v>0</v>
      </c>
    </row>
    <row r="323" spans="1:12" ht="16.8" x14ac:dyDescent="0.3">
      <c r="A323" s="3">
        <v>37</v>
      </c>
      <c r="B323" s="30" t="s">
        <v>10564</v>
      </c>
      <c r="C323" s="3" t="s">
        <v>6</v>
      </c>
      <c r="D323" s="64">
        <v>611000</v>
      </c>
      <c r="E323" s="1">
        <f t="shared" si="37"/>
        <v>659880</v>
      </c>
      <c r="F323" s="64">
        <v>1222000</v>
      </c>
      <c r="G323" s="1">
        <f t="shared" si="38"/>
        <v>1319760</v>
      </c>
      <c r="I323" s="6">
        <f>VLOOKUP(B323,'GIÁ 1.4'!$D:$F,2,0)</f>
        <v>611000</v>
      </c>
      <c r="J323" s="21">
        <f t="shared" si="39"/>
        <v>0</v>
      </c>
      <c r="K323" s="6">
        <f>VLOOKUP(B323,'GIÁ 1.4'!$D:$F,3,0)</f>
        <v>1222000</v>
      </c>
      <c r="L323" s="21">
        <f t="shared" si="40"/>
        <v>0</v>
      </c>
    </row>
    <row r="324" spans="1:12" ht="16.8" x14ac:dyDescent="0.3">
      <c r="A324" s="3">
        <v>38</v>
      </c>
      <c r="B324" s="30" t="s">
        <v>7606</v>
      </c>
      <c r="C324" s="3" t="s">
        <v>6</v>
      </c>
      <c r="D324" s="64">
        <v>1178000</v>
      </c>
      <c r="E324" s="1">
        <f t="shared" si="37"/>
        <v>1272240</v>
      </c>
      <c r="F324" s="64">
        <v>2356000</v>
      </c>
      <c r="G324" s="1">
        <f t="shared" si="38"/>
        <v>2544480</v>
      </c>
      <c r="I324" s="6">
        <f>VLOOKUP(B324,'GIÁ 1.4'!$D:$F,2,0)</f>
        <v>1178000</v>
      </c>
      <c r="J324" s="21">
        <f t="shared" si="39"/>
        <v>0</v>
      </c>
      <c r="K324" s="6">
        <f>VLOOKUP(B324,'GIÁ 1.4'!$D:$F,3,0)</f>
        <v>2356000</v>
      </c>
      <c r="L324" s="21">
        <f t="shared" si="40"/>
        <v>0</v>
      </c>
    </row>
    <row r="325" spans="1:12" ht="16.8" x14ac:dyDescent="0.3">
      <c r="A325" s="3">
        <v>39</v>
      </c>
      <c r="B325" s="30" t="s">
        <v>13928</v>
      </c>
      <c r="C325" s="3" t="s">
        <v>6</v>
      </c>
      <c r="D325" s="64">
        <v>611000</v>
      </c>
      <c r="E325" s="1">
        <f t="shared" si="37"/>
        <v>659880</v>
      </c>
      <c r="F325" s="64">
        <v>1222000</v>
      </c>
      <c r="G325" s="1">
        <f t="shared" si="38"/>
        <v>1319760</v>
      </c>
      <c r="I325" s="6">
        <f>VLOOKUP(B325,'GIÁ 1.4'!$D:$F,2,0)</f>
        <v>611000</v>
      </c>
      <c r="J325" s="21">
        <f t="shared" si="39"/>
        <v>0</v>
      </c>
      <c r="K325" s="6">
        <f>VLOOKUP(B325,'GIÁ 1.4'!$D:$F,3,0)</f>
        <v>1222000</v>
      </c>
      <c r="L325" s="21">
        <f t="shared" si="40"/>
        <v>0</v>
      </c>
    </row>
    <row r="326" spans="1:12" ht="16.8" x14ac:dyDescent="0.3">
      <c r="A326" s="3">
        <v>40</v>
      </c>
      <c r="B326" s="30" t="s">
        <v>9038</v>
      </c>
      <c r="C326" s="3" t="s">
        <v>6</v>
      </c>
      <c r="D326" s="64">
        <v>481000</v>
      </c>
      <c r="E326" s="1">
        <f t="shared" si="37"/>
        <v>519480.00000000006</v>
      </c>
      <c r="F326" s="64">
        <v>962037</v>
      </c>
      <c r="G326" s="1">
        <f t="shared" si="38"/>
        <v>1038999.9600000001</v>
      </c>
      <c r="I326" s="6">
        <f>VLOOKUP(B326,'GIÁ 1.4'!$D:$F,2,0)</f>
        <v>481000</v>
      </c>
      <c r="J326" s="21">
        <f t="shared" si="39"/>
        <v>0</v>
      </c>
      <c r="K326" s="6">
        <f>VLOOKUP(B326,'GIÁ 1.4'!$D:$F,3,0)</f>
        <v>962037</v>
      </c>
      <c r="L326" s="21">
        <f t="shared" si="40"/>
        <v>0</v>
      </c>
    </row>
    <row r="327" spans="1:12" ht="16.8" x14ac:dyDescent="0.3">
      <c r="A327" s="3">
        <v>41</v>
      </c>
      <c r="B327" s="30" t="s">
        <v>9036</v>
      </c>
      <c r="C327" s="3" t="s">
        <v>6</v>
      </c>
      <c r="D327" s="64">
        <v>481000</v>
      </c>
      <c r="E327" s="1">
        <f t="shared" si="37"/>
        <v>519480.00000000006</v>
      </c>
      <c r="F327" s="64">
        <v>962037</v>
      </c>
      <c r="G327" s="1">
        <f t="shared" si="38"/>
        <v>1038999.9600000001</v>
      </c>
      <c r="I327" s="6">
        <f>VLOOKUP(B327,'GIÁ 1.4'!$D:$F,2,0)</f>
        <v>481000</v>
      </c>
      <c r="J327" s="21">
        <f t="shared" si="39"/>
        <v>0</v>
      </c>
      <c r="K327" s="6">
        <f>VLOOKUP(B327,'GIÁ 1.4'!$D:$F,3,0)</f>
        <v>962037</v>
      </c>
      <c r="L327" s="21">
        <f t="shared" si="40"/>
        <v>0</v>
      </c>
    </row>
    <row r="328" spans="1:12" ht="16.8" x14ac:dyDescent="0.3">
      <c r="A328" s="3">
        <v>42</v>
      </c>
      <c r="B328" s="30" t="s">
        <v>8006</v>
      </c>
      <c r="C328" s="3" t="s">
        <v>6</v>
      </c>
      <c r="D328" s="64">
        <v>537000</v>
      </c>
      <c r="E328" s="1">
        <f t="shared" si="37"/>
        <v>579960</v>
      </c>
      <c r="F328" s="64">
        <v>1074074</v>
      </c>
      <c r="G328" s="1">
        <f t="shared" si="38"/>
        <v>1159999.9200000002</v>
      </c>
      <c r="I328" s="6">
        <f>VLOOKUP(B328,'GIÁ 1.4'!$D:$F,2,0)</f>
        <v>537000</v>
      </c>
      <c r="J328" s="21">
        <f t="shared" si="39"/>
        <v>0</v>
      </c>
      <c r="K328" s="6">
        <f>VLOOKUP(B328,'GIÁ 1.4'!$D:$F,3,0)</f>
        <v>1074074</v>
      </c>
      <c r="L328" s="21">
        <f t="shared" si="40"/>
        <v>0</v>
      </c>
    </row>
    <row r="329" spans="1:12" ht="16.8" x14ac:dyDescent="0.3">
      <c r="A329" s="3">
        <v>43</v>
      </c>
      <c r="B329" s="30" t="s">
        <v>14187</v>
      </c>
      <c r="C329" s="3" t="s">
        <v>6</v>
      </c>
      <c r="D329" s="64">
        <v>537000</v>
      </c>
      <c r="E329" s="1">
        <f t="shared" si="37"/>
        <v>579960</v>
      </c>
      <c r="F329" s="64">
        <v>1074074</v>
      </c>
      <c r="G329" s="1">
        <f t="shared" si="38"/>
        <v>1159999.9200000002</v>
      </c>
      <c r="I329" s="6">
        <f>VLOOKUP(B329,'GIÁ 1.4'!$D:$F,2,0)</f>
        <v>537000</v>
      </c>
      <c r="J329" s="21">
        <f t="shared" si="39"/>
        <v>0</v>
      </c>
      <c r="K329" s="6">
        <f>VLOOKUP(B329,'GIÁ 1.4'!$D:$F,3,0)</f>
        <v>1074074</v>
      </c>
      <c r="L329" s="21">
        <f t="shared" si="40"/>
        <v>0</v>
      </c>
    </row>
    <row r="330" spans="1:12" ht="16.8" x14ac:dyDescent="0.3">
      <c r="A330" s="3">
        <v>44</v>
      </c>
      <c r="B330" s="30" t="s">
        <v>9340</v>
      </c>
      <c r="C330" s="3" t="s">
        <v>6</v>
      </c>
      <c r="D330" s="64">
        <v>997000</v>
      </c>
      <c r="E330" s="1">
        <f t="shared" si="37"/>
        <v>1076760</v>
      </c>
      <c r="F330" s="64">
        <v>1994444</v>
      </c>
      <c r="G330" s="1">
        <f t="shared" si="38"/>
        <v>2153999.52</v>
      </c>
      <c r="I330" s="6">
        <f>VLOOKUP(B330,'GIÁ 1.4'!$D:$F,2,0)</f>
        <v>997000</v>
      </c>
      <c r="J330" s="21">
        <f t="shared" si="39"/>
        <v>0</v>
      </c>
      <c r="K330" s="6">
        <f>VLOOKUP(B330,'GIÁ 1.4'!$D:$F,3,0)</f>
        <v>1994444</v>
      </c>
      <c r="L330" s="21">
        <f t="shared" si="40"/>
        <v>0</v>
      </c>
    </row>
    <row r="331" spans="1:12" ht="16.8" x14ac:dyDescent="0.3">
      <c r="A331" s="3">
        <v>45</v>
      </c>
      <c r="B331" s="30" t="s">
        <v>7990</v>
      </c>
      <c r="C331" s="3" t="s">
        <v>6</v>
      </c>
      <c r="D331" s="64">
        <v>109000</v>
      </c>
      <c r="E331" s="1">
        <f t="shared" si="37"/>
        <v>117720.00000000001</v>
      </c>
      <c r="F331" s="64">
        <v>210185</v>
      </c>
      <c r="G331" s="1">
        <f t="shared" si="38"/>
        <v>226999.80000000002</v>
      </c>
      <c r="I331" s="6">
        <f>VLOOKUP(B331,'GIÁ 1.4'!$D:$F,2,0)</f>
        <v>109000</v>
      </c>
      <c r="J331" s="21">
        <f t="shared" si="39"/>
        <v>0</v>
      </c>
      <c r="K331" s="6">
        <f>VLOOKUP(B331,'GIÁ 1.4'!$D:$F,3,0)</f>
        <v>210185</v>
      </c>
      <c r="L331" s="21">
        <f t="shared" si="40"/>
        <v>0</v>
      </c>
    </row>
    <row r="332" spans="1:12" ht="16.8" x14ac:dyDescent="0.3">
      <c r="A332" s="3">
        <v>46</v>
      </c>
      <c r="B332" s="30" t="s">
        <v>7932</v>
      </c>
      <c r="C332" s="3" t="s">
        <v>6</v>
      </c>
      <c r="D332" s="64">
        <v>73000</v>
      </c>
      <c r="E332" s="1">
        <f t="shared" si="37"/>
        <v>78840</v>
      </c>
      <c r="F332" s="64">
        <v>146296</v>
      </c>
      <c r="G332" s="1">
        <f t="shared" si="38"/>
        <v>157999.68000000002</v>
      </c>
      <c r="I332" s="6">
        <f>VLOOKUP(B332,'GIÁ 1.4'!$D:$F,2,0)</f>
        <v>73000</v>
      </c>
      <c r="J332" s="21">
        <f t="shared" si="39"/>
        <v>0</v>
      </c>
      <c r="K332" s="6">
        <f>VLOOKUP(B332,'GIÁ 1.4'!$D:$F,3,0)</f>
        <v>146296</v>
      </c>
      <c r="L332" s="21">
        <f t="shared" si="40"/>
        <v>0</v>
      </c>
    </row>
    <row r="333" spans="1:12" ht="16.8" x14ac:dyDescent="0.3">
      <c r="A333" s="3">
        <v>47</v>
      </c>
      <c r="B333" s="30" t="s">
        <v>10524</v>
      </c>
      <c r="C333" s="3" t="s">
        <v>6</v>
      </c>
      <c r="D333" s="64">
        <v>90000</v>
      </c>
      <c r="E333" s="1">
        <f t="shared" si="37"/>
        <v>97200</v>
      </c>
      <c r="F333" s="64">
        <v>179630</v>
      </c>
      <c r="G333" s="1">
        <f t="shared" si="38"/>
        <v>194000.40000000002</v>
      </c>
      <c r="I333" s="6">
        <f>VLOOKUP(B333,'GIÁ 1.4'!$D:$F,2,0)</f>
        <v>90000</v>
      </c>
      <c r="J333" s="21">
        <f t="shared" si="39"/>
        <v>0</v>
      </c>
      <c r="K333" s="6">
        <f>VLOOKUP(B333,'GIÁ 1.4'!$D:$F,3,0)</f>
        <v>179630</v>
      </c>
      <c r="L333" s="21">
        <f t="shared" si="40"/>
        <v>0</v>
      </c>
    </row>
    <row r="334" spans="1:12" ht="16.8" x14ac:dyDescent="0.3">
      <c r="A334" s="3">
        <v>48</v>
      </c>
      <c r="B334" s="30" t="s">
        <v>8096</v>
      </c>
      <c r="C334" s="3" t="s">
        <v>6</v>
      </c>
      <c r="D334" s="64">
        <v>0</v>
      </c>
      <c r="E334" s="1">
        <f t="shared" si="37"/>
        <v>0</v>
      </c>
      <c r="F334" s="64">
        <v>1080000</v>
      </c>
      <c r="G334" s="1">
        <f t="shared" si="38"/>
        <v>1166400</v>
      </c>
      <c r="I334" s="6">
        <f>VLOOKUP(B334,'GIÁ 1.4'!$D:$F,2,0)</f>
        <v>0</v>
      </c>
      <c r="J334" s="21">
        <f t="shared" si="39"/>
        <v>0</v>
      </c>
      <c r="K334" s="6">
        <f>VLOOKUP(B334,'GIÁ 1.4'!$D:$F,3,0)</f>
        <v>1080000</v>
      </c>
      <c r="L334" s="21">
        <f t="shared" si="40"/>
        <v>0</v>
      </c>
    </row>
    <row r="335" spans="1:12" ht="16.8" x14ac:dyDescent="0.3">
      <c r="A335" s="3">
        <v>49</v>
      </c>
      <c r="B335" s="30" t="s">
        <v>9336</v>
      </c>
      <c r="C335" s="3" t="s">
        <v>6</v>
      </c>
      <c r="D335" s="64">
        <v>0</v>
      </c>
      <c r="E335" s="1">
        <f t="shared" si="37"/>
        <v>0</v>
      </c>
      <c r="F335" s="64">
        <v>1080000</v>
      </c>
      <c r="G335" s="1">
        <f t="shared" si="38"/>
        <v>1166400</v>
      </c>
      <c r="I335" s="6">
        <f>VLOOKUP(B335,'GIÁ 1.4'!$D:$F,2,0)</f>
        <v>0</v>
      </c>
      <c r="J335" s="21">
        <f t="shared" si="39"/>
        <v>0</v>
      </c>
      <c r="K335" s="6">
        <f>VLOOKUP(B335,'GIÁ 1.4'!$D:$F,3,0)</f>
        <v>1080000</v>
      </c>
      <c r="L335" s="21">
        <f t="shared" si="40"/>
        <v>0</v>
      </c>
    </row>
    <row r="336" spans="1:12" ht="16.8" x14ac:dyDescent="0.3">
      <c r="A336" s="3">
        <v>50</v>
      </c>
      <c r="B336" s="30" t="s">
        <v>10699</v>
      </c>
      <c r="C336" s="3" t="s">
        <v>6</v>
      </c>
      <c r="D336" s="64">
        <v>190000</v>
      </c>
      <c r="E336" s="1">
        <f t="shared" si="37"/>
        <v>205200</v>
      </c>
      <c r="F336" s="64">
        <v>379630</v>
      </c>
      <c r="G336" s="1">
        <f t="shared" si="38"/>
        <v>410000.4</v>
      </c>
      <c r="I336" s="6">
        <f>VLOOKUP(B336,'GIÁ 1.4'!$D:$F,2,0)</f>
        <v>190000</v>
      </c>
      <c r="J336" s="21">
        <f t="shared" si="39"/>
        <v>0</v>
      </c>
      <c r="K336" s="6">
        <f>VLOOKUP(B336,'GIÁ 1.4'!$D:$F,3,0)</f>
        <v>379630</v>
      </c>
      <c r="L336" s="21">
        <f t="shared" si="40"/>
        <v>0</v>
      </c>
    </row>
    <row r="337" spans="1:12" ht="16.8" x14ac:dyDescent="0.3">
      <c r="A337" s="3">
        <v>51</v>
      </c>
      <c r="B337" s="30" t="s">
        <v>14528</v>
      </c>
      <c r="C337" s="3"/>
      <c r="D337" s="64">
        <v>190000</v>
      </c>
      <c r="E337" s="1">
        <f t="shared" si="37"/>
        <v>205200</v>
      </c>
      <c r="F337" s="64">
        <v>379630</v>
      </c>
      <c r="G337" s="1">
        <f t="shared" si="38"/>
        <v>410000.4</v>
      </c>
      <c r="I337" s="6">
        <f>VLOOKUP(B337,'GIÁ 1.4'!$D:$F,2,0)</f>
        <v>190000</v>
      </c>
      <c r="J337" s="21">
        <f t="shared" si="39"/>
        <v>0</v>
      </c>
      <c r="K337" s="6">
        <f>VLOOKUP(B337,'GIÁ 1.4'!$D:$F,3,0)</f>
        <v>379630</v>
      </c>
      <c r="L337" s="21">
        <f t="shared" si="40"/>
        <v>0</v>
      </c>
    </row>
    <row r="338" spans="1:12" ht="16.8" x14ac:dyDescent="0.3">
      <c r="A338" s="3">
        <v>52</v>
      </c>
      <c r="B338" s="30" t="s">
        <v>15471</v>
      </c>
      <c r="C338" s="3"/>
      <c r="D338" s="64">
        <v>190000</v>
      </c>
      <c r="E338" s="1">
        <f t="shared" si="37"/>
        <v>205200</v>
      </c>
      <c r="F338" s="64">
        <v>379630</v>
      </c>
      <c r="G338" s="1">
        <f t="shared" si="38"/>
        <v>410000.4</v>
      </c>
      <c r="I338" s="6">
        <f>VLOOKUP(B338,'GIÁ 1.4'!$D:$F,2,0)</f>
        <v>190000</v>
      </c>
      <c r="J338" s="21">
        <f t="shared" si="39"/>
        <v>0</v>
      </c>
      <c r="K338" s="6">
        <f>VLOOKUP(B338,'GIÁ 1.4'!$D:$F,3,0)</f>
        <v>379630</v>
      </c>
      <c r="L338" s="21">
        <f t="shared" si="40"/>
        <v>0</v>
      </c>
    </row>
    <row r="339" spans="1:12" ht="16.8" x14ac:dyDescent="0.3">
      <c r="A339" s="3">
        <v>53</v>
      </c>
      <c r="B339" s="30" t="s">
        <v>15473</v>
      </c>
      <c r="C339" s="3"/>
      <c r="D339" s="64">
        <v>190000</v>
      </c>
      <c r="E339" s="1">
        <f t="shared" si="37"/>
        <v>205200</v>
      </c>
      <c r="F339" s="64">
        <v>379630</v>
      </c>
      <c r="G339" s="1">
        <f t="shared" si="38"/>
        <v>410000.4</v>
      </c>
      <c r="I339" s="6">
        <f>VLOOKUP(B339,'GIÁ 1.4'!$D:$F,2,0)</f>
        <v>190000</v>
      </c>
      <c r="J339" s="21">
        <f t="shared" si="39"/>
        <v>0</v>
      </c>
      <c r="K339" s="6">
        <f>VLOOKUP(B339,'GIÁ 1.4'!$D:$F,3,0)</f>
        <v>379630</v>
      </c>
      <c r="L339" s="21">
        <f t="shared" si="40"/>
        <v>0</v>
      </c>
    </row>
    <row r="340" spans="1:12" ht="16.8" x14ac:dyDescent="0.3">
      <c r="A340" s="3">
        <v>54</v>
      </c>
      <c r="B340" s="30" t="s">
        <v>279</v>
      </c>
      <c r="C340" s="3"/>
      <c r="D340" s="64">
        <v>230000</v>
      </c>
      <c r="E340" s="1">
        <f t="shared" si="37"/>
        <v>248400.00000000003</v>
      </c>
      <c r="F340" s="64">
        <v>460185</v>
      </c>
      <c r="G340" s="1">
        <f t="shared" si="38"/>
        <v>496999.80000000005</v>
      </c>
      <c r="I340" s="6">
        <f>VLOOKUP(B340,'GIÁ 1.4'!$D:$F,2,0)</f>
        <v>230000</v>
      </c>
      <c r="J340" s="21">
        <f t="shared" si="39"/>
        <v>0</v>
      </c>
      <c r="K340" s="6">
        <f>VLOOKUP(B340,'GIÁ 1.4'!$D:$F,3,0)</f>
        <v>460185</v>
      </c>
      <c r="L340" s="21">
        <f t="shared" si="40"/>
        <v>0</v>
      </c>
    </row>
    <row r="341" spans="1:12" ht="16.8" x14ac:dyDescent="0.3">
      <c r="A341" s="3">
        <v>55</v>
      </c>
      <c r="B341" s="30" t="s">
        <v>1682</v>
      </c>
      <c r="C341" s="3"/>
      <c r="D341" s="64">
        <v>230000</v>
      </c>
      <c r="E341" s="1">
        <f t="shared" si="37"/>
        <v>248400.00000000003</v>
      </c>
      <c r="F341" s="64">
        <v>460185</v>
      </c>
      <c r="G341" s="1">
        <f t="shared" si="38"/>
        <v>496999.80000000005</v>
      </c>
      <c r="I341" s="6">
        <f>VLOOKUP(B341,'GIÁ 1.4'!$D:$F,2,0)</f>
        <v>230000</v>
      </c>
      <c r="J341" s="21">
        <f t="shared" si="39"/>
        <v>0</v>
      </c>
      <c r="K341" s="6">
        <f>VLOOKUP(B341,'GIÁ 1.4'!$D:$F,3,0)</f>
        <v>460185</v>
      </c>
      <c r="L341" s="21">
        <f t="shared" si="40"/>
        <v>0</v>
      </c>
    </row>
    <row r="342" spans="1:12" ht="16.8" x14ac:dyDescent="0.3">
      <c r="A342" s="3">
        <v>56</v>
      </c>
      <c r="B342" s="30" t="s">
        <v>2158</v>
      </c>
      <c r="C342" s="3"/>
      <c r="D342" s="64">
        <v>230000</v>
      </c>
      <c r="E342" s="1">
        <f t="shared" si="37"/>
        <v>248400.00000000003</v>
      </c>
      <c r="F342" s="64">
        <v>460185</v>
      </c>
      <c r="G342" s="1">
        <f t="shared" si="38"/>
        <v>496999.80000000005</v>
      </c>
      <c r="I342" s="6">
        <f>VLOOKUP(B342,'GIÁ 1.4'!$D:$F,2,0)</f>
        <v>230000</v>
      </c>
      <c r="J342" s="21">
        <f t="shared" si="39"/>
        <v>0</v>
      </c>
      <c r="K342" s="6">
        <f>VLOOKUP(B342,'GIÁ 1.4'!$D:$F,3,0)</f>
        <v>460185</v>
      </c>
      <c r="L342" s="21">
        <f t="shared" si="40"/>
        <v>0</v>
      </c>
    </row>
    <row r="343" spans="1:12" ht="16.8" x14ac:dyDescent="0.3">
      <c r="A343" s="3">
        <v>57</v>
      </c>
      <c r="B343" s="30" t="s">
        <v>11930</v>
      </c>
      <c r="C343" s="3" t="s">
        <v>6</v>
      </c>
      <c r="D343" s="64">
        <v>60000</v>
      </c>
      <c r="E343" s="1">
        <f t="shared" si="37"/>
        <v>64800.000000000007</v>
      </c>
      <c r="F343" s="64">
        <v>120370</v>
      </c>
      <c r="G343" s="1">
        <f t="shared" si="38"/>
        <v>129999.6</v>
      </c>
      <c r="I343" s="6">
        <f>VLOOKUP(B343,'GIÁ 1.4'!$D:$F,2,0)</f>
        <v>60000</v>
      </c>
      <c r="J343" s="21">
        <f t="shared" si="39"/>
        <v>0</v>
      </c>
      <c r="K343" s="6">
        <f>VLOOKUP(B343,'GIÁ 1.4'!$D:$F,3,0)</f>
        <v>120370</v>
      </c>
      <c r="L343" s="21">
        <f t="shared" si="40"/>
        <v>0</v>
      </c>
    </row>
    <row r="344" spans="1:12" ht="16.8" x14ac:dyDescent="0.3">
      <c r="A344" s="3">
        <v>58</v>
      </c>
      <c r="B344" s="30" t="s">
        <v>11932</v>
      </c>
      <c r="C344" s="3" t="s">
        <v>6</v>
      </c>
      <c r="D344" s="64">
        <v>23500</v>
      </c>
      <c r="E344" s="1">
        <f t="shared" si="37"/>
        <v>25380</v>
      </c>
      <c r="F344" s="64">
        <v>47000</v>
      </c>
      <c r="G344" s="1">
        <f t="shared" si="38"/>
        <v>50760</v>
      </c>
      <c r="I344" s="6">
        <f>VLOOKUP(B344,'GIÁ 1.4'!$D:$F,2,0)</f>
        <v>23500</v>
      </c>
      <c r="J344" s="21">
        <f t="shared" si="39"/>
        <v>0</v>
      </c>
      <c r="K344" s="6">
        <f>VLOOKUP(B344,'GIÁ 1.4'!$D:$F,3,0)</f>
        <v>47000</v>
      </c>
      <c r="L344" s="21">
        <f t="shared" si="40"/>
        <v>0</v>
      </c>
    </row>
    <row r="345" spans="1:12" ht="16.8" x14ac:dyDescent="0.3">
      <c r="A345" s="3">
        <v>59</v>
      </c>
      <c r="B345" s="30" t="s">
        <v>8112</v>
      </c>
      <c r="C345" s="3" t="s">
        <v>6</v>
      </c>
      <c r="D345" s="65">
        <v>481000</v>
      </c>
      <c r="E345" s="1">
        <f t="shared" si="37"/>
        <v>519480.00000000006</v>
      </c>
      <c r="F345" s="64">
        <v>962037</v>
      </c>
      <c r="G345" s="1">
        <f t="shared" si="38"/>
        <v>1038999.9600000001</v>
      </c>
      <c r="I345" s="6">
        <f>VLOOKUP(B345,'GIÁ 1.4'!$D:$F,2,0)</f>
        <v>481000</v>
      </c>
      <c r="J345" s="21">
        <f t="shared" si="39"/>
        <v>0</v>
      </c>
      <c r="K345" s="6">
        <f>VLOOKUP(B345,'GIÁ 1.4'!$D:$F,3,0)</f>
        <v>962037</v>
      </c>
      <c r="L345" s="21">
        <f t="shared" si="40"/>
        <v>0</v>
      </c>
    </row>
    <row r="346" spans="1:12" ht="16.8" x14ac:dyDescent="0.3">
      <c r="A346" s="3">
        <v>60</v>
      </c>
      <c r="B346" s="30" t="s">
        <v>8502</v>
      </c>
      <c r="C346" s="3" t="s">
        <v>6</v>
      </c>
      <c r="D346" s="65">
        <v>481000</v>
      </c>
      <c r="E346" s="1">
        <f t="shared" si="37"/>
        <v>519480.00000000006</v>
      </c>
      <c r="F346" s="64">
        <v>962037</v>
      </c>
      <c r="G346" s="1">
        <f t="shared" si="38"/>
        <v>1038999.9600000001</v>
      </c>
      <c r="I346" s="6">
        <f>VLOOKUP(B346,'GIÁ 1.4'!$D:$F,2,0)</f>
        <v>481000</v>
      </c>
      <c r="J346" s="21">
        <f t="shared" si="39"/>
        <v>0</v>
      </c>
      <c r="K346" s="6">
        <f>VLOOKUP(B346,'GIÁ 1.4'!$D:$F,3,0)</f>
        <v>962037</v>
      </c>
      <c r="L346" s="21">
        <f t="shared" si="40"/>
        <v>0</v>
      </c>
    </row>
    <row r="347" spans="1:12" ht="16.8" x14ac:dyDescent="0.3">
      <c r="A347" s="3">
        <v>61</v>
      </c>
      <c r="B347" s="30" t="s">
        <v>7638</v>
      </c>
      <c r="C347" s="3" t="s">
        <v>6</v>
      </c>
      <c r="D347" s="65">
        <v>481000</v>
      </c>
      <c r="E347" s="1">
        <f t="shared" si="37"/>
        <v>519480.00000000006</v>
      </c>
      <c r="F347" s="64">
        <v>962037</v>
      </c>
      <c r="G347" s="1">
        <f t="shared" si="38"/>
        <v>1038999.9600000001</v>
      </c>
      <c r="I347" s="6">
        <f>VLOOKUP(B347,'GIÁ 1.4'!$D:$F,2,0)</f>
        <v>481000</v>
      </c>
      <c r="J347" s="21">
        <f t="shared" si="39"/>
        <v>0</v>
      </c>
      <c r="K347" s="6">
        <f>VLOOKUP(B347,'GIÁ 1.4'!$D:$F,3,0)</f>
        <v>962037</v>
      </c>
      <c r="L347" s="21">
        <f t="shared" si="40"/>
        <v>0</v>
      </c>
    </row>
    <row r="348" spans="1:12" ht="16.8" x14ac:dyDescent="0.3">
      <c r="A348" s="3">
        <v>62</v>
      </c>
      <c r="B348" s="30" t="s">
        <v>8332</v>
      </c>
      <c r="C348" s="3" t="s">
        <v>6</v>
      </c>
      <c r="D348" s="65">
        <v>537000</v>
      </c>
      <c r="E348" s="1">
        <f t="shared" si="37"/>
        <v>579960</v>
      </c>
      <c r="F348" s="64">
        <v>1074074</v>
      </c>
      <c r="G348" s="1">
        <f t="shared" si="38"/>
        <v>1159999.9200000002</v>
      </c>
      <c r="I348" s="6">
        <f>VLOOKUP(B348,'GIÁ 1.4'!$D:$F,2,0)</f>
        <v>537000</v>
      </c>
      <c r="J348" s="21">
        <f t="shared" si="39"/>
        <v>0</v>
      </c>
      <c r="K348" s="6">
        <f>VLOOKUP(B348,'GIÁ 1.4'!$D:$F,3,0)</f>
        <v>1074074</v>
      </c>
      <c r="L348" s="21">
        <f t="shared" si="40"/>
        <v>0</v>
      </c>
    </row>
    <row r="349" spans="1:12" ht="16.8" x14ac:dyDescent="0.3">
      <c r="A349" s="3">
        <v>63</v>
      </c>
      <c r="B349" s="30" t="s">
        <v>14145</v>
      </c>
      <c r="C349" s="3" t="s">
        <v>6</v>
      </c>
      <c r="D349" s="65">
        <v>537000</v>
      </c>
      <c r="E349" s="1">
        <f t="shared" si="37"/>
        <v>579960</v>
      </c>
      <c r="F349" s="64">
        <v>1074074</v>
      </c>
      <c r="G349" s="1">
        <f t="shared" si="38"/>
        <v>1159999.9200000002</v>
      </c>
      <c r="I349" s="6">
        <f>VLOOKUP(B349,'GIÁ 1.4'!$D:$F,2,0)</f>
        <v>537000</v>
      </c>
      <c r="J349" s="21">
        <f t="shared" si="39"/>
        <v>0</v>
      </c>
      <c r="K349" s="6">
        <f>VLOOKUP(B349,'GIÁ 1.4'!$D:$F,3,0)</f>
        <v>1074074</v>
      </c>
      <c r="L349" s="21">
        <f t="shared" si="40"/>
        <v>0</v>
      </c>
    </row>
    <row r="350" spans="1:12" ht="16.8" x14ac:dyDescent="0.3">
      <c r="A350" s="3">
        <v>64</v>
      </c>
      <c r="B350" s="30" t="s">
        <v>7530</v>
      </c>
      <c r="C350" s="3" t="s">
        <v>6</v>
      </c>
      <c r="D350" s="65">
        <v>0</v>
      </c>
      <c r="E350" s="1">
        <f t="shared" si="37"/>
        <v>0</v>
      </c>
      <c r="F350" s="64">
        <v>1501852</v>
      </c>
      <c r="G350" s="1">
        <f t="shared" si="38"/>
        <v>1622000.1600000001</v>
      </c>
      <c r="I350" s="6">
        <f>VLOOKUP(B350,'GIÁ 1.4'!$D:$F,2,0)</f>
        <v>0</v>
      </c>
      <c r="J350" s="21">
        <f t="shared" si="39"/>
        <v>0</v>
      </c>
      <c r="K350" s="6">
        <f>VLOOKUP(B350,'GIÁ 1.4'!$D:$F,3,0)</f>
        <v>1501852</v>
      </c>
      <c r="L350" s="21">
        <f t="shared" si="40"/>
        <v>0</v>
      </c>
    </row>
    <row r="351" spans="1:12" ht="16.8" x14ac:dyDescent="0.3">
      <c r="A351" s="3">
        <v>65</v>
      </c>
      <c r="B351" s="30" t="s">
        <v>8626</v>
      </c>
      <c r="C351" s="3" t="s">
        <v>6</v>
      </c>
      <c r="D351" s="65">
        <v>0</v>
      </c>
      <c r="E351" s="1">
        <f t="shared" si="37"/>
        <v>0</v>
      </c>
      <c r="F351" s="64">
        <v>1501852</v>
      </c>
      <c r="G351" s="1">
        <f t="shared" ref="G351:G359" si="41">F351*1.08</f>
        <v>1622000.1600000001</v>
      </c>
      <c r="I351" s="6">
        <f>VLOOKUP(B351,'GIÁ 1.4'!$D:$F,2,0)</f>
        <v>0</v>
      </c>
      <c r="J351" s="21">
        <f t="shared" ref="J351:J366" si="42">D351-I351</f>
        <v>0</v>
      </c>
      <c r="K351" s="6">
        <f>VLOOKUP(B351,'GIÁ 1.4'!$D:$F,3,0)</f>
        <v>1501852</v>
      </c>
      <c r="L351" s="21">
        <f t="shared" ref="L351:L366" si="43">F351-K351</f>
        <v>0</v>
      </c>
    </row>
    <row r="352" spans="1:12" ht="16.8" x14ac:dyDescent="0.3">
      <c r="A352" s="3">
        <v>66</v>
      </c>
      <c r="B352" s="30" t="s">
        <v>8324</v>
      </c>
      <c r="C352" s="3" t="s">
        <v>6</v>
      </c>
      <c r="D352" s="65">
        <v>0</v>
      </c>
      <c r="E352" s="1">
        <f t="shared" si="37"/>
        <v>0</v>
      </c>
      <c r="F352" s="64">
        <v>1733333</v>
      </c>
      <c r="G352" s="1">
        <f t="shared" si="41"/>
        <v>1871999.6400000001</v>
      </c>
      <c r="I352" s="6">
        <f>VLOOKUP(B352,'GIÁ 1.4'!$D:$F,2,0)</f>
        <v>0</v>
      </c>
      <c r="J352" s="21">
        <f t="shared" si="42"/>
        <v>0</v>
      </c>
      <c r="K352" s="6">
        <f>VLOOKUP(B352,'GIÁ 1.4'!$D:$F,3,0)</f>
        <v>1733333</v>
      </c>
      <c r="L352" s="21">
        <f t="shared" si="43"/>
        <v>0</v>
      </c>
    </row>
    <row r="353" spans="1:12" ht="16.8" x14ac:dyDescent="0.3">
      <c r="A353" s="3">
        <v>67</v>
      </c>
      <c r="B353" s="30" t="s">
        <v>7630</v>
      </c>
      <c r="C353" s="3" t="s">
        <v>6</v>
      </c>
      <c r="D353" s="65">
        <v>0</v>
      </c>
      <c r="E353" s="1">
        <f t="shared" si="37"/>
        <v>0</v>
      </c>
      <c r="F353" s="64">
        <v>1733333</v>
      </c>
      <c r="G353" s="1">
        <f t="shared" si="41"/>
        <v>1871999.6400000001</v>
      </c>
      <c r="I353" s="6">
        <f>VLOOKUP(B353,'GIÁ 1.4'!$D:$F,2,0)</f>
        <v>0</v>
      </c>
      <c r="J353" s="21">
        <f t="shared" si="42"/>
        <v>0</v>
      </c>
      <c r="K353" s="6">
        <f>VLOOKUP(B353,'GIÁ 1.4'!$D:$F,3,0)</f>
        <v>1733333</v>
      </c>
      <c r="L353" s="21">
        <f t="shared" si="43"/>
        <v>0</v>
      </c>
    </row>
    <row r="354" spans="1:12" ht="16.8" x14ac:dyDescent="0.3">
      <c r="A354" s="3">
        <v>68</v>
      </c>
      <c r="B354" s="30" t="s">
        <v>8796</v>
      </c>
      <c r="C354" s="3" t="s">
        <v>6</v>
      </c>
      <c r="D354" s="65">
        <v>481000</v>
      </c>
      <c r="E354" s="1">
        <f t="shared" si="37"/>
        <v>519480.00000000006</v>
      </c>
      <c r="F354" s="64">
        <v>962037</v>
      </c>
      <c r="G354" s="1">
        <f t="shared" si="41"/>
        <v>1038999.9600000001</v>
      </c>
      <c r="I354" s="6">
        <f>VLOOKUP(B354,'GIÁ 1.4'!$D:$F,2,0)</f>
        <v>481000</v>
      </c>
      <c r="J354" s="21">
        <f t="shared" si="42"/>
        <v>0</v>
      </c>
      <c r="K354" s="6">
        <f>VLOOKUP(B354,'GIÁ 1.4'!$D:$F,3,0)</f>
        <v>962037</v>
      </c>
      <c r="L354" s="21">
        <f t="shared" si="43"/>
        <v>0</v>
      </c>
    </row>
    <row r="355" spans="1:12" ht="16.8" x14ac:dyDescent="0.3">
      <c r="A355" s="3">
        <v>69</v>
      </c>
      <c r="B355" s="30" t="s">
        <v>8340</v>
      </c>
      <c r="C355" s="3" t="s">
        <v>6</v>
      </c>
      <c r="D355" s="65">
        <v>495000</v>
      </c>
      <c r="E355" s="1">
        <f t="shared" si="37"/>
        <v>534600</v>
      </c>
      <c r="F355" s="64">
        <v>989815</v>
      </c>
      <c r="G355" s="1">
        <f t="shared" si="41"/>
        <v>1069000.2000000002</v>
      </c>
      <c r="I355" s="6">
        <f>VLOOKUP(B355,'GIÁ 1.4'!$D:$F,2,0)</f>
        <v>495000</v>
      </c>
      <c r="J355" s="21">
        <f t="shared" si="42"/>
        <v>0</v>
      </c>
      <c r="K355" s="6">
        <f>VLOOKUP(B355,'GIÁ 1.4'!$D:$F,3,0)</f>
        <v>989815</v>
      </c>
      <c r="L355" s="21">
        <f t="shared" si="43"/>
        <v>0</v>
      </c>
    </row>
    <row r="356" spans="1:12" ht="16.8" x14ac:dyDescent="0.3">
      <c r="A356" s="3">
        <v>70</v>
      </c>
      <c r="B356" s="30" t="s">
        <v>8512</v>
      </c>
      <c r="C356" s="3" t="s">
        <v>6</v>
      </c>
      <c r="D356" s="65">
        <v>495000</v>
      </c>
      <c r="E356" s="1">
        <f t="shared" si="37"/>
        <v>534600</v>
      </c>
      <c r="F356" s="64">
        <v>989815</v>
      </c>
      <c r="G356" s="1">
        <f t="shared" si="41"/>
        <v>1069000.2000000002</v>
      </c>
      <c r="I356" s="6">
        <f>VLOOKUP(B356,'GIÁ 1.4'!$D:$F,2,0)</f>
        <v>495000</v>
      </c>
      <c r="J356" s="21">
        <f t="shared" si="42"/>
        <v>0</v>
      </c>
      <c r="K356" s="6">
        <f>VLOOKUP(B356,'GIÁ 1.4'!$D:$F,3,0)</f>
        <v>989815</v>
      </c>
      <c r="L356" s="21">
        <f t="shared" si="43"/>
        <v>0</v>
      </c>
    </row>
    <row r="357" spans="1:12" ht="16.8" x14ac:dyDescent="0.3">
      <c r="A357" s="3">
        <v>71</v>
      </c>
      <c r="B357" s="2" t="s">
        <v>8814</v>
      </c>
      <c r="C357" s="3" t="s">
        <v>6</v>
      </c>
      <c r="D357" s="64">
        <v>189000</v>
      </c>
      <c r="E357" s="1">
        <f t="shared" si="37"/>
        <v>204120</v>
      </c>
      <c r="F357" s="64">
        <v>377778</v>
      </c>
      <c r="G357" s="1">
        <f t="shared" si="41"/>
        <v>408000.24000000005</v>
      </c>
      <c r="I357" s="6">
        <f>VLOOKUP(B357,'GIÁ 1.4'!$D:$F,2,0)</f>
        <v>189000</v>
      </c>
      <c r="J357" s="21">
        <f t="shared" si="42"/>
        <v>0</v>
      </c>
      <c r="K357" s="6">
        <f>VLOOKUP(B357,'GIÁ 1.4'!$D:$F,3,0)</f>
        <v>377778</v>
      </c>
      <c r="L357" s="21">
        <f t="shared" si="43"/>
        <v>0</v>
      </c>
    </row>
    <row r="358" spans="1:12" ht="16.8" x14ac:dyDescent="0.3">
      <c r="A358" s="3">
        <v>72</v>
      </c>
      <c r="B358" s="2" t="s">
        <v>9890</v>
      </c>
      <c r="C358" s="3" t="s">
        <v>6</v>
      </c>
      <c r="D358" s="64">
        <v>245000</v>
      </c>
      <c r="E358" s="1">
        <f t="shared" si="37"/>
        <v>264600</v>
      </c>
      <c r="F358" s="64">
        <v>489815</v>
      </c>
      <c r="G358" s="1">
        <f t="shared" si="41"/>
        <v>529000.20000000007</v>
      </c>
      <c r="I358" s="6">
        <f>VLOOKUP(B358,'GIÁ 1.4'!$D:$F,2,0)</f>
        <v>245000</v>
      </c>
      <c r="J358" s="21">
        <f t="shared" si="42"/>
        <v>0</v>
      </c>
      <c r="K358" s="6">
        <f>VLOOKUP(B358,'GIÁ 1.4'!$D:$F,3,0)</f>
        <v>489815</v>
      </c>
      <c r="L358" s="21">
        <f t="shared" si="43"/>
        <v>0</v>
      </c>
    </row>
    <row r="359" spans="1:12" ht="16.8" x14ac:dyDescent="0.3">
      <c r="A359" s="3">
        <v>73</v>
      </c>
      <c r="B359" s="2" t="s">
        <v>7912</v>
      </c>
      <c r="C359" s="3" t="s">
        <v>6</v>
      </c>
      <c r="D359" s="66">
        <v>997000</v>
      </c>
      <c r="E359" s="1">
        <f t="shared" si="37"/>
        <v>1076760</v>
      </c>
      <c r="F359" s="66">
        <v>1994444</v>
      </c>
      <c r="G359" s="1">
        <f t="shared" si="41"/>
        <v>2153999.52</v>
      </c>
      <c r="I359" s="6">
        <f>VLOOKUP(B359,'GIÁ 1.4'!$D:$F,2,0)</f>
        <v>997000</v>
      </c>
      <c r="J359" s="21">
        <f t="shared" si="42"/>
        <v>0</v>
      </c>
      <c r="K359" s="6">
        <f>VLOOKUP(B359,'GIÁ 1.4'!$D:$F,3,0)</f>
        <v>1994444</v>
      </c>
      <c r="L359" s="21">
        <f t="shared" si="43"/>
        <v>0</v>
      </c>
    </row>
    <row r="360" spans="1:12" ht="16.8" x14ac:dyDescent="0.3">
      <c r="A360" s="3">
        <v>74</v>
      </c>
      <c r="B360" s="2" t="s">
        <v>14221</v>
      </c>
      <c r="C360" s="33" t="s">
        <v>6</v>
      </c>
      <c r="D360" s="66">
        <v>509000</v>
      </c>
      <c r="E360" s="5">
        <f t="shared" si="37"/>
        <v>549720</v>
      </c>
      <c r="F360" s="66">
        <v>1017593</v>
      </c>
      <c r="G360" s="5">
        <v>1166000</v>
      </c>
      <c r="I360" s="6">
        <f>VLOOKUP(B360,'GIÁ 1.4'!$D:$F,2,0)</f>
        <v>509000</v>
      </c>
      <c r="J360" s="21">
        <f t="shared" si="42"/>
        <v>0</v>
      </c>
      <c r="K360" s="6">
        <f>VLOOKUP(B360,'GIÁ 1.4'!$D:$F,3,0)</f>
        <v>1017593</v>
      </c>
      <c r="L360" s="21">
        <f t="shared" si="43"/>
        <v>0</v>
      </c>
    </row>
    <row r="361" spans="1:12" ht="16.8" x14ac:dyDescent="0.3">
      <c r="A361" s="3">
        <v>75</v>
      </c>
      <c r="B361" s="2" t="s">
        <v>14223</v>
      </c>
      <c r="C361" s="33" t="s">
        <v>6</v>
      </c>
      <c r="D361" s="66">
        <v>495000</v>
      </c>
      <c r="E361" s="5">
        <f t="shared" si="37"/>
        <v>534600</v>
      </c>
      <c r="F361" s="66">
        <v>989815</v>
      </c>
      <c r="G361" s="5">
        <v>1134000</v>
      </c>
      <c r="I361" s="6">
        <f>VLOOKUP(B361,'GIÁ 1.4'!$D:$F,2,0)</f>
        <v>495000</v>
      </c>
      <c r="J361" s="21">
        <f t="shared" si="42"/>
        <v>0</v>
      </c>
      <c r="K361" s="6">
        <f>VLOOKUP(B361,'GIÁ 1.4'!$D:$F,3,0)</f>
        <v>989815</v>
      </c>
      <c r="L361" s="21">
        <f t="shared" si="43"/>
        <v>0</v>
      </c>
    </row>
    <row r="362" spans="1:12" ht="16.8" x14ac:dyDescent="0.3">
      <c r="A362" s="3">
        <v>76</v>
      </c>
      <c r="B362" s="2" t="s">
        <v>9362</v>
      </c>
      <c r="C362" s="33" t="s">
        <v>6</v>
      </c>
      <c r="D362" s="66">
        <v>495000</v>
      </c>
      <c r="E362" s="5">
        <f t="shared" si="37"/>
        <v>534600</v>
      </c>
      <c r="F362" s="66">
        <v>989815</v>
      </c>
      <c r="G362" s="5">
        <v>1134000</v>
      </c>
      <c r="I362" s="6">
        <f>VLOOKUP(B362,'GIÁ 1.4'!$D:$F,2,0)</f>
        <v>495000</v>
      </c>
      <c r="J362" s="21">
        <f t="shared" si="42"/>
        <v>0</v>
      </c>
      <c r="K362" s="6">
        <f>VLOOKUP(B362,'GIÁ 1.4'!$D:$F,3,0)</f>
        <v>989815</v>
      </c>
      <c r="L362" s="21">
        <f t="shared" si="43"/>
        <v>0</v>
      </c>
    </row>
    <row r="363" spans="1:12" ht="16.8" x14ac:dyDescent="0.3">
      <c r="A363" s="3">
        <v>77</v>
      </c>
      <c r="B363" s="17" t="s">
        <v>9938</v>
      </c>
      <c r="C363" s="18" t="s">
        <v>6</v>
      </c>
      <c r="D363" s="68">
        <v>0</v>
      </c>
      <c r="E363" s="19">
        <f t="shared" si="37"/>
        <v>0</v>
      </c>
      <c r="F363" s="68">
        <f>+G363/1.08</f>
        <v>1111111.111111111</v>
      </c>
      <c r="G363" s="19">
        <v>1200000</v>
      </c>
      <c r="I363" s="6">
        <f>VLOOKUP(B363,'GIÁ 1.4'!$D:$F,2,0)</f>
        <v>0</v>
      </c>
      <c r="J363" s="21">
        <f t="shared" si="42"/>
        <v>0</v>
      </c>
      <c r="K363" s="6">
        <f>VLOOKUP(B363,'GIÁ 1.4'!$D:$F,3,0)</f>
        <v>0</v>
      </c>
      <c r="L363" s="21">
        <f t="shared" si="43"/>
        <v>1111111.111111111</v>
      </c>
    </row>
    <row r="364" spans="1:12" ht="16.8" x14ac:dyDescent="0.3">
      <c r="A364" s="3">
        <v>78</v>
      </c>
      <c r="B364" s="17" t="s">
        <v>11368</v>
      </c>
      <c r="C364" s="18" t="s">
        <v>6</v>
      </c>
      <c r="D364" s="68">
        <v>0</v>
      </c>
      <c r="E364" s="19">
        <f t="shared" si="37"/>
        <v>0</v>
      </c>
      <c r="F364" s="68">
        <f>+G364/1.08</f>
        <v>1111111.111111111</v>
      </c>
      <c r="G364" s="19">
        <v>1200000</v>
      </c>
      <c r="I364" s="6">
        <f>VLOOKUP(B364,'GIÁ 1.4'!$D:$F,2,0)</f>
        <v>0</v>
      </c>
      <c r="J364" s="21">
        <f t="shared" si="42"/>
        <v>0</v>
      </c>
      <c r="K364" s="6">
        <f>VLOOKUP(B364,'GIÁ 1.4'!$D:$F,3,0)</f>
        <v>0</v>
      </c>
      <c r="L364" s="21">
        <f t="shared" si="43"/>
        <v>1111111.111111111</v>
      </c>
    </row>
    <row r="365" spans="1:12" ht="16.8" x14ac:dyDescent="0.3">
      <c r="A365" s="3">
        <v>79</v>
      </c>
      <c r="B365" s="17" t="s">
        <v>9638</v>
      </c>
      <c r="C365" s="18" t="s">
        <v>6</v>
      </c>
      <c r="D365" s="68">
        <v>0</v>
      </c>
      <c r="E365" s="19">
        <f t="shared" si="37"/>
        <v>0</v>
      </c>
      <c r="F365" s="68">
        <f>+G365/1.08</f>
        <v>1064814.8148148148</v>
      </c>
      <c r="G365" s="19">
        <v>1150000</v>
      </c>
      <c r="I365" s="6">
        <f>VLOOKUP(B365,'GIÁ 1.4'!$D:$F,2,0)</f>
        <v>0</v>
      </c>
      <c r="J365" s="21">
        <f t="shared" si="42"/>
        <v>0</v>
      </c>
      <c r="K365" s="6">
        <f>VLOOKUP(B365,'GIÁ 1.4'!$D:$F,3,0)</f>
        <v>0</v>
      </c>
      <c r="L365" s="21">
        <f t="shared" si="43"/>
        <v>1064814.8148148148</v>
      </c>
    </row>
    <row r="366" spans="1:12" ht="16.8" x14ac:dyDescent="0.3">
      <c r="A366" s="3">
        <v>80</v>
      </c>
      <c r="B366" s="17" t="s">
        <v>8354</v>
      </c>
      <c r="C366" s="18" t="s">
        <v>6</v>
      </c>
      <c r="D366" s="68">
        <v>0</v>
      </c>
      <c r="E366" s="19">
        <f t="shared" si="37"/>
        <v>0</v>
      </c>
      <c r="F366" s="68">
        <f>+G366/1.08</f>
        <v>1064814.8148148148</v>
      </c>
      <c r="G366" s="19">
        <v>1150000</v>
      </c>
      <c r="I366" s="6">
        <f>VLOOKUP(B366,'GIÁ 1.4'!$D:$F,2,0)</f>
        <v>0</v>
      </c>
      <c r="J366" s="21">
        <f t="shared" si="42"/>
        <v>0</v>
      </c>
      <c r="K366" s="6">
        <f>VLOOKUP(B366,'GIÁ 1.4'!$D:$F,3,0)</f>
        <v>0</v>
      </c>
      <c r="L366" s="21">
        <f t="shared" si="43"/>
        <v>1064814.8148148148</v>
      </c>
    </row>
    <row r="367" spans="1:12" ht="16.8" x14ac:dyDescent="0.3">
      <c r="A367" s="3"/>
      <c r="B367" s="36" t="s">
        <v>6022</v>
      </c>
      <c r="C367" s="27"/>
      <c r="D367" s="69"/>
      <c r="E367" s="1">
        <f t="shared" si="37"/>
        <v>0</v>
      </c>
      <c r="F367" s="69"/>
      <c r="G367" s="1">
        <f>F367*1.08</f>
        <v>0</v>
      </c>
      <c r="J367" s="21"/>
      <c r="L367" s="21"/>
    </row>
    <row r="368" spans="1:12" ht="16.8" x14ac:dyDescent="0.3">
      <c r="A368" s="3">
        <v>1</v>
      </c>
      <c r="B368" s="30" t="s">
        <v>6024</v>
      </c>
      <c r="C368" s="3" t="s">
        <v>6</v>
      </c>
      <c r="D368" s="64">
        <v>290000</v>
      </c>
      <c r="E368" s="1">
        <f t="shared" si="37"/>
        <v>313200</v>
      </c>
      <c r="F368" s="64">
        <v>500000</v>
      </c>
      <c r="G368" s="1">
        <f>F368*1.08</f>
        <v>540000</v>
      </c>
      <c r="I368" s="6">
        <f>VLOOKUP(B368,'GIÁ 1.4'!$D:$F,2,0)</f>
        <v>290000</v>
      </c>
      <c r="J368" s="21">
        <f t="shared" ref="J368:J399" si="44">D368-I368</f>
        <v>0</v>
      </c>
      <c r="K368" s="6">
        <f>VLOOKUP(B368,'GIÁ 1.4'!$D:$F,3,0)</f>
        <v>500000</v>
      </c>
      <c r="L368" s="21">
        <f t="shared" ref="L368:L399" si="45">F368-K368</f>
        <v>0</v>
      </c>
    </row>
    <row r="369" spans="1:12" ht="16.8" x14ac:dyDescent="0.3">
      <c r="A369" s="3">
        <v>2</v>
      </c>
      <c r="B369" s="30" t="s">
        <v>7262</v>
      </c>
      <c r="C369" s="3" t="s">
        <v>6</v>
      </c>
      <c r="D369" s="64">
        <v>366000</v>
      </c>
      <c r="E369" s="1">
        <f t="shared" si="37"/>
        <v>395280</v>
      </c>
      <c r="F369" s="64">
        <v>660000</v>
      </c>
      <c r="G369" s="1">
        <f t="shared" ref="G369:G432" si="46">F369*1.08</f>
        <v>712800</v>
      </c>
      <c r="I369" s="6">
        <f>VLOOKUP(B369,'GIÁ 1.4'!$D:$F,2,0)</f>
        <v>366000</v>
      </c>
      <c r="J369" s="21">
        <f t="shared" si="44"/>
        <v>0</v>
      </c>
      <c r="K369" s="6">
        <f>VLOOKUP(B369,'GIÁ 1.4'!$D:$F,3,0)</f>
        <v>660000</v>
      </c>
      <c r="L369" s="21">
        <f t="shared" si="45"/>
        <v>0</v>
      </c>
    </row>
    <row r="370" spans="1:12" ht="16.8" x14ac:dyDescent="0.3">
      <c r="A370" s="3">
        <v>3</v>
      </c>
      <c r="B370" s="30" t="s">
        <v>6031</v>
      </c>
      <c r="C370" s="3" t="s">
        <v>6</v>
      </c>
      <c r="D370" s="64">
        <v>228000</v>
      </c>
      <c r="E370" s="1">
        <f t="shared" si="37"/>
        <v>246240.00000000003</v>
      </c>
      <c r="F370" s="64">
        <v>456000</v>
      </c>
      <c r="G370" s="1">
        <f t="shared" si="46"/>
        <v>492480.00000000006</v>
      </c>
      <c r="I370" s="6">
        <f>VLOOKUP(B370,'GIÁ 1.4'!$D:$F,2,0)</f>
        <v>228000</v>
      </c>
      <c r="J370" s="21">
        <f t="shared" si="44"/>
        <v>0</v>
      </c>
      <c r="K370" s="6">
        <f>VLOOKUP(B370,'GIÁ 1.4'!$D:$F,3,0)</f>
        <v>456000</v>
      </c>
      <c r="L370" s="21">
        <f t="shared" si="45"/>
        <v>0</v>
      </c>
    </row>
    <row r="371" spans="1:12" ht="16.8" x14ac:dyDescent="0.3">
      <c r="A371" s="3">
        <v>4</v>
      </c>
      <c r="B371" s="30" t="s">
        <v>13367</v>
      </c>
      <c r="C371" s="3" t="s">
        <v>6</v>
      </c>
      <c r="D371" s="64">
        <v>672000</v>
      </c>
      <c r="E371" s="1">
        <f t="shared" si="37"/>
        <v>725760</v>
      </c>
      <c r="F371" s="64">
        <v>1344000</v>
      </c>
      <c r="G371" s="1">
        <f t="shared" si="46"/>
        <v>1451520</v>
      </c>
      <c r="I371" s="6">
        <f>VLOOKUP(B371,'GIÁ 1.4'!$D:$F,2,0)</f>
        <v>672000</v>
      </c>
      <c r="J371" s="21">
        <f t="shared" si="44"/>
        <v>0</v>
      </c>
      <c r="K371" s="6">
        <f>VLOOKUP(B371,'GIÁ 1.4'!$D:$F,3,0)</f>
        <v>1344000</v>
      </c>
      <c r="L371" s="21">
        <f t="shared" si="45"/>
        <v>0</v>
      </c>
    </row>
    <row r="372" spans="1:12" ht="16.8" x14ac:dyDescent="0.3">
      <c r="A372" s="3">
        <v>5</v>
      </c>
      <c r="B372" s="30" t="s">
        <v>6666</v>
      </c>
      <c r="C372" s="3" t="s">
        <v>6</v>
      </c>
      <c r="D372" s="64">
        <v>79100</v>
      </c>
      <c r="E372" s="1">
        <f t="shared" si="37"/>
        <v>85428</v>
      </c>
      <c r="F372" s="64">
        <v>158333</v>
      </c>
      <c r="G372" s="1">
        <f t="shared" si="46"/>
        <v>170999.64</v>
      </c>
      <c r="I372" s="6">
        <f>VLOOKUP(B372,'GIÁ 1.4'!$D:$F,2,0)</f>
        <v>79100</v>
      </c>
      <c r="J372" s="21">
        <f t="shared" si="44"/>
        <v>0</v>
      </c>
      <c r="K372" s="6">
        <f>VLOOKUP(B372,'GIÁ 1.4'!$D:$F,3,0)</f>
        <v>158333</v>
      </c>
      <c r="L372" s="21">
        <f t="shared" si="45"/>
        <v>0</v>
      </c>
    </row>
    <row r="373" spans="1:12" ht="16.8" x14ac:dyDescent="0.3">
      <c r="A373" s="3">
        <v>6</v>
      </c>
      <c r="B373" s="30" t="s">
        <v>6668</v>
      </c>
      <c r="C373" s="3" t="s">
        <v>6</v>
      </c>
      <c r="D373" s="64">
        <v>123000</v>
      </c>
      <c r="E373" s="1">
        <f t="shared" ref="E373:E436" si="47">D373*1.08</f>
        <v>132840</v>
      </c>
      <c r="F373" s="64">
        <v>246296</v>
      </c>
      <c r="G373" s="1">
        <f t="shared" si="46"/>
        <v>265999.68</v>
      </c>
      <c r="I373" s="6">
        <f>VLOOKUP(B373,'GIÁ 1.4'!$D:$F,2,0)</f>
        <v>123000</v>
      </c>
      <c r="J373" s="21">
        <f t="shared" si="44"/>
        <v>0</v>
      </c>
      <c r="K373" s="6">
        <f>VLOOKUP(B373,'GIÁ 1.4'!$D:$F,3,0)</f>
        <v>246296</v>
      </c>
      <c r="L373" s="21">
        <f t="shared" si="45"/>
        <v>0</v>
      </c>
    </row>
    <row r="374" spans="1:12" ht="16.8" x14ac:dyDescent="0.3">
      <c r="A374" s="3">
        <v>7</v>
      </c>
      <c r="B374" s="30" t="s">
        <v>11398</v>
      </c>
      <c r="C374" s="3" t="s">
        <v>6</v>
      </c>
      <c r="D374" s="64">
        <v>142400</v>
      </c>
      <c r="E374" s="1">
        <f t="shared" si="47"/>
        <v>153792</v>
      </c>
      <c r="F374" s="64">
        <v>256000</v>
      </c>
      <c r="G374" s="1">
        <f t="shared" si="46"/>
        <v>276480</v>
      </c>
      <c r="I374" s="6">
        <f>VLOOKUP(B374,'GIÁ 1.4'!$D:$F,2,0)</f>
        <v>142400</v>
      </c>
      <c r="J374" s="21">
        <f t="shared" si="44"/>
        <v>0</v>
      </c>
      <c r="K374" s="6">
        <f>VLOOKUP(B374,'GIÁ 1.4'!$D:$F,3,0)</f>
        <v>256000</v>
      </c>
      <c r="L374" s="21">
        <f t="shared" si="45"/>
        <v>0</v>
      </c>
    </row>
    <row r="375" spans="1:12" ht="16.8" x14ac:dyDescent="0.3">
      <c r="A375" s="3">
        <v>8</v>
      </c>
      <c r="B375" s="30" t="s">
        <v>8772</v>
      </c>
      <c r="C375" s="3" t="s">
        <v>6</v>
      </c>
      <c r="D375" s="64">
        <v>185000</v>
      </c>
      <c r="E375" s="1">
        <f t="shared" si="47"/>
        <v>199800</v>
      </c>
      <c r="F375" s="64">
        <v>334259</v>
      </c>
      <c r="G375" s="1">
        <f t="shared" si="46"/>
        <v>360999.72000000003</v>
      </c>
      <c r="I375" s="6">
        <f>VLOOKUP(B375,'GIÁ 1.4'!$D:$F,2,0)</f>
        <v>185000</v>
      </c>
      <c r="J375" s="21">
        <f t="shared" si="44"/>
        <v>0</v>
      </c>
      <c r="K375" s="6">
        <f>VLOOKUP(B375,'GIÁ 1.4'!$D:$F,3,0)</f>
        <v>334259</v>
      </c>
      <c r="L375" s="21">
        <f t="shared" si="45"/>
        <v>0</v>
      </c>
    </row>
    <row r="376" spans="1:12" ht="16.8" x14ac:dyDescent="0.3">
      <c r="A376" s="3">
        <v>9</v>
      </c>
      <c r="B376" s="30" t="s">
        <v>6383</v>
      </c>
      <c r="C376" s="3" t="s">
        <v>6</v>
      </c>
      <c r="D376" s="64">
        <v>121000</v>
      </c>
      <c r="E376" s="1">
        <f t="shared" si="47"/>
        <v>130680.00000000001</v>
      </c>
      <c r="F376" s="64">
        <v>241667</v>
      </c>
      <c r="G376" s="1">
        <f t="shared" si="46"/>
        <v>261000.36000000002</v>
      </c>
      <c r="I376" s="6">
        <f>VLOOKUP(B376,'GIÁ 1.4'!$D:$F,2,0)</f>
        <v>121000</v>
      </c>
      <c r="J376" s="21">
        <f t="shared" si="44"/>
        <v>0</v>
      </c>
      <c r="K376" s="6">
        <f>VLOOKUP(B376,'GIÁ 1.4'!$D:$F,3,0)</f>
        <v>241667</v>
      </c>
      <c r="L376" s="21">
        <f t="shared" si="45"/>
        <v>0</v>
      </c>
    </row>
    <row r="377" spans="1:12" ht="16.8" x14ac:dyDescent="0.3">
      <c r="A377" s="3">
        <v>10</v>
      </c>
      <c r="B377" s="30" t="s">
        <v>9700</v>
      </c>
      <c r="C377" s="3" t="s">
        <v>6</v>
      </c>
      <c r="D377" s="64">
        <v>121000</v>
      </c>
      <c r="E377" s="1">
        <f t="shared" si="47"/>
        <v>130680.00000000001</v>
      </c>
      <c r="F377" s="64">
        <v>241667</v>
      </c>
      <c r="G377" s="1">
        <f t="shared" si="46"/>
        <v>261000.36000000002</v>
      </c>
      <c r="I377" s="6">
        <f>VLOOKUP(B377,'GIÁ 1.4'!$D:$F,2,0)</f>
        <v>121000</v>
      </c>
      <c r="J377" s="21">
        <f t="shared" si="44"/>
        <v>0</v>
      </c>
      <c r="K377" s="6">
        <f>VLOOKUP(B377,'GIÁ 1.4'!$D:$F,3,0)</f>
        <v>241667</v>
      </c>
      <c r="L377" s="21">
        <f t="shared" si="45"/>
        <v>0</v>
      </c>
    </row>
    <row r="378" spans="1:12" ht="16.8" x14ac:dyDescent="0.3">
      <c r="A378" s="3">
        <v>11</v>
      </c>
      <c r="B378" s="30" t="s">
        <v>12416</v>
      </c>
      <c r="C378" s="3" t="s">
        <v>6</v>
      </c>
      <c r="D378" s="64">
        <v>133000</v>
      </c>
      <c r="E378" s="1">
        <f t="shared" si="47"/>
        <v>143640</v>
      </c>
      <c r="F378" s="64">
        <v>266667</v>
      </c>
      <c r="G378" s="1">
        <f t="shared" si="46"/>
        <v>288000.36000000004</v>
      </c>
      <c r="I378" s="6">
        <f>VLOOKUP(B378,'GIÁ 1.4'!$D:$F,2,0)</f>
        <v>133000</v>
      </c>
      <c r="J378" s="21">
        <f t="shared" si="44"/>
        <v>0</v>
      </c>
      <c r="K378" s="6">
        <f>VLOOKUP(B378,'GIÁ 1.4'!$D:$F,3,0)</f>
        <v>266667</v>
      </c>
      <c r="L378" s="21">
        <f t="shared" si="45"/>
        <v>0</v>
      </c>
    </row>
    <row r="379" spans="1:12" ht="16.8" x14ac:dyDescent="0.3">
      <c r="A379" s="3">
        <v>12</v>
      </c>
      <c r="B379" s="30" t="s">
        <v>9302</v>
      </c>
      <c r="C379" s="3" t="s">
        <v>6</v>
      </c>
      <c r="D379" s="64">
        <v>170000</v>
      </c>
      <c r="E379" s="1">
        <f t="shared" si="47"/>
        <v>183600</v>
      </c>
      <c r="F379" s="64">
        <v>339815</v>
      </c>
      <c r="G379" s="1">
        <f t="shared" si="46"/>
        <v>367000.2</v>
      </c>
      <c r="I379" s="6">
        <f>VLOOKUP(B379,'GIÁ 1.4'!$D:$F,2,0)</f>
        <v>170000</v>
      </c>
      <c r="J379" s="21">
        <f t="shared" si="44"/>
        <v>0</v>
      </c>
      <c r="K379" s="6">
        <f>VLOOKUP(B379,'GIÁ 1.4'!$D:$F,3,0)</f>
        <v>339815</v>
      </c>
      <c r="L379" s="21">
        <f t="shared" si="45"/>
        <v>0</v>
      </c>
    </row>
    <row r="380" spans="1:12" ht="16.8" x14ac:dyDescent="0.3">
      <c r="A380" s="3">
        <v>13</v>
      </c>
      <c r="B380" s="30" t="s">
        <v>7266</v>
      </c>
      <c r="C380" s="3" t="s">
        <v>6</v>
      </c>
      <c r="D380" s="64">
        <v>214000</v>
      </c>
      <c r="E380" s="1">
        <f t="shared" si="47"/>
        <v>231120.00000000003</v>
      </c>
      <c r="F380" s="64">
        <v>427778</v>
      </c>
      <c r="G380" s="1">
        <f t="shared" si="46"/>
        <v>462000.24000000005</v>
      </c>
      <c r="I380" s="6">
        <f>VLOOKUP(B380,'GIÁ 1.4'!$D:$F,2,0)</f>
        <v>214000</v>
      </c>
      <c r="J380" s="21">
        <f t="shared" si="44"/>
        <v>0</v>
      </c>
      <c r="K380" s="6">
        <f>VLOOKUP(B380,'GIÁ 1.4'!$D:$F,3,0)</f>
        <v>427778</v>
      </c>
      <c r="L380" s="21">
        <f t="shared" si="45"/>
        <v>0</v>
      </c>
    </row>
    <row r="381" spans="1:12" ht="16.8" x14ac:dyDescent="0.3">
      <c r="A381" s="3">
        <v>14</v>
      </c>
      <c r="B381" s="30" t="s">
        <v>10938</v>
      </c>
      <c r="C381" s="3" t="s">
        <v>6</v>
      </c>
      <c r="D381" s="64">
        <v>299000</v>
      </c>
      <c r="E381" s="1">
        <f t="shared" si="47"/>
        <v>322920</v>
      </c>
      <c r="F381" s="64">
        <v>553704</v>
      </c>
      <c r="G381" s="1">
        <f t="shared" si="46"/>
        <v>598000.32000000007</v>
      </c>
      <c r="I381" s="6">
        <f>VLOOKUP(B381,'GIÁ 1.4'!$D:$F,2,0)</f>
        <v>299000</v>
      </c>
      <c r="J381" s="21">
        <f t="shared" si="44"/>
        <v>0</v>
      </c>
      <c r="K381" s="6">
        <f>VLOOKUP(B381,'GIÁ 1.4'!$D:$F,3,0)</f>
        <v>553704</v>
      </c>
      <c r="L381" s="21">
        <f t="shared" si="45"/>
        <v>0</v>
      </c>
    </row>
    <row r="382" spans="1:12" ht="16.8" x14ac:dyDescent="0.3">
      <c r="A382" s="3">
        <v>15</v>
      </c>
      <c r="B382" s="30" t="s">
        <v>14909</v>
      </c>
      <c r="C382" s="3" t="s">
        <v>6</v>
      </c>
      <c r="D382" s="64">
        <v>235000</v>
      </c>
      <c r="E382" s="1">
        <f t="shared" si="47"/>
        <v>253800.00000000003</v>
      </c>
      <c r="F382" s="64">
        <v>434259</v>
      </c>
      <c r="G382" s="1">
        <f t="shared" si="46"/>
        <v>468999.72000000003</v>
      </c>
      <c r="I382" s="6">
        <f>VLOOKUP(B382,'GIÁ 1.4'!$D:$F,2,0)</f>
        <v>235000</v>
      </c>
      <c r="J382" s="21">
        <f t="shared" si="44"/>
        <v>0</v>
      </c>
      <c r="K382" s="6">
        <f>VLOOKUP(B382,'GIÁ 1.4'!$D:$F,3,0)</f>
        <v>434259</v>
      </c>
      <c r="L382" s="21">
        <f t="shared" si="45"/>
        <v>0</v>
      </c>
    </row>
    <row r="383" spans="1:12" ht="16.8" x14ac:dyDescent="0.3">
      <c r="A383" s="3">
        <v>16</v>
      </c>
      <c r="B383" s="30" t="s">
        <v>8298</v>
      </c>
      <c r="C383" s="3" t="s">
        <v>6</v>
      </c>
      <c r="D383" s="64">
        <v>130200</v>
      </c>
      <c r="E383" s="1">
        <f t="shared" si="47"/>
        <v>140616</v>
      </c>
      <c r="F383" s="64">
        <v>224074</v>
      </c>
      <c r="G383" s="1">
        <f t="shared" si="46"/>
        <v>241999.92</v>
      </c>
      <c r="I383" s="6">
        <f>VLOOKUP(B383,'GIÁ 1.4'!$D:$F,2,0)</f>
        <v>130200</v>
      </c>
      <c r="J383" s="21">
        <f t="shared" si="44"/>
        <v>0</v>
      </c>
      <c r="K383" s="6">
        <f>VLOOKUP(B383,'GIÁ 1.4'!$D:$F,3,0)</f>
        <v>224074</v>
      </c>
      <c r="L383" s="21">
        <f t="shared" si="45"/>
        <v>0</v>
      </c>
    </row>
    <row r="384" spans="1:12" ht="16.8" x14ac:dyDescent="0.3">
      <c r="A384" s="3">
        <v>17</v>
      </c>
      <c r="B384" s="30" t="s">
        <v>7272</v>
      </c>
      <c r="C384" s="3" t="s">
        <v>6</v>
      </c>
      <c r="D384" s="64">
        <v>165000</v>
      </c>
      <c r="E384" s="1">
        <f t="shared" si="47"/>
        <v>178200</v>
      </c>
      <c r="F384" s="64">
        <v>329630</v>
      </c>
      <c r="G384" s="1">
        <f t="shared" si="46"/>
        <v>356000.4</v>
      </c>
      <c r="I384" s="6">
        <f>VLOOKUP(B384,'GIÁ 1.4'!$D:$F,2,0)</f>
        <v>165000</v>
      </c>
      <c r="J384" s="21">
        <f t="shared" si="44"/>
        <v>0</v>
      </c>
      <c r="K384" s="6">
        <f>VLOOKUP(B384,'GIÁ 1.4'!$D:$F,3,0)</f>
        <v>329630</v>
      </c>
      <c r="L384" s="21">
        <f t="shared" si="45"/>
        <v>0</v>
      </c>
    </row>
    <row r="385" spans="1:12" ht="16.8" x14ac:dyDescent="0.3">
      <c r="A385" s="3">
        <v>18</v>
      </c>
      <c r="B385" s="40" t="s">
        <v>7306</v>
      </c>
      <c r="C385" s="3" t="s">
        <v>6</v>
      </c>
      <c r="D385" s="64">
        <v>216000</v>
      </c>
      <c r="E385" s="1">
        <f t="shared" si="47"/>
        <v>233280.00000000003</v>
      </c>
      <c r="F385" s="64">
        <v>432407</v>
      </c>
      <c r="G385" s="1">
        <f t="shared" si="46"/>
        <v>466999.56000000006</v>
      </c>
      <c r="I385" s="6">
        <f>VLOOKUP(B385,'GIÁ 1.4'!$D:$F,2,0)</f>
        <v>216000</v>
      </c>
      <c r="J385" s="21">
        <f t="shared" si="44"/>
        <v>0</v>
      </c>
      <c r="K385" s="6">
        <f>VLOOKUP(B385,'GIÁ 1.4'!$D:$F,3,0)</f>
        <v>432407</v>
      </c>
      <c r="L385" s="21">
        <f t="shared" si="45"/>
        <v>0</v>
      </c>
    </row>
    <row r="386" spans="1:12" ht="16.8" x14ac:dyDescent="0.3">
      <c r="A386" s="3">
        <v>19</v>
      </c>
      <c r="B386" s="30" t="s">
        <v>10484</v>
      </c>
      <c r="C386" s="3" t="s">
        <v>6</v>
      </c>
      <c r="D386" s="64">
        <v>133000</v>
      </c>
      <c r="E386" s="1">
        <f t="shared" si="47"/>
        <v>143640</v>
      </c>
      <c r="F386" s="64">
        <v>266667</v>
      </c>
      <c r="G386" s="1">
        <f t="shared" si="46"/>
        <v>288000.36000000004</v>
      </c>
      <c r="I386" s="6">
        <f>VLOOKUP(B386,'GIÁ 1.4'!$D:$F,2,0)</f>
        <v>133000</v>
      </c>
      <c r="J386" s="21">
        <f t="shared" si="44"/>
        <v>0</v>
      </c>
      <c r="K386" s="6">
        <f>VLOOKUP(B386,'GIÁ 1.4'!$D:$F,3,0)</f>
        <v>266667</v>
      </c>
      <c r="L386" s="21">
        <f t="shared" si="45"/>
        <v>0</v>
      </c>
    </row>
    <row r="387" spans="1:12" ht="16.8" x14ac:dyDescent="0.3">
      <c r="A387" s="3">
        <v>20</v>
      </c>
      <c r="B387" s="30" t="s">
        <v>14688</v>
      </c>
      <c r="C387" s="3" t="s">
        <v>6</v>
      </c>
      <c r="D387" s="64">
        <v>206500</v>
      </c>
      <c r="E387" s="1">
        <f t="shared" si="47"/>
        <v>223020.00000000003</v>
      </c>
      <c r="F387" s="64">
        <v>372222</v>
      </c>
      <c r="G387" s="1">
        <f t="shared" si="46"/>
        <v>401999.76</v>
      </c>
      <c r="I387" s="6">
        <f>VLOOKUP(B387,'GIÁ 1.4'!$D:$F,2,0)</f>
        <v>206500</v>
      </c>
      <c r="J387" s="21">
        <f t="shared" si="44"/>
        <v>0</v>
      </c>
      <c r="K387" s="6">
        <f>VLOOKUP(B387,'GIÁ 1.4'!$D:$F,3,0)</f>
        <v>372222</v>
      </c>
      <c r="L387" s="21">
        <f t="shared" si="45"/>
        <v>0</v>
      </c>
    </row>
    <row r="388" spans="1:12" ht="16.8" x14ac:dyDescent="0.3">
      <c r="A388" s="3">
        <v>21</v>
      </c>
      <c r="B388" s="30" t="s">
        <v>13835</v>
      </c>
      <c r="C388" s="3" t="s">
        <v>6</v>
      </c>
      <c r="D388" s="64">
        <v>246100</v>
      </c>
      <c r="E388" s="1">
        <f t="shared" si="47"/>
        <v>265788</v>
      </c>
      <c r="F388" s="64">
        <v>444444</v>
      </c>
      <c r="G388" s="1">
        <f t="shared" si="46"/>
        <v>479999.52</v>
      </c>
      <c r="I388" s="6">
        <f>VLOOKUP(B388,'GIÁ 1.4'!$D:$F,2,0)</f>
        <v>246100</v>
      </c>
      <c r="J388" s="21">
        <f t="shared" si="44"/>
        <v>0</v>
      </c>
      <c r="K388" s="6">
        <f>VLOOKUP(B388,'GIÁ 1.4'!$D:$F,3,0)</f>
        <v>444444</v>
      </c>
      <c r="L388" s="21">
        <f t="shared" si="45"/>
        <v>0</v>
      </c>
    </row>
    <row r="389" spans="1:12" ht="16.8" x14ac:dyDescent="0.3">
      <c r="A389" s="3">
        <v>22</v>
      </c>
      <c r="B389" s="30" t="s">
        <v>14326</v>
      </c>
      <c r="C389" s="3" t="s">
        <v>6</v>
      </c>
      <c r="D389" s="64">
        <v>230000</v>
      </c>
      <c r="E389" s="1">
        <f t="shared" si="47"/>
        <v>248400.00000000003</v>
      </c>
      <c r="F389" s="64">
        <v>460185</v>
      </c>
      <c r="G389" s="1">
        <f t="shared" si="46"/>
        <v>496999.80000000005</v>
      </c>
      <c r="I389" s="6">
        <f>VLOOKUP(B389,'GIÁ 1.4'!$D:$F,2,0)</f>
        <v>230000</v>
      </c>
      <c r="J389" s="21">
        <f t="shared" si="44"/>
        <v>0</v>
      </c>
      <c r="K389" s="6">
        <f>VLOOKUP(B389,'GIÁ 1.4'!$D:$F,3,0)</f>
        <v>460185</v>
      </c>
      <c r="L389" s="21">
        <f t="shared" si="45"/>
        <v>0</v>
      </c>
    </row>
    <row r="390" spans="1:12" ht="16.8" x14ac:dyDescent="0.3">
      <c r="A390" s="3">
        <v>23</v>
      </c>
      <c r="B390" s="30" t="s">
        <v>12406</v>
      </c>
      <c r="C390" s="3" t="s">
        <v>6</v>
      </c>
      <c r="D390" s="64">
        <v>230000</v>
      </c>
      <c r="E390" s="1">
        <f t="shared" si="47"/>
        <v>248400.00000000003</v>
      </c>
      <c r="F390" s="64">
        <v>460185</v>
      </c>
      <c r="G390" s="1">
        <f t="shared" si="46"/>
        <v>496999.80000000005</v>
      </c>
      <c r="I390" s="6">
        <f>VLOOKUP(B390,'GIÁ 1.4'!$D:$F,2,0)</f>
        <v>230000</v>
      </c>
      <c r="J390" s="21">
        <f t="shared" si="44"/>
        <v>0</v>
      </c>
      <c r="K390" s="6">
        <f>VLOOKUP(B390,'GIÁ 1.4'!$D:$F,3,0)</f>
        <v>460185</v>
      </c>
      <c r="L390" s="21">
        <f t="shared" si="45"/>
        <v>0</v>
      </c>
    </row>
    <row r="391" spans="1:12" ht="16.8" x14ac:dyDescent="0.3">
      <c r="A391" s="3">
        <v>24</v>
      </c>
      <c r="B391" s="30" t="s">
        <v>6872</v>
      </c>
      <c r="C391" s="3" t="s">
        <v>6</v>
      </c>
      <c r="D391" s="64">
        <v>161000</v>
      </c>
      <c r="E391" s="1">
        <f t="shared" si="47"/>
        <v>173880</v>
      </c>
      <c r="F391" s="64">
        <v>322222</v>
      </c>
      <c r="G391" s="1">
        <f t="shared" si="46"/>
        <v>347999.76</v>
      </c>
      <c r="I391" s="6">
        <f>VLOOKUP(B391,'GIÁ 1.4'!$D:$F,2,0)</f>
        <v>161000</v>
      </c>
      <c r="J391" s="21">
        <f t="shared" si="44"/>
        <v>0</v>
      </c>
      <c r="K391" s="6">
        <f>VLOOKUP(B391,'GIÁ 1.4'!$D:$F,3,0)</f>
        <v>322222</v>
      </c>
      <c r="L391" s="21">
        <f t="shared" si="45"/>
        <v>0</v>
      </c>
    </row>
    <row r="392" spans="1:12" ht="16.8" x14ac:dyDescent="0.3">
      <c r="A392" s="3">
        <v>25</v>
      </c>
      <c r="B392" s="30" t="s">
        <v>9060</v>
      </c>
      <c r="C392" s="3" t="s">
        <v>6</v>
      </c>
      <c r="D392" s="64">
        <v>161000</v>
      </c>
      <c r="E392" s="1">
        <f t="shared" si="47"/>
        <v>173880</v>
      </c>
      <c r="F392" s="64">
        <v>322222</v>
      </c>
      <c r="G392" s="1">
        <f t="shared" si="46"/>
        <v>347999.76</v>
      </c>
      <c r="I392" s="6">
        <f>VLOOKUP(B392,'GIÁ 1.4'!$D:$F,2,0)</f>
        <v>161000</v>
      </c>
      <c r="J392" s="21">
        <f t="shared" si="44"/>
        <v>0</v>
      </c>
      <c r="K392" s="6">
        <f>VLOOKUP(B392,'GIÁ 1.4'!$D:$F,3,0)</f>
        <v>322222</v>
      </c>
      <c r="L392" s="21">
        <f t="shared" si="45"/>
        <v>0</v>
      </c>
    </row>
    <row r="393" spans="1:12" ht="16.8" x14ac:dyDescent="0.3">
      <c r="A393" s="3">
        <v>26</v>
      </c>
      <c r="B393" s="30" t="s">
        <v>6674</v>
      </c>
      <c r="C393" s="3" t="s">
        <v>6</v>
      </c>
      <c r="D393" s="64">
        <v>55000</v>
      </c>
      <c r="E393" s="1">
        <f t="shared" si="47"/>
        <v>59400.000000000007</v>
      </c>
      <c r="F393" s="64">
        <v>110185</v>
      </c>
      <c r="G393" s="1">
        <f t="shared" si="46"/>
        <v>118999.8</v>
      </c>
      <c r="I393" s="6">
        <f>VLOOKUP(B393,'GIÁ 1.4'!$D:$F,2,0)</f>
        <v>55000</v>
      </c>
      <c r="J393" s="21">
        <f t="shared" si="44"/>
        <v>0</v>
      </c>
      <c r="K393" s="6">
        <f>VLOOKUP(B393,'GIÁ 1.4'!$D:$F,3,0)</f>
        <v>110185</v>
      </c>
      <c r="L393" s="21">
        <f t="shared" si="45"/>
        <v>0</v>
      </c>
    </row>
    <row r="394" spans="1:12" ht="16.8" x14ac:dyDescent="0.3">
      <c r="A394" s="3">
        <v>27</v>
      </c>
      <c r="B394" s="30" t="s">
        <v>9068</v>
      </c>
      <c r="C394" s="3" t="s">
        <v>6</v>
      </c>
      <c r="D394" s="64">
        <v>70000</v>
      </c>
      <c r="E394" s="1">
        <f t="shared" si="47"/>
        <v>75600</v>
      </c>
      <c r="F394" s="64">
        <v>139815</v>
      </c>
      <c r="G394" s="1">
        <f t="shared" si="46"/>
        <v>151000.20000000001</v>
      </c>
      <c r="I394" s="6">
        <f>VLOOKUP(B394,'GIÁ 1.4'!$D:$F,2,0)</f>
        <v>70000</v>
      </c>
      <c r="J394" s="21">
        <f t="shared" si="44"/>
        <v>0</v>
      </c>
      <c r="K394" s="6">
        <f>VLOOKUP(B394,'GIÁ 1.4'!$D:$F,3,0)</f>
        <v>139815</v>
      </c>
      <c r="L394" s="21">
        <f t="shared" si="45"/>
        <v>0</v>
      </c>
    </row>
    <row r="395" spans="1:12" ht="16.8" x14ac:dyDescent="0.3">
      <c r="A395" s="3">
        <v>28</v>
      </c>
      <c r="B395" s="30" t="s">
        <v>10266</v>
      </c>
      <c r="C395" s="3" t="s">
        <v>6</v>
      </c>
      <c r="D395" s="64">
        <v>127000</v>
      </c>
      <c r="E395" s="1">
        <f t="shared" si="47"/>
        <v>137160</v>
      </c>
      <c r="F395" s="64">
        <v>253704</v>
      </c>
      <c r="G395" s="1">
        <f t="shared" si="46"/>
        <v>274000.32</v>
      </c>
      <c r="I395" s="6">
        <f>VLOOKUP(B395,'GIÁ 1.4'!$D:$F,2,0)</f>
        <v>127000</v>
      </c>
      <c r="J395" s="21">
        <f t="shared" si="44"/>
        <v>0</v>
      </c>
      <c r="K395" s="6">
        <f>VLOOKUP(B395,'GIÁ 1.4'!$D:$F,3,0)</f>
        <v>253704</v>
      </c>
      <c r="L395" s="21">
        <f t="shared" si="45"/>
        <v>0</v>
      </c>
    </row>
    <row r="396" spans="1:12" ht="16.8" x14ac:dyDescent="0.3">
      <c r="A396" s="3">
        <v>29</v>
      </c>
      <c r="B396" s="30" t="s">
        <v>7820</v>
      </c>
      <c r="C396" s="3" t="s">
        <v>6</v>
      </c>
      <c r="D396" s="64">
        <v>127000</v>
      </c>
      <c r="E396" s="1">
        <f t="shared" si="47"/>
        <v>137160</v>
      </c>
      <c r="F396" s="64">
        <v>253704</v>
      </c>
      <c r="G396" s="1">
        <f t="shared" si="46"/>
        <v>274000.32</v>
      </c>
      <c r="I396" s="6">
        <f>VLOOKUP(B396,'GIÁ 1.4'!$D:$F,2,0)</f>
        <v>127000</v>
      </c>
      <c r="J396" s="21">
        <f t="shared" si="44"/>
        <v>0</v>
      </c>
      <c r="K396" s="6">
        <f>VLOOKUP(B396,'GIÁ 1.4'!$D:$F,3,0)</f>
        <v>253704</v>
      </c>
      <c r="L396" s="21">
        <f t="shared" si="45"/>
        <v>0</v>
      </c>
    </row>
    <row r="397" spans="1:12" ht="16.8" x14ac:dyDescent="0.3">
      <c r="A397" s="3">
        <v>30</v>
      </c>
      <c r="B397" s="30" t="s">
        <v>6676</v>
      </c>
      <c r="C397" s="3" t="s">
        <v>6</v>
      </c>
      <c r="D397" s="64">
        <v>142000</v>
      </c>
      <c r="E397" s="1">
        <f t="shared" si="47"/>
        <v>153360</v>
      </c>
      <c r="F397" s="64">
        <v>284259</v>
      </c>
      <c r="G397" s="1">
        <f t="shared" si="46"/>
        <v>306999.72000000003</v>
      </c>
      <c r="I397" s="6">
        <f>VLOOKUP(B397,'GIÁ 1.4'!$D:$F,2,0)</f>
        <v>142000</v>
      </c>
      <c r="J397" s="21">
        <f t="shared" si="44"/>
        <v>0</v>
      </c>
      <c r="K397" s="6">
        <f>VLOOKUP(B397,'GIÁ 1.4'!$D:$F,3,0)</f>
        <v>284259</v>
      </c>
      <c r="L397" s="21">
        <f t="shared" si="45"/>
        <v>0</v>
      </c>
    </row>
    <row r="398" spans="1:12" ht="16.8" x14ac:dyDescent="0.3">
      <c r="A398" s="3">
        <v>31</v>
      </c>
      <c r="B398" s="30" t="s">
        <v>10268</v>
      </c>
      <c r="C398" s="3" t="s">
        <v>6</v>
      </c>
      <c r="D398" s="64">
        <v>142000</v>
      </c>
      <c r="E398" s="1">
        <f t="shared" si="47"/>
        <v>153360</v>
      </c>
      <c r="F398" s="64">
        <v>284259</v>
      </c>
      <c r="G398" s="1">
        <f t="shared" si="46"/>
        <v>306999.72000000003</v>
      </c>
      <c r="I398" s="6">
        <f>VLOOKUP(B398,'GIÁ 1.4'!$D:$F,2,0)</f>
        <v>142000</v>
      </c>
      <c r="J398" s="21">
        <f t="shared" si="44"/>
        <v>0</v>
      </c>
      <c r="K398" s="6">
        <f>VLOOKUP(B398,'GIÁ 1.4'!$D:$F,3,0)</f>
        <v>284259</v>
      </c>
      <c r="L398" s="21">
        <f t="shared" si="45"/>
        <v>0</v>
      </c>
    </row>
    <row r="399" spans="1:12" ht="16.8" x14ac:dyDescent="0.3">
      <c r="A399" s="3">
        <v>32</v>
      </c>
      <c r="B399" s="30" t="s">
        <v>6678</v>
      </c>
      <c r="C399" s="3" t="s">
        <v>6</v>
      </c>
      <c r="D399" s="64">
        <v>178000</v>
      </c>
      <c r="E399" s="1">
        <f t="shared" si="47"/>
        <v>192240</v>
      </c>
      <c r="F399" s="64">
        <v>355556</v>
      </c>
      <c r="G399" s="1">
        <f t="shared" si="46"/>
        <v>384000.48000000004</v>
      </c>
      <c r="I399" s="6">
        <f>VLOOKUP(B399,'GIÁ 1.4'!$D:$F,2,0)</f>
        <v>178000</v>
      </c>
      <c r="J399" s="21">
        <f t="shared" si="44"/>
        <v>0</v>
      </c>
      <c r="K399" s="6">
        <f>VLOOKUP(B399,'GIÁ 1.4'!$D:$F,3,0)</f>
        <v>355556</v>
      </c>
      <c r="L399" s="21">
        <f t="shared" si="45"/>
        <v>0</v>
      </c>
    </row>
    <row r="400" spans="1:12" ht="16.8" x14ac:dyDescent="0.3">
      <c r="A400" s="3">
        <v>33</v>
      </c>
      <c r="B400" s="30" t="s">
        <v>6856</v>
      </c>
      <c r="C400" s="3" t="s">
        <v>6</v>
      </c>
      <c r="D400" s="64">
        <v>172000</v>
      </c>
      <c r="E400" s="1">
        <f t="shared" si="47"/>
        <v>185760</v>
      </c>
      <c r="F400" s="64">
        <v>344444</v>
      </c>
      <c r="G400" s="1">
        <f t="shared" si="46"/>
        <v>371999.52</v>
      </c>
      <c r="I400" s="6">
        <f>VLOOKUP(B400,'GIÁ 1.4'!$D:$F,2,0)</f>
        <v>172000</v>
      </c>
      <c r="J400" s="21">
        <f t="shared" ref="J400:J431" si="48">D400-I400</f>
        <v>0</v>
      </c>
      <c r="K400" s="6">
        <f>VLOOKUP(B400,'GIÁ 1.4'!$D:$F,3,0)</f>
        <v>344444</v>
      </c>
      <c r="L400" s="21">
        <f t="shared" ref="L400:L431" si="49">F400-K400</f>
        <v>0</v>
      </c>
    </row>
    <row r="401" spans="1:12" ht="16.8" x14ac:dyDescent="0.3">
      <c r="A401" s="3">
        <v>34</v>
      </c>
      <c r="B401" s="30" t="s">
        <v>6958</v>
      </c>
      <c r="C401" s="3" t="s">
        <v>6</v>
      </c>
      <c r="D401" s="64">
        <v>210000</v>
      </c>
      <c r="E401" s="1">
        <f t="shared" si="47"/>
        <v>226800.00000000003</v>
      </c>
      <c r="F401" s="64">
        <v>420370</v>
      </c>
      <c r="G401" s="1">
        <f t="shared" si="46"/>
        <v>453999.60000000003</v>
      </c>
      <c r="I401" s="6">
        <f>VLOOKUP(B401,'GIÁ 1.4'!$D:$F,2,0)</f>
        <v>210000</v>
      </c>
      <c r="J401" s="21">
        <f t="shared" si="48"/>
        <v>0</v>
      </c>
      <c r="K401" s="6">
        <f>VLOOKUP(B401,'GIÁ 1.4'!$D:$F,3,0)</f>
        <v>420370</v>
      </c>
      <c r="L401" s="21">
        <f t="shared" si="49"/>
        <v>0</v>
      </c>
    </row>
    <row r="402" spans="1:12" ht="16.8" x14ac:dyDescent="0.3">
      <c r="A402" s="3">
        <v>35</v>
      </c>
      <c r="B402" s="30" t="s">
        <v>9074</v>
      </c>
      <c r="C402" s="3" t="s">
        <v>6</v>
      </c>
      <c r="D402" s="64">
        <v>192000</v>
      </c>
      <c r="E402" s="1">
        <f t="shared" si="47"/>
        <v>207360</v>
      </c>
      <c r="F402" s="64">
        <v>384259</v>
      </c>
      <c r="G402" s="1">
        <f t="shared" si="46"/>
        <v>414999.72000000003</v>
      </c>
      <c r="I402" s="6">
        <f>VLOOKUP(B402,'GIÁ 1.4'!$D:$F,2,0)</f>
        <v>192000</v>
      </c>
      <c r="J402" s="21">
        <f t="shared" si="48"/>
        <v>0</v>
      </c>
      <c r="K402" s="6">
        <f>VLOOKUP(B402,'GIÁ 1.4'!$D:$F,3,0)</f>
        <v>384259</v>
      </c>
      <c r="L402" s="21">
        <f t="shared" si="49"/>
        <v>0</v>
      </c>
    </row>
    <row r="403" spans="1:12" ht="16.8" x14ac:dyDescent="0.3">
      <c r="A403" s="3">
        <v>36</v>
      </c>
      <c r="B403" s="30" t="s">
        <v>12930</v>
      </c>
      <c r="C403" s="3" t="s">
        <v>6</v>
      </c>
      <c r="D403" s="64">
        <v>225000</v>
      </c>
      <c r="E403" s="1">
        <f t="shared" si="47"/>
        <v>243000.00000000003</v>
      </c>
      <c r="F403" s="64">
        <v>450000</v>
      </c>
      <c r="G403" s="1">
        <f t="shared" si="46"/>
        <v>486000.00000000006</v>
      </c>
      <c r="I403" s="6">
        <f>VLOOKUP(B403,'GIÁ 1.4'!$D:$F,2,0)</f>
        <v>225000</v>
      </c>
      <c r="J403" s="21">
        <f t="shared" si="48"/>
        <v>0</v>
      </c>
      <c r="K403" s="6">
        <f>VLOOKUP(B403,'GIÁ 1.4'!$D:$F,3,0)</f>
        <v>450000</v>
      </c>
      <c r="L403" s="21">
        <f t="shared" si="49"/>
        <v>0</v>
      </c>
    </row>
    <row r="404" spans="1:12" ht="16.8" x14ac:dyDescent="0.3">
      <c r="A404" s="3">
        <v>37</v>
      </c>
      <c r="B404" s="30" t="s">
        <v>8232</v>
      </c>
      <c r="C404" s="3" t="s">
        <v>6</v>
      </c>
      <c r="D404" s="64">
        <v>210000</v>
      </c>
      <c r="E404" s="1">
        <f t="shared" si="47"/>
        <v>226800.00000000003</v>
      </c>
      <c r="F404" s="64">
        <v>420370</v>
      </c>
      <c r="G404" s="1">
        <f t="shared" si="46"/>
        <v>453999.60000000003</v>
      </c>
      <c r="I404" s="6">
        <f>VLOOKUP(B404,'GIÁ 1.4'!$D:$F,2,0)</f>
        <v>210000</v>
      </c>
      <c r="J404" s="21">
        <f t="shared" si="48"/>
        <v>0</v>
      </c>
      <c r="K404" s="6">
        <f>VLOOKUP(B404,'GIÁ 1.4'!$D:$F,3,0)</f>
        <v>420370</v>
      </c>
      <c r="L404" s="21">
        <f t="shared" si="49"/>
        <v>0</v>
      </c>
    </row>
    <row r="405" spans="1:12" ht="16.8" x14ac:dyDescent="0.3">
      <c r="A405" s="3">
        <v>38</v>
      </c>
      <c r="B405" s="30" t="s">
        <v>8234</v>
      </c>
      <c r="C405" s="3" t="s">
        <v>6</v>
      </c>
      <c r="D405" s="64">
        <v>258000</v>
      </c>
      <c r="E405" s="1">
        <f t="shared" si="47"/>
        <v>278640</v>
      </c>
      <c r="F405" s="64">
        <v>515741</v>
      </c>
      <c r="G405" s="1">
        <f t="shared" si="46"/>
        <v>557000.28</v>
      </c>
      <c r="I405" s="6">
        <f>VLOOKUP(B405,'GIÁ 1.4'!$D:$F,2,0)</f>
        <v>258000</v>
      </c>
      <c r="J405" s="21">
        <f t="shared" si="48"/>
        <v>0</v>
      </c>
      <c r="K405" s="6">
        <f>VLOOKUP(B405,'GIÁ 1.4'!$D:$F,3,0)</f>
        <v>515741</v>
      </c>
      <c r="L405" s="21">
        <f t="shared" si="49"/>
        <v>0</v>
      </c>
    </row>
    <row r="406" spans="1:12" ht="16.8" x14ac:dyDescent="0.3">
      <c r="A406" s="3">
        <v>39</v>
      </c>
      <c r="B406" s="30" t="s">
        <v>6876</v>
      </c>
      <c r="C406" s="3" t="s">
        <v>6</v>
      </c>
      <c r="D406" s="64">
        <v>258000</v>
      </c>
      <c r="E406" s="1">
        <f t="shared" si="47"/>
        <v>278640</v>
      </c>
      <c r="F406" s="64">
        <v>515741</v>
      </c>
      <c r="G406" s="1">
        <f t="shared" si="46"/>
        <v>557000.28</v>
      </c>
      <c r="I406" s="6">
        <f>VLOOKUP(B406,'GIÁ 1.4'!$D:$F,2,0)</f>
        <v>258000</v>
      </c>
      <c r="J406" s="21">
        <f t="shared" si="48"/>
        <v>0</v>
      </c>
      <c r="K406" s="6">
        <f>VLOOKUP(B406,'GIÁ 1.4'!$D:$F,3,0)</f>
        <v>515741</v>
      </c>
      <c r="L406" s="21">
        <f t="shared" si="49"/>
        <v>0</v>
      </c>
    </row>
    <row r="407" spans="1:12" ht="16.8" x14ac:dyDescent="0.3">
      <c r="A407" s="3">
        <v>40</v>
      </c>
      <c r="B407" s="30" t="s">
        <v>8304</v>
      </c>
      <c r="C407" s="3" t="s">
        <v>6</v>
      </c>
      <c r="D407" s="64">
        <v>494000</v>
      </c>
      <c r="E407" s="1">
        <f t="shared" si="47"/>
        <v>533520</v>
      </c>
      <c r="F407" s="64">
        <v>1034259</v>
      </c>
      <c r="G407" s="1">
        <f t="shared" si="46"/>
        <v>1116999.72</v>
      </c>
      <c r="I407" s="6">
        <f>VLOOKUP(B407,'GIÁ 1.4'!$D:$F,2,0)</f>
        <v>494000</v>
      </c>
      <c r="J407" s="21">
        <f t="shared" si="48"/>
        <v>0</v>
      </c>
      <c r="K407" s="6">
        <f>VLOOKUP(B407,'GIÁ 1.4'!$D:$F,3,0)</f>
        <v>1034259</v>
      </c>
      <c r="L407" s="21">
        <f t="shared" si="49"/>
        <v>0</v>
      </c>
    </row>
    <row r="408" spans="1:12" ht="16.8" x14ac:dyDescent="0.3">
      <c r="A408" s="3">
        <v>41</v>
      </c>
      <c r="B408" s="30" t="s">
        <v>9202</v>
      </c>
      <c r="C408" s="3" t="s">
        <v>6</v>
      </c>
      <c r="D408" s="64">
        <v>230000</v>
      </c>
      <c r="E408" s="1">
        <f t="shared" si="47"/>
        <v>248400.00000000003</v>
      </c>
      <c r="F408" s="64">
        <v>460185</v>
      </c>
      <c r="G408" s="1">
        <f t="shared" si="46"/>
        <v>496999.80000000005</v>
      </c>
      <c r="I408" s="6">
        <f>VLOOKUP(B408,'GIÁ 1.4'!$D:$F,2,0)</f>
        <v>230000</v>
      </c>
      <c r="J408" s="21">
        <f t="shared" si="48"/>
        <v>0</v>
      </c>
      <c r="K408" s="6">
        <f>VLOOKUP(B408,'GIÁ 1.4'!$D:$F,3,0)</f>
        <v>460185</v>
      </c>
      <c r="L408" s="21">
        <f t="shared" si="49"/>
        <v>0</v>
      </c>
    </row>
    <row r="409" spans="1:12" ht="16.8" x14ac:dyDescent="0.3">
      <c r="A409" s="3">
        <v>42</v>
      </c>
      <c r="B409" s="30" t="s">
        <v>13843</v>
      </c>
      <c r="C409" s="3" t="s">
        <v>6</v>
      </c>
      <c r="D409" s="64">
        <v>202000</v>
      </c>
      <c r="E409" s="1">
        <f t="shared" si="47"/>
        <v>218160</v>
      </c>
      <c r="F409" s="64">
        <v>403704</v>
      </c>
      <c r="G409" s="1">
        <f t="shared" si="46"/>
        <v>436000.32</v>
      </c>
      <c r="I409" s="6">
        <f>VLOOKUP(B409,'GIÁ 1.4'!$D:$F,2,0)</f>
        <v>202000</v>
      </c>
      <c r="J409" s="21">
        <f t="shared" si="48"/>
        <v>0</v>
      </c>
      <c r="K409" s="6">
        <f>VLOOKUP(B409,'GIÁ 1.4'!$D:$F,3,0)</f>
        <v>403704</v>
      </c>
      <c r="L409" s="21">
        <f t="shared" si="49"/>
        <v>0</v>
      </c>
    </row>
    <row r="410" spans="1:12" ht="16.8" x14ac:dyDescent="0.3">
      <c r="A410" s="3">
        <v>43</v>
      </c>
      <c r="B410" s="30" t="s">
        <v>9202</v>
      </c>
      <c r="C410" s="3" t="s">
        <v>6</v>
      </c>
      <c r="D410" s="64">
        <v>230000</v>
      </c>
      <c r="E410" s="1">
        <f t="shared" si="47"/>
        <v>248400.00000000003</v>
      </c>
      <c r="F410" s="64">
        <v>460185</v>
      </c>
      <c r="G410" s="1">
        <f t="shared" si="46"/>
        <v>496999.80000000005</v>
      </c>
      <c r="I410" s="6">
        <f>VLOOKUP(B410,'GIÁ 1.4'!$D:$F,2,0)</f>
        <v>230000</v>
      </c>
      <c r="J410" s="21">
        <f t="shared" si="48"/>
        <v>0</v>
      </c>
      <c r="K410" s="6">
        <f>VLOOKUP(B410,'GIÁ 1.4'!$D:$F,3,0)</f>
        <v>460185</v>
      </c>
      <c r="L410" s="21">
        <f t="shared" si="49"/>
        <v>0</v>
      </c>
    </row>
    <row r="411" spans="1:12" ht="16.8" x14ac:dyDescent="0.3">
      <c r="A411" s="3">
        <v>44</v>
      </c>
      <c r="B411" s="30" t="s">
        <v>8694</v>
      </c>
      <c r="C411" s="3" t="s">
        <v>6</v>
      </c>
      <c r="D411" s="64">
        <v>202000</v>
      </c>
      <c r="E411" s="1">
        <f t="shared" si="47"/>
        <v>218160</v>
      </c>
      <c r="F411" s="64">
        <v>403704</v>
      </c>
      <c r="G411" s="1">
        <f t="shared" si="46"/>
        <v>436000.32</v>
      </c>
      <c r="I411" s="6">
        <f>VLOOKUP(B411,'GIÁ 1.4'!$D:$F,2,0)</f>
        <v>202000</v>
      </c>
      <c r="J411" s="21">
        <f t="shared" si="48"/>
        <v>0</v>
      </c>
      <c r="K411" s="6">
        <f>VLOOKUP(B411,'GIÁ 1.4'!$D:$F,3,0)</f>
        <v>403704</v>
      </c>
      <c r="L411" s="21">
        <f t="shared" si="49"/>
        <v>0</v>
      </c>
    </row>
    <row r="412" spans="1:12" ht="16.8" x14ac:dyDescent="0.3">
      <c r="A412" s="3">
        <v>45</v>
      </c>
      <c r="B412" s="30" t="s">
        <v>6878</v>
      </c>
      <c r="C412" s="3" t="s">
        <v>6</v>
      </c>
      <c r="D412" s="64">
        <v>104000</v>
      </c>
      <c r="E412" s="1">
        <f t="shared" si="47"/>
        <v>112320.00000000001</v>
      </c>
      <c r="F412" s="64">
        <v>208333</v>
      </c>
      <c r="G412" s="1">
        <f t="shared" si="46"/>
        <v>224999.64</v>
      </c>
      <c r="I412" s="6">
        <f>VLOOKUP(B412,'GIÁ 1.4'!$D:$F,2,0)</f>
        <v>104000</v>
      </c>
      <c r="J412" s="21">
        <f t="shared" si="48"/>
        <v>0</v>
      </c>
      <c r="K412" s="6">
        <f>VLOOKUP(B412,'GIÁ 1.4'!$D:$F,3,0)</f>
        <v>208333</v>
      </c>
      <c r="L412" s="21">
        <f t="shared" si="49"/>
        <v>0</v>
      </c>
    </row>
    <row r="413" spans="1:12" ht="16.8" x14ac:dyDescent="0.3">
      <c r="A413" s="3">
        <v>46</v>
      </c>
      <c r="B413" s="30" t="s">
        <v>6880</v>
      </c>
      <c r="C413" s="3" t="s">
        <v>6</v>
      </c>
      <c r="D413" s="64">
        <v>104000</v>
      </c>
      <c r="E413" s="1">
        <f t="shared" si="47"/>
        <v>112320.00000000001</v>
      </c>
      <c r="F413" s="64">
        <v>208333</v>
      </c>
      <c r="G413" s="1">
        <f t="shared" si="46"/>
        <v>224999.64</v>
      </c>
      <c r="I413" s="6">
        <f>VLOOKUP(B413,'GIÁ 1.4'!$D:$F,2,0)</f>
        <v>104000</v>
      </c>
      <c r="J413" s="21">
        <f t="shared" si="48"/>
        <v>0</v>
      </c>
      <c r="K413" s="6">
        <f>VLOOKUP(B413,'GIÁ 1.4'!$D:$F,3,0)</f>
        <v>208333</v>
      </c>
      <c r="L413" s="21">
        <f t="shared" si="49"/>
        <v>0</v>
      </c>
    </row>
    <row r="414" spans="1:12" ht="16.8" x14ac:dyDescent="0.3">
      <c r="A414" s="3">
        <v>47</v>
      </c>
      <c r="B414" s="30" t="s">
        <v>6499</v>
      </c>
      <c r="C414" s="3" t="s">
        <v>6</v>
      </c>
      <c r="D414" s="64">
        <v>121000</v>
      </c>
      <c r="E414" s="1">
        <f t="shared" si="47"/>
        <v>130680.00000000001</v>
      </c>
      <c r="F414" s="64">
        <v>241667</v>
      </c>
      <c r="G414" s="1">
        <f t="shared" si="46"/>
        <v>261000.36000000002</v>
      </c>
      <c r="I414" s="6">
        <f>VLOOKUP(B414,'GIÁ 1.4'!$D:$F,2,0)</f>
        <v>121000</v>
      </c>
      <c r="J414" s="21">
        <f t="shared" si="48"/>
        <v>0</v>
      </c>
      <c r="K414" s="6">
        <f>VLOOKUP(B414,'GIÁ 1.4'!$D:$F,3,0)</f>
        <v>241667</v>
      </c>
      <c r="L414" s="21">
        <f t="shared" si="49"/>
        <v>0</v>
      </c>
    </row>
    <row r="415" spans="1:12" ht="16.8" x14ac:dyDescent="0.3">
      <c r="A415" s="3">
        <v>48</v>
      </c>
      <c r="B415" s="30" t="s">
        <v>6858</v>
      </c>
      <c r="C415" s="3" t="s">
        <v>6</v>
      </c>
      <c r="D415" s="64">
        <v>121000</v>
      </c>
      <c r="E415" s="1">
        <f t="shared" si="47"/>
        <v>130680.00000000001</v>
      </c>
      <c r="F415" s="64">
        <v>241667</v>
      </c>
      <c r="G415" s="1">
        <f t="shared" si="46"/>
        <v>261000.36000000002</v>
      </c>
      <c r="I415" s="6">
        <f>VLOOKUP(B415,'GIÁ 1.4'!$D:$F,2,0)</f>
        <v>121000</v>
      </c>
      <c r="J415" s="21">
        <f t="shared" si="48"/>
        <v>0</v>
      </c>
      <c r="K415" s="6">
        <f>VLOOKUP(B415,'GIÁ 1.4'!$D:$F,3,0)</f>
        <v>241667</v>
      </c>
      <c r="L415" s="21">
        <f t="shared" si="49"/>
        <v>0</v>
      </c>
    </row>
    <row r="416" spans="1:12" ht="16.8" x14ac:dyDescent="0.3">
      <c r="A416" s="3">
        <v>49</v>
      </c>
      <c r="B416" s="30" t="s">
        <v>6479</v>
      </c>
      <c r="C416" s="3" t="s">
        <v>6</v>
      </c>
      <c r="D416" s="64">
        <v>142000</v>
      </c>
      <c r="E416" s="1">
        <f t="shared" si="47"/>
        <v>153360</v>
      </c>
      <c r="F416" s="64">
        <v>284259</v>
      </c>
      <c r="G416" s="1">
        <f t="shared" si="46"/>
        <v>306999.72000000003</v>
      </c>
      <c r="I416" s="6">
        <f>VLOOKUP(B416,'GIÁ 1.4'!$D:$F,2,0)</f>
        <v>142000</v>
      </c>
      <c r="J416" s="21">
        <f t="shared" si="48"/>
        <v>0</v>
      </c>
      <c r="K416" s="6">
        <f>VLOOKUP(B416,'GIÁ 1.4'!$D:$F,3,0)</f>
        <v>284259</v>
      </c>
      <c r="L416" s="21">
        <f t="shared" si="49"/>
        <v>0</v>
      </c>
    </row>
    <row r="417" spans="1:12" ht="16.8" x14ac:dyDescent="0.3">
      <c r="A417" s="3">
        <v>50</v>
      </c>
      <c r="B417" s="30" t="s">
        <v>7822</v>
      </c>
      <c r="C417" s="3" t="s">
        <v>6</v>
      </c>
      <c r="D417" s="64">
        <v>142000</v>
      </c>
      <c r="E417" s="1">
        <f t="shared" si="47"/>
        <v>153360</v>
      </c>
      <c r="F417" s="64">
        <v>284259</v>
      </c>
      <c r="G417" s="1">
        <f t="shared" si="46"/>
        <v>306999.72000000003</v>
      </c>
      <c r="I417" s="6">
        <f>VLOOKUP(B417,'GIÁ 1.4'!$D:$F,2,0)</f>
        <v>142000</v>
      </c>
      <c r="J417" s="21">
        <f t="shared" si="48"/>
        <v>0</v>
      </c>
      <c r="K417" s="6">
        <f>VLOOKUP(B417,'GIÁ 1.4'!$D:$F,3,0)</f>
        <v>284259</v>
      </c>
      <c r="L417" s="21">
        <f t="shared" si="49"/>
        <v>0</v>
      </c>
    </row>
    <row r="418" spans="1:12" ht="16.8" x14ac:dyDescent="0.3">
      <c r="A418" s="3">
        <v>51</v>
      </c>
      <c r="B418" s="30" t="s">
        <v>10270</v>
      </c>
      <c r="C418" s="3" t="s">
        <v>6</v>
      </c>
      <c r="D418" s="64">
        <v>180000</v>
      </c>
      <c r="E418" s="1">
        <f t="shared" si="47"/>
        <v>194400</v>
      </c>
      <c r="F418" s="64">
        <v>360185</v>
      </c>
      <c r="G418" s="1">
        <f t="shared" si="46"/>
        <v>388999.80000000005</v>
      </c>
      <c r="I418" s="6">
        <f>VLOOKUP(B418,'GIÁ 1.4'!$D:$F,2,0)</f>
        <v>180000</v>
      </c>
      <c r="J418" s="21">
        <f t="shared" si="48"/>
        <v>0</v>
      </c>
      <c r="K418" s="6">
        <f>VLOOKUP(B418,'GIÁ 1.4'!$D:$F,3,0)</f>
        <v>360185</v>
      </c>
      <c r="L418" s="21">
        <f t="shared" si="49"/>
        <v>0</v>
      </c>
    </row>
    <row r="419" spans="1:12" ht="16.8" x14ac:dyDescent="0.3">
      <c r="A419" s="3">
        <v>52</v>
      </c>
      <c r="B419" s="30" t="s">
        <v>7824</v>
      </c>
      <c r="C419" s="3" t="s">
        <v>6</v>
      </c>
      <c r="D419" s="64">
        <v>180000</v>
      </c>
      <c r="E419" s="1">
        <f t="shared" si="47"/>
        <v>194400</v>
      </c>
      <c r="F419" s="64">
        <v>360185</v>
      </c>
      <c r="G419" s="1">
        <f t="shared" si="46"/>
        <v>388999.80000000005</v>
      </c>
      <c r="I419" s="6">
        <f>VLOOKUP(B419,'GIÁ 1.4'!$D:$F,2,0)</f>
        <v>180000</v>
      </c>
      <c r="J419" s="21">
        <f t="shared" si="48"/>
        <v>0</v>
      </c>
      <c r="K419" s="6">
        <f>VLOOKUP(B419,'GIÁ 1.4'!$D:$F,3,0)</f>
        <v>360185</v>
      </c>
      <c r="L419" s="21">
        <f t="shared" si="49"/>
        <v>0</v>
      </c>
    </row>
    <row r="420" spans="1:12" ht="16.8" x14ac:dyDescent="0.3">
      <c r="A420" s="3">
        <v>53</v>
      </c>
      <c r="B420" s="30" t="s">
        <v>6860</v>
      </c>
      <c r="C420" s="3" t="s">
        <v>6</v>
      </c>
      <c r="D420" s="64">
        <v>177000</v>
      </c>
      <c r="E420" s="1">
        <f t="shared" si="47"/>
        <v>191160</v>
      </c>
      <c r="F420" s="64">
        <v>353704</v>
      </c>
      <c r="G420" s="1">
        <f t="shared" si="46"/>
        <v>382000.32</v>
      </c>
      <c r="I420" s="6">
        <f>VLOOKUP(B420,'GIÁ 1.4'!$D:$F,2,0)</f>
        <v>177000</v>
      </c>
      <c r="J420" s="21">
        <f t="shared" si="48"/>
        <v>0</v>
      </c>
      <c r="K420" s="6">
        <f>VLOOKUP(B420,'GIÁ 1.4'!$D:$F,3,0)</f>
        <v>353704</v>
      </c>
      <c r="L420" s="21">
        <f t="shared" si="49"/>
        <v>0</v>
      </c>
    </row>
    <row r="421" spans="1:12" ht="16.8" x14ac:dyDescent="0.3">
      <c r="A421" s="3">
        <v>54</v>
      </c>
      <c r="B421" s="30" t="s">
        <v>7116</v>
      </c>
      <c r="C421" s="3" t="s">
        <v>6</v>
      </c>
      <c r="D421" s="64">
        <v>177000</v>
      </c>
      <c r="E421" s="1">
        <f t="shared" si="47"/>
        <v>191160</v>
      </c>
      <c r="F421" s="64">
        <v>353704</v>
      </c>
      <c r="G421" s="1">
        <f t="shared" si="46"/>
        <v>382000.32</v>
      </c>
      <c r="I421" s="6">
        <f>VLOOKUP(B421,'GIÁ 1.4'!$D:$F,2,0)</f>
        <v>177000</v>
      </c>
      <c r="J421" s="21">
        <f t="shared" si="48"/>
        <v>0</v>
      </c>
      <c r="K421" s="6">
        <f>VLOOKUP(B421,'GIÁ 1.4'!$D:$F,3,0)</f>
        <v>353704</v>
      </c>
      <c r="L421" s="21">
        <f t="shared" si="49"/>
        <v>0</v>
      </c>
    </row>
    <row r="422" spans="1:12" ht="16.8" x14ac:dyDescent="0.3">
      <c r="A422" s="3">
        <v>55</v>
      </c>
      <c r="B422" s="30" t="s">
        <v>12681</v>
      </c>
      <c r="C422" s="3" t="s">
        <v>6</v>
      </c>
      <c r="D422" s="64">
        <v>220000</v>
      </c>
      <c r="E422" s="1">
        <f t="shared" si="47"/>
        <v>237600.00000000003</v>
      </c>
      <c r="F422" s="64">
        <v>439815</v>
      </c>
      <c r="G422" s="1">
        <f t="shared" si="46"/>
        <v>475000.2</v>
      </c>
      <c r="I422" s="6">
        <f>VLOOKUP(B422,'GIÁ 1.4'!$D:$F,2,0)</f>
        <v>220000</v>
      </c>
      <c r="J422" s="21">
        <f t="shared" si="48"/>
        <v>0</v>
      </c>
      <c r="K422" s="6">
        <f>VLOOKUP(B422,'GIÁ 1.4'!$D:$F,3,0)</f>
        <v>439815</v>
      </c>
      <c r="L422" s="21">
        <f t="shared" si="49"/>
        <v>0</v>
      </c>
    </row>
    <row r="423" spans="1:12" ht="16.8" x14ac:dyDescent="0.3">
      <c r="A423" s="3">
        <v>56</v>
      </c>
      <c r="B423" s="30" t="s">
        <v>7118</v>
      </c>
      <c r="C423" s="3" t="s">
        <v>6</v>
      </c>
      <c r="D423" s="64">
        <v>220000</v>
      </c>
      <c r="E423" s="1">
        <f t="shared" si="47"/>
        <v>237600.00000000003</v>
      </c>
      <c r="F423" s="64">
        <v>439815</v>
      </c>
      <c r="G423" s="1">
        <f t="shared" si="46"/>
        <v>475000.2</v>
      </c>
      <c r="I423" s="6">
        <f>VLOOKUP(B423,'GIÁ 1.4'!$D:$F,2,0)</f>
        <v>220000</v>
      </c>
      <c r="J423" s="21">
        <f t="shared" si="48"/>
        <v>0</v>
      </c>
      <c r="K423" s="6">
        <f>VLOOKUP(B423,'GIÁ 1.4'!$D:$F,3,0)</f>
        <v>439815</v>
      </c>
      <c r="L423" s="21">
        <f t="shared" si="49"/>
        <v>0</v>
      </c>
    </row>
    <row r="424" spans="1:12" ht="16.8" x14ac:dyDescent="0.3">
      <c r="A424" s="3">
        <v>57</v>
      </c>
      <c r="B424" s="30" t="s">
        <v>9702</v>
      </c>
      <c r="C424" s="3" t="s">
        <v>6</v>
      </c>
      <c r="D424" s="64">
        <v>191000</v>
      </c>
      <c r="E424" s="1">
        <f t="shared" si="47"/>
        <v>206280</v>
      </c>
      <c r="F424" s="64">
        <v>382407</v>
      </c>
      <c r="G424" s="1">
        <f t="shared" si="46"/>
        <v>412999.56000000006</v>
      </c>
      <c r="I424" s="6">
        <f>VLOOKUP(B424,'GIÁ 1.4'!$D:$F,2,0)</f>
        <v>191000</v>
      </c>
      <c r="J424" s="21">
        <f t="shared" si="48"/>
        <v>0</v>
      </c>
      <c r="K424" s="6">
        <f>VLOOKUP(B424,'GIÁ 1.4'!$D:$F,3,0)</f>
        <v>382407</v>
      </c>
      <c r="L424" s="21">
        <f t="shared" si="49"/>
        <v>0</v>
      </c>
    </row>
    <row r="425" spans="1:12" ht="16.8" x14ac:dyDescent="0.3">
      <c r="A425" s="3">
        <v>58</v>
      </c>
      <c r="B425" s="30" t="s">
        <v>8302</v>
      </c>
      <c r="C425" s="3" t="s">
        <v>6</v>
      </c>
      <c r="D425" s="64">
        <v>191000</v>
      </c>
      <c r="E425" s="1">
        <f t="shared" si="47"/>
        <v>206280</v>
      </c>
      <c r="F425" s="64">
        <v>382407</v>
      </c>
      <c r="G425" s="1">
        <f t="shared" si="46"/>
        <v>412999.56000000006</v>
      </c>
      <c r="I425" s="6">
        <f>VLOOKUP(B425,'GIÁ 1.4'!$D:$F,2,0)</f>
        <v>191000</v>
      </c>
      <c r="J425" s="21">
        <f t="shared" si="48"/>
        <v>0</v>
      </c>
      <c r="K425" s="6">
        <f>VLOOKUP(B425,'GIÁ 1.4'!$D:$F,3,0)</f>
        <v>382407</v>
      </c>
      <c r="L425" s="21">
        <f t="shared" si="49"/>
        <v>0</v>
      </c>
    </row>
    <row r="426" spans="1:12" ht="16.8" x14ac:dyDescent="0.3">
      <c r="A426" s="3">
        <v>59</v>
      </c>
      <c r="B426" s="30" t="s">
        <v>7826</v>
      </c>
      <c r="C426" s="3" t="s">
        <v>6</v>
      </c>
      <c r="D426" s="64">
        <v>420000</v>
      </c>
      <c r="E426" s="1">
        <f t="shared" si="47"/>
        <v>453600.00000000006</v>
      </c>
      <c r="F426" s="64">
        <v>879630</v>
      </c>
      <c r="G426" s="1">
        <f t="shared" si="46"/>
        <v>950000.4</v>
      </c>
      <c r="I426" s="6">
        <f>VLOOKUP(B426,'GIÁ 1.4'!$D:$F,2,0)</f>
        <v>420000</v>
      </c>
      <c r="J426" s="21">
        <f t="shared" si="48"/>
        <v>0</v>
      </c>
      <c r="K426" s="6">
        <f>VLOOKUP(B426,'GIÁ 1.4'!$D:$F,3,0)</f>
        <v>879630</v>
      </c>
      <c r="L426" s="21">
        <f t="shared" si="49"/>
        <v>0</v>
      </c>
    </row>
    <row r="427" spans="1:12" ht="16.8" x14ac:dyDescent="0.3">
      <c r="A427" s="3">
        <v>60</v>
      </c>
      <c r="B427" s="30" t="s">
        <v>6868</v>
      </c>
      <c r="C427" s="3" t="s">
        <v>6</v>
      </c>
      <c r="D427" s="64">
        <v>692000</v>
      </c>
      <c r="E427" s="1">
        <f t="shared" si="47"/>
        <v>747360</v>
      </c>
      <c r="F427" s="64">
        <v>1384000</v>
      </c>
      <c r="G427" s="1">
        <f t="shared" si="46"/>
        <v>1494720</v>
      </c>
      <c r="I427" s="6">
        <f>VLOOKUP(B427,'GIÁ 1.4'!$D:$F,2,0)</f>
        <v>692000</v>
      </c>
      <c r="J427" s="21">
        <f t="shared" si="48"/>
        <v>0</v>
      </c>
      <c r="K427" s="6">
        <f>VLOOKUP(B427,'GIÁ 1.4'!$D:$F,3,0)</f>
        <v>1384000</v>
      </c>
      <c r="L427" s="21">
        <f t="shared" si="49"/>
        <v>0</v>
      </c>
    </row>
    <row r="428" spans="1:12" ht="16.8" x14ac:dyDescent="0.3">
      <c r="A428" s="3">
        <v>61</v>
      </c>
      <c r="B428" s="30" t="s">
        <v>9266</v>
      </c>
      <c r="C428" s="3" t="s">
        <v>6</v>
      </c>
      <c r="D428" s="64">
        <v>87000</v>
      </c>
      <c r="E428" s="1">
        <f t="shared" si="47"/>
        <v>93960</v>
      </c>
      <c r="F428" s="64">
        <v>174074</v>
      </c>
      <c r="G428" s="1">
        <f t="shared" si="46"/>
        <v>187999.92</v>
      </c>
      <c r="I428" s="6">
        <f>VLOOKUP(B428,'GIÁ 1.4'!$D:$F,2,0)</f>
        <v>87000</v>
      </c>
      <c r="J428" s="21">
        <f t="shared" si="48"/>
        <v>0</v>
      </c>
      <c r="K428" s="6">
        <f>VLOOKUP(B428,'GIÁ 1.4'!$D:$F,3,0)</f>
        <v>174074</v>
      </c>
      <c r="L428" s="21">
        <f t="shared" si="49"/>
        <v>0</v>
      </c>
    </row>
    <row r="429" spans="1:12" ht="16.8" x14ac:dyDescent="0.3">
      <c r="A429" s="3">
        <v>62</v>
      </c>
      <c r="B429" s="30" t="s">
        <v>9652</v>
      </c>
      <c r="C429" s="3" t="s">
        <v>6</v>
      </c>
      <c r="D429" s="64">
        <v>108000</v>
      </c>
      <c r="E429" s="1">
        <f t="shared" si="47"/>
        <v>116640.00000000001</v>
      </c>
      <c r="F429" s="64">
        <v>215741</v>
      </c>
      <c r="G429" s="1">
        <f t="shared" si="46"/>
        <v>233000.28000000003</v>
      </c>
      <c r="I429" s="6">
        <f>VLOOKUP(B429,'GIÁ 1.4'!$D:$F,2,0)</f>
        <v>108000</v>
      </c>
      <c r="J429" s="21">
        <f t="shared" si="48"/>
        <v>0</v>
      </c>
      <c r="K429" s="6">
        <f>VLOOKUP(B429,'GIÁ 1.4'!$D:$F,3,0)</f>
        <v>215741</v>
      </c>
      <c r="L429" s="21">
        <f t="shared" si="49"/>
        <v>0</v>
      </c>
    </row>
    <row r="430" spans="1:12" ht="16.8" x14ac:dyDescent="0.3">
      <c r="A430" s="3">
        <v>63</v>
      </c>
      <c r="B430" s="30" t="s">
        <v>13723</v>
      </c>
      <c r="C430" s="3" t="s">
        <v>6</v>
      </c>
      <c r="D430" s="64">
        <v>89000</v>
      </c>
      <c r="E430" s="1">
        <f t="shared" si="47"/>
        <v>96120</v>
      </c>
      <c r="F430" s="64">
        <v>177778</v>
      </c>
      <c r="G430" s="1">
        <f t="shared" si="46"/>
        <v>192000.24000000002</v>
      </c>
      <c r="I430" s="6">
        <f>VLOOKUP(B430,'GIÁ 1.4'!$D:$F,2,0)</f>
        <v>89000</v>
      </c>
      <c r="J430" s="21">
        <f t="shared" si="48"/>
        <v>0</v>
      </c>
      <c r="K430" s="6">
        <f>VLOOKUP(B430,'GIÁ 1.4'!$D:$F,3,0)</f>
        <v>177778</v>
      </c>
      <c r="L430" s="21">
        <f t="shared" si="49"/>
        <v>0</v>
      </c>
    </row>
    <row r="431" spans="1:12" ht="16.8" x14ac:dyDescent="0.3">
      <c r="A431" s="3">
        <v>64</v>
      </c>
      <c r="B431" s="30" t="s">
        <v>13908</v>
      </c>
      <c r="C431" s="3" t="s">
        <v>6</v>
      </c>
      <c r="D431" s="65">
        <v>112000</v>
      </c>
      <c r="E431" s="1">
        <f t="shared" si="47"/>
        <v>120960.00000000001</v>
      </c>
      <c r="F431" s="64">
        <v>224074</v>
      </c>
      <c r="G431" s="1">
        <f t="shared" si="46"/>
        <v>241999.92</v>
      </c>
      <c r="I431" s="6">
        <f>VLOOKUP(B431,'GIÁ 1.4'!$D:$F,2,0)</f>
        <v>112000</v>
      </c>
      <c r="J431" s="21">
        <f t="shared" si="48"/>
        <v>0</v>
      </c>
      <c r="K431" s="6">
        <f>VLOOKUP(B431,'GIÁ 1.4'!$D:$F,3,0)</f>
        <v>224074</v>
      </c>
      <c r="L431" s="21">
        <f t="shared" si="49"/>
        <v>0</v>
      </c>
    </row>
    <row r="432" spans="1:12" ht="16.8" x14ac:dyDescent="0.3">
      <c r="A432" s="3">
        <v>65</v>
      </c>
      <c r="B432" s="30" t="s">
        <v>7976</v>
      </c>
      <c r="C432" s="3" t="s">
        <v>6</v>
      </c>
      <c r="D432" s="65">
        <v>140000</v>
      </c>
      <c r="E432" s="1">
        <f t="shared" si="47"/>
        <v>151200</v>
      </c>
      <c r="F432" s="64">
        <v>279630</v>
      </c>
      <c r="G432" s="1">
        <f t="shared" si="46"/>
        <v>302000.40000000002</v>
      </c>
      <c r="I432" s="6">
        <f>VLOOKUP(B432,'GIÁ 1.4'!$D:$F,2,0)</f>
        <v>140000</v>
      </c>
      <c r="J432" s="21">
        <f t="shared" ref="J432:J456" si="50">D432-I432</f>
        <v>0</v>
      </c>
      <c r="K432" s="6">
        <f>VLOOKUP(B432,'GIÁ 1.4'!$D:$F,3,0)</f>
        <v>279630</v>
      </c>
      <c r="L432" s="21">
        <f t="shared" ref="L432:L456" si="51">F432-K432</f>
        <v>0</v>
      </c>
    </row>
    <row r="433" spans="1:12" ht="16.8" x14ac:dyDescent="0.3">
      <c r="A433" s="3">
        <v>66</v>
      </c>
      <c r="B433" s="30" t="s">
        <v>7130</v>
      </c>
      <c r="C433" s="3" t="s">
        <v>6</v>
      </c>
      <c r="D433" s="65">
        <v>232000</v>
      </c>
      <c r="E433" s="1">
        <f t="shared" si="47"/>
        <v>250560.00000000003</v>
      </c>
      <c r="F433" s="64">
        <v>463889</v>
      </c>
      <c r="G433" s="1">
        <f t="shared" ref="G433:G456" si="52">F433*1.08</f>
        <v>501000.12000000005</v>
      </c>
      <c r="I433" s="6">
        <f>VLOOKUP(B433,'GIÁ 1.4'!$D:$F,2,0)</f>
        <v>232000</v>
      </c>
      <c r="J433" s="21">
        <f t="shared" si="50"/>
        <v>0</v>
      </c>
      <c r="K433" s="6">
        <f>VLOOKUP(B433,'GIÁ 1.4'!$D:$F,3,0)</f>
        <v>463889</v>
      </c>
      <c r="L433" s="21">
        <f t="shared" si="51"/>
        <v>0</v>
      </c>
    </row>
    <row r="434" spans="1:12" ht="16.8" x14ac:dyDescent="0.3">
      <c r="A434" s="3">
        <v>67</v>
      </c>
      <c r="B434" s="30" t="s">
        <v>12940</v>
      </c>
      <c r="C434" s="3" t="s">
        <v>6</v>
      </c>
      <c r="D434" s="65">
        <v>121000</v>
      </c>
      <c r="E434" s="1">
        <f t="shared" si="47"/>
        <v>130680.00000000001</v>
      </c>
      <c r="F434" s="64">
        <v>241667</v>
      </c>
      <c r="G434" s="1">
        <f t="shared" si="52"/>
        <v>261000.36000000002</v>
      </c>
      <c r="I434" s="6">
        <f>VLOOKUP(B434,'GIÁ 1.4'!$D:$F,2,0)</f>
        <v>121000</v>
      </c>
      <c r="J434" s="21">
        <f t="shared" si="50"/>
        <v>0</v>
      </c>
      <c r="K434" s="6">
        <f>VLOOKUP(B434,'GIÁ 1.4'!$D:$F,3,0)</f>
        <v>241667</v>
      </c>
      <c r="L434" s="21">
        <f t="shared" si="51"/>
        <v>0</v>
      </c>
    </row>
    <row r="435" spans="1:12" ht="16.8" x14ac:dyDescent="0.3">
      <c r="A435" s="3">
        <v>68</v>
      </c>
      <c r="B435" s="30" t="s">
        <v>12944</v>
      </c>
      <c r="C435" s="3" t="s">
        <v>6</v>
      </c>
      <c r="D435" s="65">
        <v>121000</v>
      </c>
      <c r="E435" s="1">
        <f t="shared" si="47"/>
        <v>130680.00000000001</v>
      </c>
      <c r="F435" s="64">
        <v>241667</v>
      </c>
      <c r="G435" s="1">
        <f t="shared" si="52"/>
        <v>261000.36000000002</v>
      </c>
      <c r="I435" s="6">
        <f>VLOOKUP(B435,'GIÁ 1.4'!$D:$F,2,0)</f>
        <v>121000</v>
      </c>
      <c r="J435" s="21">
        <f t="shared" si="50"/>
        <v>0</v>
      </c>
      <c r="K435" s="6">
        <f>VLOOKUP(B435,'GIÁ 1.4'!$D:$F,3,0)</f>
        <v>241667</v>
      </c>
      <c r="L435" s="21">
        <f t="shared" si="51"/>
        <v>0</v>
      </c>
    </row>
    <row r="436" spans="1:12" ht="16.8" x14ac:dyDescent="0.3">
      <c r="A436" s="3">
        <v>69</v>
      </c>
      <c r="B436" s="30" t="s">
        <v>6507</v>
      </c>
      <c r="C436" s="3" t="s">
        <v>6</v>
      </c>
      <c r="D436" s="65">
        <v>165000</v>
      </c>
      <c r="E436" s="1">
        <f t="shared" si="47"/>
        <v>178200</v>
      </c>
      <c r="F436" s="64">
        <v>329630</v>
      </c>
      <c r="G436" s="1">
        <f t="shared" si="52"/>
        <v>356000.4</v>
      </c>
      <c r="I436" s="6">
        <f>VLOOKUP(B436,'GIÁ 1.4'!$D:$F,2,0)</f>
        <v>165000</v>
      </c>
      <c r="J436" s="21">
        <f t="shared" si="50"/>
        <v>0</v>
      </c>
      <c r="K436" s="6">
        <f>VLOOKUP(B436,'GIÁ 1.4'!$D:$F,3,0)</f>
        <v>329630</v>
      </c>
      <c r="L436" s="21">
        <f t="shared" si="51"/>
        <v>0</v>
      </c>
    </row>
    <row r="437" spans="1:12" ht="16.8" x14ac:dyDescent="0.3">
      <c r="A437" s="3">
        <v>70</v>
      </c>
      <c r="B437" s="30" t="s">
        <v>12942</v>
      </c>
      <c r="C437" s="3" t="s">
        <v>6</v>
      </c>
      <c r="D437" s="65">
        <v>170000</v>
      </c>
      <c r="E437" s="1">
        <f t="shared" ref="E437:E496" si="53">D437*1.08</f>
        <v>183600</v>
      </c>
      <c r="F437" s="64">
        <v>339815</v>
      </c>
      <c r="G437" s="1">
        <f t="shared" si="52"/>
        <v>367000.2</v>
      </c>
      <c r="I437" s="6">
        <f>VLOOKUP(B437,'GIÁ 1.4'!$D:$F,2,0)</f>
        <v>170000</v>
      </c>
      <c r="J437" s="21">
        <f t="shared" si="50"/>
        <v>0</v>
      </c>
      <c r="K437" s="6">
        <f>VLOOKUP(B437,'GIÁ 1.4'!$D:$F,3,0)</f>
        <v>339815</v>
      </c>
      <c r="L437" s="21">
        <f t="shared" si="51"/>
        <v>0</v>
      </c>
    </row>
    <row r="438" spans="1:12" ht="16.8" x14ac:dyDescent="0.3">
      <c r="A438" s="3">
        <v>71</v>
      </c>
      <c r="B438" s="30" t="s">
        <v>9322</v>
      </c>
      <c r="C438" s="3" t="s">
        <v>6</v>
      </c>
      <c r="D438" s="65">
        <v>214000</v>
      </c>
      <c r="E438" s="1">
        <f t="shared" si="53"/>
        <v>231120.00000000003</v>
      </c>
      <c r="F438" s="64">
        <v>427778</v>
      </c>
      <c r="G438" s="1">
        <f t="shared" si="52"/>
        <v>462000.24000000005</v>
      </c>
      <c r="I438" s="6">
        <f>VLOOKUP(B438,'GIÁ 1.4'!$D:$F,2,0)</f>
        <v>214000</v>
      </c>
      <c r="J438" s="21">
        <f t="shared" si="50"/>
        <v>0</v>
      </c>
      <c r="K438" s="6">
        <f>VLOOKUP(B438,'GIÁ 1.4'!$D:$F,3,0)</f>
        <v>427778</v>
      </c>
      <c r="L438" s="21">
        <f t="shared" si="51"/>
        <v>0</v>
      </c>
    </row>
    <row r="439" spans="1:12" ht="16.8" x14ac:dyDescent="0.3">
      <c r="A439" s="3">
        <v>72</v>
      </c>
      <c r="B439" s="30" t="s">
        <v>9722</v>
      </c>
      <c r="C439" s="3" t="s">
        <v>6</v>
      </c>
      <c r="D439" s="65">
        <v>200000</v>
      </c>
      <c r="E439" s="1">
        <f t="shared" si="53"/>
        <v>216000</v>
      </c>
      <c r="F439" s="64">
        <v>400000</v>
      </c>
      <c r="G439" s="1">
        <f t="shared" si="52"/>
        <v>432000</v>
      </c>
      <c r="I439" s="6">
        <f>VLOOKUP(B439,'GIÁ 1.4'!$D:$F,2,0)</f>
        <v>200000</v>
      </c>
      <c r="J439" s="21">
        <f t="shared" si="50"/>
        <v>0</v>
      </c>
      <c r="K439" s="6">
        <f>VLOOKUP(B439,'GIÁ 1.4'!$D:$F,3,0)</f>
        <v>400000</v>
      </c>
      <c r="L439" s="21">
        <f t="shared" si="51"/>
        <v>0</v>
      </c>
    </row>
    <row r="440" spans="1:12" ht="16.8" x14ac:dyDescent="0.3">
      <c r="A440" s="3">
        <v>73</v>
      </c>
      <c r="B440" s="30" t="s">
        <v>9084</v>
      </c>
      <c r="C440" s="3" t="s">
        <v>6</v>
      </c>
      <c r="D440" s="65">
        <v>370000</v>
      </c>
      <c r="E440" s="1">
        <f t="shared" si="53"/>
        <v>399600</v>
      </c>
      <c r="F440" s="64">
        <v>739815</v>
      </c>
      <c r="G440" s="1">
        <f t="shared" si="52"/>
        <v>799000.20000000007</v>
      </c>
      <c r="I440" s="6">
        <f>VLOOKUP(B440,'GIÁ 1.4'!$D:$F,2,0)</f>
        <v>370000</v>
      </c>
      <c r="J440" s="21">
        <f t="shared" si="50"/>
        <v>0</v>
      </c>
      <c r="K440" s="6">
        <f>VLOOKUP(B440,'GIÁ 1.4'!$D:$F,3,0)</f>
        <v>739815</v>
      </c>
      <c r="L440" s="21">
        <f t="shared" si="51"/>
        <v>0</v>
      </c>
    </row>
    <row r="441" spans="1:12" ht="16.8" x14ac:dyDescent="0.3">
      <c r="A441" s="3">
        <v>74</v>
      </c>
      <c r="B441" s="2" t="s">
        <v>6511</v>
      </c>
      <c r="C441" s="3" t="s">
        <v>6</v>
      </c>
      <c r="D441" s="66">
        <v>108000</v>
      </c>
      <c r="E441" s="1">
        <f t="shared" si="53"/>
        <v>116640.00000000001</v>
      </c>
      <c r="F441" s="66">
        <v>215741</v>
      </c>
      <c r="G441" s="1">
        <f t="shared" si="52"/>
        <v>233000.28000000003</v>
      </c>
      <c r="I441" s="6">
        <f>VLOOKUP(B441,'GIÁ 1.4'!$D:$F,2,0)</f>
        <v>108000</v>
      </c>
      <c r="J441" s="21">
        <f t="shared" si="50"/>
        <v>0</v>
      </c>
      <c r="K441" s="6">
        <f>VLOOKUP(B441,'GIÁ 1.4'!$D:$F,3,0)</f>
        <v>215741</v>
      </c>
      <c r="L441" s="21">
        <f t="shared" si="51"/>
        <v>0</v>
      </c>
    </row>
    <row r="442" spans="1:12" ht="16.8" x14ac:dyDescent="0.3">
      <c r="A442" s="3">
        <v>75</v>
      </c>
      <c r="B442" s="2" t="s">
        <v>10280</v>
      </c>
      <c r="C442" s="3" t="s">
        <v>6</v>
      </c>
      <c r="D442" s="66">
        <v>108000</v>
      </c>
      <c r="E442" s="1">
        <f t="shared" si="53"/>
        <v>116640.00000000001</v>
      </c>
      <c r="F442" s="66">
        <v>215741</v>
      </c>
      <c r="G442" s="1">
        <f t="shared" si="52"/>
        <v>233000.28000000003</v>
      </c>
      <c r="I442" s="6">
        <f>VLOOKUP(B442,'GIÁ 1.4'!$D:$F,2,0)</f>
        <v>108000</v>
      </c>
      <c r="J442" s="21">
        <f t="shared" si="50"/>
        <v>0</v>
      </c>
      <c r="K442" s="6">
        <f>VLOOKUP(B442,'GIÁ 1.4'!$D:$F,3,0)</f>
        <v>215741</v>
      </c>
      <c r="L442" s="21">
        <f t="shared" si="51"/>
        <v>0</v>
      </c>
    </row>
    <row r="443" spans="1:12" ht="16.8" x14ac:dyDescent="0.3">
      <c r="A443" s="3">
        <v>76</v>
      </c>
      <c r="B443" s="2" t="s">
        <v>8636</v>
      </c>
      <c r="C443" s="3" t="s">
        <v>6</v>
      </c>
      <c r="D443" s="66">
        <v>121000</v>
      </c>
      <c r="E443" s="1">
        <f t="shared" si="53"/>
        <v>130680.00000000001</v>
      </c>
      <c r="F443" s="66">
        <v>241667</v>
      </c>
      <c r="G443" s="1">
        <f t="shared" si="52"/>
        <v>261000.36000000002</v>
      </c>
      <c r="I443" s="6">
        <f>VLOOKUP(B443,'GIÁ 1.4'!$D:$F,2,0)</f>
        <v>121000</v>
      </c>
      <c r="J443" s="21">
        <f t="shared" si="50"/>
        <v>0</v>
      </c>
      <c r="K443" s="6">
        <f>VLOOKUP(B443,'GIÁ 1.4'!$D:$F,3,0)</f>
        <v>241667</v>
      </c>
      <c r="L443" s="21">
        <f t="shared" si="51"/>
        <v>0</v>
      </c>
    </row>
    <row r="444" spans="1:12" ht="16.8" x14ac:dyDescent="0.3">
      <c r="A444" s="3">
        <v>77</v>
      </c>
      <c r="B444" s="2" t="s">
        <v>8258</v>
      </c>
      <c r="C444" s="3" t="s">
        <v>6</v>
      </c>
      <c r="D444" s="66">
        <v>121000</v>
      </c>
      <c r="E444" s="1">
        <f t="shared" si="53"/>
        <v>130680.00000000001</v>
      </c>
      <c r="F444" s="66">
        <v>241667</v>
      </c>
      <c r="G444" s="1">
        <f t="shared" si="52"/>
        <v>261000.36000000002</v>
      </c>
      <c r="I444" s="6">
        <f>VLOOKUP(B444,'GIÁ 1.4'!$D:$F,2,0)</f>
        <v>121000</v>
      </c>
      <c r="J444" s="21">
        <f t="shared" si="50"/>
        <v>0</v>
      </c>
      <c r="K444" s="6">
        <f>VLOOKUP(B444,'GIÁ 1.4'!$D:$F,3,0)</f>
        <v>241667</v>
      </c>
      <c r="L444" s="21">
        <f t="shared" si="51"/>
        <v>0</v>
      </c>
    </row>
    <row r="445" spans="1:12" ht="16.8" x14ac:dyDescent="0.3">
      <c r="A445" s="3">
        <v>78</v>
      </c>
      <c r="B445" s="2" t="s">
        <v>7138</v>
      </c>
      <c r="C445" s="3" t="s">
        <v>6</v>
      </c>
      <c r="D445" s="66">
        <v>142000</v>
      </c>
      <c r="E445" s="1">
        <f t="shared" si="53"/>
        <v>153360</v>
      </c>
      <c r="F445" s="66">
        <v>284259</v>
      </c>
      <c r="G445" s="1">
        <f t="shared" si="52"/>
        <v>306999.72000000003</v>
      </c>
      <c r="I445" s="6">
        <f>VLOOKUP(B445,'GIÁ 1.4'!$D:$F,2,0)</f>
        <v>142000</v>
      </c>
      <c r="J445" s="21">
        <f t="shared" si="50"/>
        <v>0</v>
      </c>
      <c r="K445" s="6">
        <f>VLOOKUP(B445,'GIÁ 1.4'!$D:$F,3,0)</f>
        <v>284259</v>
      </c>
      <c r="L445" s="21">
        <f t="shared" si="51"/>
        <v>0</v>
      </c>
    </row>
    <row r="446" spans="1:12" ht="16.8" x14ac:dyDescent="0.3">
      <c r="A446" s="3">
        <v>79</v>
      </c>
      <c r="B446" s="32" t="s">
        <v>12683</v>
      </c>
      <c r="C446" s="3" t="s">
        <v>6</v>
      </c>
      <c r="D446" s="65">
        <v>142000</v>
      </c>
      <c r="E446" s="1">
        <f t="shared" si="53"/>
        <v>153360</v>
      </c>
      <c r="F446" s="66">
        <v>284259</v>
      </c>
      <c r="G446" s="1">
        <f t="shared" si="52"/>
        <v>306999.72000000003</v>
      </c>
      <c r="I446" s="6">
        <f>VLOOKUP(B446,'GIÁ 1.4'!$D:$F,2,0)</f>
        <v>142000</v>
      </c>
      <c r="J446" s="21">
        <f t="shared" si="50"/>
        <v>0</v>
      </c>
      <c r="K446" s="6">
        <f>VLOOKUP(B446,'GIÁ 1.4'!$D:$F,3,0)</f>
        <v>284259</v>
      </c>
      <c r="L446" s="21">
        <f t="shared" si="51"/>
        <v>0</v>
      </c>
    </row>
    <row r="447" spans="1:12" ht="16.8" x14ac:dyDescent="0.3">
      <c r="A447" s="3">
        <v>80</v>
      </c>
      <c r="B447" s="2" t="s">
        <v>7326</v>
      </c>
      <c r="C447" s="3" t="s">
        <v>6</v>
      </c>
      <c r="D447" s="66">
        <v>172000</v>
      </c>
      <c r="E447" s="1">
        <f t="shared" si="53"/>
        <v>185760</v>
      </c>
      <c r="F447" s="66">
        <v>344444</v>
      </c>
      <c r="G447" s="1">
        <f t="shared" si="52"/>
        <v>371999.52</v>
      </c>
      <c r="I447" s="6">
        <f>VLOOKUP(B447,'GIÁ 1.4'!$D:$F,2,0)</f>
        <v>172000</v>
      </c>
      <c r="J447" s="21">
        <f t="shared" si="50"/>
        <v>0</v>
      </c>
      <c r="K447" s="6">
        <f>VLOOKUP(B447,'GIÁ 1.4'!$D:$F,3,0)</f>
        <v>344444</v>
      </c>
      <c r="L447" s="21">
        <f t="shared" si="51"/>
        <v>0</v>
      </c>
    </row>
    <row r="448" spans="1:12" ht="16.8" x14ac:dyDescent="0.3">
      <c r="A448" s="3">
        <v>81</v>
      </c>
      <c r="B448" s="2" t="s">
        <v>8638</v>
      </c>
      <c r="C448" s="3" t="s">
        <v>6</v>
      </c>
      <c r="D448" s="66">
        <v>172000</v>
      </c>
      <c r="E448" s="1">
        <f t="shared" si="53"/>
        <v>185760</v>
      </c>
      <c r="F448" s="66">
        <v>344444</v>
      </c>
      <c r="G448" s="1">
        <f t="shared" si="52"/>
        <v>371999.52</v>
      </c>
      <c r="I448" s="6">
        <f>VLOOKUP(B448,'GIÁ 1.4'!$D:$F,2,0)</f>
        <v>172000</v>
      </c>
      <c r="J448" s="21">
        <f t="shared" si="50"/>
        <v>0</v>
      </c>
      <c r="K448" s="6">
        <f>VLOOKUP(B448,'GIÁ 1.4'!$D:$F,3,0)</f>
        <v>344444</v>
      </c>
      <c r="L448" s="21">
        <f t="shared" si="51"/>
        <v>0</v>
      </c>
    </row>
    <row r="449" spans="1:12" ht="16.8" x14ac:dyDescent="0.3">
      <c r="A449" s="3">
        <v>82</v>
      </c>
      <c r="B449" s="2" t="s">
        <v>8070</v>
      </c>
      <c r="C449" s="3" t="s">
        <v>6</v>
      </c>
      <c r="D449" s="66">
        <v>142000</v>
      </c>
      <c r="E449" s="1">
        <f t="shared" si="53"/>
        <v>153360</v>
      </c>
      <c r="F449" s="66">
        <v>284259</v>
      </c>
      <c r="G449" s="1">
        <f t="shared" si="52"/>
        <v>306999.72000000003</v>
      </c>
      <c r="I449" s="6">
        <f>VLOOKUP(B449,'GIÁ 1.4'!$D:$F,2,0)</f>
        <v>142000</v>
      </c>
      <c r="J449" s="21">
        <f t="shared" si="50"/>
        <v>0</v>
      </c>
      <c r="K449" s="6">
        <f>VLOOKUP(B449,'GIÁ 1.4'!$D:$F,3,0)</f>
        <v>284259</v>
      </c>
      <c r="L449" s="21">
        <f t="shared" si="51"/>
        <v>0</v>
      </c>
    </row>
    <row r="450" spans="1:12" ht="16.8" x14ac:dyDescent="0.3">
      <c r="A450" s="3">
        <v>83</v>
      </c>
      <c r="B450" s="2" t="s">
        <v>6896</v>
      </c>
      <c r="C450" s="3" t="s">
        <v>6</v>
      </c>
      <c r="D450" s="66">
        <v>142000</v>
      </c>
      <c r="E450" s="1">
        <f t="shared" si="53"/>
        <v>153360</v>
      </c>
      <c r="F450" s="66">
        <v>284259</v>
      </c>
      <c r="G450" s="1">
        <f t="shared" si="52"/>
        <v>306999.72000000003</v>
      </c>
      <c r="I450" s="6">
        <f>VLOOKUP(B450,'GIÁ 1.4'!$D:$F,2,0)</f>
        <v>142000</v>
      </c>
      <c r="J450" s="21">
        <f t="shared" si="50"/>
        <v>0</v>
      </c>
      <c r="K450" s="6">
        <f>VLOOKUP(B450,'GIÁ 1.4'!$D:$F,3,0)</f>
        <v>284259</v>
      </c>
      <c r="L450" s="21">
        <f t="shared" si="51"/>
        <v>0</v>
      </c>
    </row>
    <row r="451" spans="1:12" ht="16.8" x14ac:dyDescent="0.3">
      <c r="A451" s="3">
        <v>84</v>
      </c>
      <c r="B451" s="2" t="s">
        <v>7746</v>
      </c>
      <c r="C451" s="3" t="s">
        <v>6</v>
      </c>
      <c r="D451" s="66">
        <v>172000</v>
      </c>
      <c r="E451" s="1">
        <f t="shared" si="53"/>
        <v>185760</v>
      </c>
      <c r="F451" s="66">
        <v>344444</v>
      </c>
      <c r="G451" s="1">
        <f t="shared" si="52"/>
        <v>371999.52</v>
      </c>
      <c r="I451" s="6">
        <f>VLOOKUP(B451,'GIÁ 1.4'!$D:$F,2,0)</f>
        <v>172000</v>
      </c>
      <c r="J451" s="21">
        <f t="shared" si="50"/>
        <v>0</v>
      </c>
      <c r="K451" s="6">
        <f>VLOOKUP(B451,'GIÁ 1.4'!$D:$F,3,0)</f>
        <v>344444</v>
      </c>
      <c r="L451" s="21">
        <f t="shared" si="51"/>
        <v>0</v>
      </c>
    </row>
    <row r="452" spans="1:12" ht="16.8" x14ac:dyDescent="0.3">
      <c r="A452" s="3">
        <v>85</v>
      </c>
      <c r="B452" s="2" t="s">
        <v>9730</v>
      </c>
      <c r="C452" s="3" t="s">
        <v>6</v>
      </c>
      <c r="D452" s="66">
        <v>172000</v>
      </c>
      <c r="E452" s="1">
        <f t="shared" si="53"/>
        <v>185760</v>
      </c>
      <c r="F452" s="66">
        <v>344444</v>
      </c>
      <c r="G452" s="1">
        <f t="shared" si="52"/>
        <v>371999.52</v>
      </c>
      <c r="I452" s="6">
        <f>VLOOKUP(B452,'GIÁ 1.4'!$D:$F,2,0)</f>
        <v>172000</v>
      </c>
      <c r="J452" s="21">
        <f t="shared" si="50"/>
        <v>0</v>
      </c>
      <c r="K452" s="6">
        <f>VLOOKUP(B452,'GIÁ 1.4'!$D:$F,3,0)</f>
        <v>344444</v>
      </c>
      <c r="L452" s="21">
        <f t="shared" si="51"/>
        <v>0</v>
      </c>
    </row>
    <row r="453" spans="1:12" ht="16.8" x14ac:dyDescent="0.3">
      <c r="A453" s="3">
        <v>86</v>
      </c>
      <c r="B453" s="2" t="s">
        <v>9726</v>
      </c>
      <c r="C453" s="3" t="s">
        <v>6</v>
      </c>
      <c r="D453" s="66">
        <v>177000</v>
      </c>
      <c r="E453" s="1">
        <f t="shared" si="53"/>
        <v>191160</v>
      </c>
      <c r="F453" s="66">
        <v>353704</v>
      </c>
      <c r="G453" s="1">
        <f t="shared" si="52"/>
        <v>382000.32</v>
      </c>
      <c r="I453" s="6">
        <f>VLOOKUP(B453,'GIÁ 1.4'!$D:$F,2,0)</f>
        <v>177000</v>
      </c>
      <c r="J453" s="21">
        <f t="shared" si="50"/>
        <v>0</v>
      </c>
      <c r="K453" s="6">
        <f>VLOOKUP(B453,'GIÁ 1.4'!$D:$F,3,0)</f>
        <v>353704</v>
      </c>
      <c r="L453" s="21">
        <f t="shared" si="51"/>
        <v>0</v>
      </c>
    </row>
    <row r="454" spans="1:12" ht="16.8" x14ac:dyDescent="0.3">
      <c r="A454" s="3">
        <v>87</v>
      </c>
      <c r="B454" s="2" t="s">
        <v>7982</v>
      </c>
      <c r="C454" s="3" t="s">
        <v>6</v>
      </c>
      <c r="D454" s="66">
        <v>177000</v>
      </c>
      <c r="E454" s="1">
        <f t="shared" si="53"/>
        <v>191160</v>
      </c>
      <c r="F454" s="66">
        <v>353704</v>
      </c>
      <c r="G454" s="1">
        <f t="shared" si="52"/>
        <v>382000.32</v>
      </c>
      <c r="I454" s="6">
        <f>VLOOKUP(B454,'GIÁ 1.4'!$D:$F,2,0)</f>
        <v>177000</v>
      </c>
      <c r="J454" s="21">
        <f t="shared" si="50"/>
        <v>0</v>
      </c>
      <c r="K454" s="6">
        <f>VLOOKUP(B454,'GIÁ 1.4'!$D:$F,3,0)</f>
        <v>353704</v>
      </c>
      <c r="L454" s="21">
        <f t="shared" si="51"/>
        <v>0</v>
      </c>
    </row>
    <row r="455" spans="1:12" ht="16.8" x14ac:dyDescent="0.3">
      <c r="A455" s="3">
        <v>88</v>
      </c>
      <c r="B455" s="2" t="s">
        <v>9728</v>
      </c>
      <c r="C455" s="3" t="s">
        <v>6</v>
      </c>
      <c r="D455" s="66">
        <v>220000</v>
      </c>
      <c r="E455" s="1">
        <f t="shared" si="53"/>
        <v>237600.00000000003</v>
      </c>
      <c r="F455" s="66">
        <v>439815</v>
      </c>
      <c r="G455" s="1">
        <f t="shared" si="52"/>
        <v>475000.2</v>
      </c>
      <c r="I455" s="6">
        <f>VLOOKUP(B455,'GIÁ 1.4'!$D:$F,2,0)</f>
        <v>220000</v>
      </c>
      <c r="J455" s="21">
        <f t="shared" si="50"/>
        <v>0</v>
      </c>
      <c r="K455" s="6">
        <f>VLOOKUP(B455,'GIÁ 1.4'!$D:$F,3,0)</f>
        <v>439815</v>
      </c>
      <c r="L455" s="21">
        <f t="shared" si="51"/>
        <v>0</v>
      </c>
    </row>
    <row r="456" spans="1:12" ht="16.8" x14ac:dyDescent="0.3">
      <c r="A456" s="3">
        <v>89</v>
      </c>
      <c r="B456" s="2" t="s">
        <v>7984</v>
      </c>
      <c r="C456" s="3" t="s">
        <v>6</v>
      </c>
      <c r="D456" s="66">
        <v>220000</v>
      </c>
      <c r="E456" s="1">
        <f t="shared" si="53"/>
        <v>237600.00000000003</v>
      </c>
      <c r="F456" s="66">
        <v>439815</v>
      </c>
      <c r="G456" s="1">
        <f t="shared" si="52"/>
        <v>475000.2</v>
      </c>
      <c r="I456" s="6">
        <f>VLOOKUP(B456,'GIÁ 1.4'!$D:$F,2,0)</f>
        <v>220000</v>
      </c>
      <c r="J456" s="21">
        <f t="shared" si="50"/>
        <v>0</v>
      </c>
      <c r="K456" s="6">
        <f>VLOOKUP(B456,'GIÁ 1.4'!$D:$F,3,0)</f>
        <v>439815</v>
      </c>
      <c r="L456" s="21">
        <f t="shared" si="51"/>
        <v>0</v>
      </c>
    </row>
    <row r="457" spans="1:12" ht="16.8" x14ac:dyDescent="0.3">
      <c r="A457" s="3"/>
      <c r="B457" s="36" t="s">
        <v>15591</v>
      </c>
      <c r="C457" s="3"/>
      <c r="D457" s="64"/>
      <c r="E457" s="1">
        <f t="shared" si="53"/>
        <v>0</v>
      </c>
      <c r="F457" s="64"/>
      <c r="G457" s="1">
        <f t="shared" ref="G457:G487" si="54">F457*1.08</f>
        <v>0</v>
      </c>
      <c r="J457" s="21"/>
      <c r="L457" s="21"/>
    </row>
    <row r="458" spans="1:12" ht="16.8" x14ac:dyDescent="0.3">
      <c r="A458" s="3">
        <v>1</v>
      </c>
      <c r="B458" s="30" t="s">
        <v>4794</v>
      </c>
      <c r="C458" s="3" t="s">
        <v>6</v>
      </c>
      <c r="D458" s="64">
        <v>130000</v>
      </c>
      <c r="E458" s="1">
        <f t="shared" si="53"/>
        <v>140400</v>
      </c>
      <c r="F458" s="64">
        <v>260185</v>
      </c>
      <c r="G458" s="1">
        <f t="shared" si="54"/>
        <v>280999.80000000005</v>
      </c>
      <c r="I458" s="6">
        <f>VLOOKUP(B458,'GIÁ 1.4'!$D:$F,2,0)</f>
        <v>130000</v>
      </c>
      <c r="J458" s="21">
        <f t="shared" ref="J458:J498" si="55">D458-I458</f>
        <v>0</v>
      </c>
      <c r="K458" s="6">
        <f>VLOOKUP(B458,'GIÁ 1.4'!$D:$F,3,0)</f>
        <v>260185</v>
      </c>
      <c r="L458" s="21">
        <f t="shared" ref="L458:L498" si="56">F458-K458</f>
        <v>0</v>
      </c>
    </row>
    <row r="459" spans="1:12" ht="16.8" x14ac:dyDescent="0.3">
      <c r="A459" s="3">
        <v>2</v>
      </c>
      <c r="B459" s="30" t="s">
        <v>3806</v>
      </c>
      <c r="C459" s="3" t="s">
        <v>6</v>
      </c>
      <c r="D459" s="64">
        <v>181000</v>
      </c>
      <c r="E459" s="1">
        <f t="shared" si="53"/>
        <v>195480</v>
      </c>
      <c r="F459" s="64">
        <v>362037</v>
      </c>
      <c r="G459" s="1">
        <f t="shared" si="54"/>
        <v>390999.96</v>
      </c>
      <c r="I459" s="6">
        <f>VLOOKUP(B459,'GIÁ 1.4'!$D:$F,2,0)</f>
        <v>181000</v>
      </c>
      <c r="J459" s="21">
        <f t="shared" si="55"/>
        <v>0</v>
      </c>
      <c r="K459" s="6">
        <f>VLOOKUP(B459,'GIÁ 1.4'!$D:$F,3,0)</f>
        <v>362037</v>
      </c>
      <c r="L459" s="21">
        <f t="shared" si="56"/>
        <v>0</v>
      </c>
    </row>
    <row r="460" spans="1:12" ht="16.8" x14ac:dyDescent="0.3">
      <c r="A460" s="3">
        <v>3</v>
      </c>
      <c r="B460" s="30" t="s">
        <v>2804</v>
      </c>
      <c r="C460" s="3" t="s">
        <v>6</v>
      </c>
      <c r="D460" s="64">
        <v>210000</v>
      </c>
      <c r="E460" s="1">
        <f t="shared" si="53"/>
        <v>226800.00000000003</v>
      </c>
      <c r="F460" s="64">
        <v>420370</v>
      </c>
      <c r="G460" s="1">
        <f t="shared" si="54"/>
        <v>453999.60000000003</v>
      </c>
      <c r="I460" s="6">
        <f>VLOOKUP(B460,'GIÁ 1.4'!$D:$F,2,0)</f>
        <v>210000</v>
      </c>
      <c r="J460" s="21">
        <f t="shared" si="55"/>
        <v>0</v>
      </c>
      <c r="K460" s="6">
        <f>VLOOKUP(B460,'GIÁ 1.4'!$D:$F,3,0)</f>
        <v>420370</v>
      </c>
      <c r="L460" s="21">
        <f t="shared" si="56"/>
        <v>0</v>
      </c>
    </row>
    <row r="461" spans="1:12" ht="16.8" x14ac:dyDescent="0.3">
      <c r="A461" s="3">
        <v>4</v>
      </c>
      <c r="B461" s="30" t="s">
        <v>3026</v>
      </c>
      <c r="C461" s="3" t="s">
        <v>6</v>
      </c>
      <c r="D461" s="64">
        <v>304000</v>
      </c>
      <c r="E461" s="1">
        <f t="shared" si="53"/>
        <v>328320</v>
      </c>
      <c r="F461" s="64">
        <v>608333</v>
      </c>
      <c r="G461" s="1">
        <f t="shared" si="54"/>
        <v>656999.64</v>
      </c>
      <c r="I461" s="6">
        <f>VLOOKUP(B461,'GIÁ 1.4'!$D:$F,2,0)</f>
        <v>304000</v>
      </c>
      <c r="J461" s="21">
        <f t="shared" si="55"/>
        <v>0</v>
      </c>
      <c r="K461" s="6">
        <f>VLOOKUP(B461,'GIÁ 1.4'!$D:$F,3,0)</f>
        <v>608333</v>
      </c>
      <c r="L461" s="21">
        <f t="shared" si="56"/>
        <v>0</v>
      </c>
    </row>
    <row r="462" spans="1:12" ht="16.8" x14ac:dyDescent="0.3">
      <c r="A462" s="3">
        <v>5</v>
      </c>
      <c r="B462" s="30" t="s">
        <v>3022</v>
      </c>
      <c r="C462" s="3" t="s">
        <v>6</v>
      </c>
      <c r="D462" s="64">
        <v>630000</v>
      </c>
      <c r="E462" s="1">
        <f t="shared" si="53"/>
        <v>680400</v>
      </c>
      <c r="F462" s="64">
        <v>1260185</v>
      </c>
      <c r="G462" s="1">
        <f t="shared" si="54"/>
        <v>1360999.8</v>
      </c>
      <c r="I462" s="6">
        <f>VLOOKUP(B462,'GIÁ 1.4'!$D:$F,2,0)</f>
        <v>630000</v>
      </c>
      <c r="J462" s="21">
        <f t="shared" si="55"/>
        <v>0</v>
      </c>
      <c r="K462" s="6">
        <f>VLOOKUP(B462,'GIÁ 1.4'!$D:$F,3,0)</f>
        <v>1260185</v>
      </c>
      <c r="L462" s="21">
        <f t="shared" si="56"/>
        <v>0</v>
      </c>
    </row>
    <row r="463" spans="1:12" ht="16.8" x14ac:dyDescent="0.3">
      <c r="A463" s="3">
        <v>6</v>
      </c>
      <c r="B463" s="30" t="s">
        <v>4792</v>
      </c>
      <c r="C463" s="3" t="s">
        <v>6</v>
      </c>
      <c r="D463" s="64">
        <v>874000</v>
      </c>
      <c r="E463" s="1">
        <f t="shared" si="53"/>
        <v>943920.00000000012</v>
      </c>
      <c r="F463" s="64">
        <v>1748148</v>
      </c>
      <c r="G463" s="1">
        <f t="shared" si="54"/>
        <v>1887999.84</v>
      </c>
      <c r="I463" s="6">
        <f>VLOOKUP(B463,'GIÁ 1.4'!$D:$F,2,0)</f>
        <v>874000</v>
      </c>
      <c r="J463" s="21">
        <f t="shared" si="55"/>
        <v>0</v>
      </c>
      <c r="K463" s="6">
        <f>VLOOKUP(B463,'GIÁ 1.4'!$D:$F,3,0)</f>
        <v>1748148</v>
      </c>
      <c r="L463" s="21">
        <f t="shared" si="56"/>
        <v>0</v>
      </c>
    </row>
    <row r="464" spans="1:12" ht="16.8" x14ac:dyDescent="0.3">
      <c r="A464" s="3">
        <v>7</v>
      </c>
      <c r="B464" s="30" t="s">
        <v>3866</v>
      </c>
      <c r="C464" s="3" t="s">
        <v>6</v>
      </c>
      <c r="D464" s="64">
        <v>1236000</v>
      </c>
      <c r="E464" s="1">
        <f t="shared" si="53"/>
        <v>1334880</v>
      </c>
      <c r="F464" s="64">
        <v>2472222</v>
      </c>
      <c r="G464" s="1">
        <f t="shared" si="54"/>
        <v>2669999.7600000002</v>
      </c>
      <c r="I464" s="6">
        <f>VLOOKUP(B464,'GIÁ 1.4'!$D:$F,2,0)</f>
        <v>1236000</v>
      </c>
      <c r="J464" s="21">
        <f t="shared" si="55"/>
        <v>0</v>
      </c>
      <c r="K464" s="6">
        <f>VLOOKUP(B464,'GIÁ 1.4'!$D:$F,3,0)</f>
        <v>2472222</v>
      </c>
      <c r="L464" s="21">
        <f t="shared" si="56"/>
        <v>0</v>
      </c>
    </row>
    <row r="465" spans="1:12" ht="16.8" x14ac:dyDescent="0.3">
      <c r="A465" s="3">
        <v>8</v>
      </c>
      <c r="B465" s="30" t="s">
        <v>9542</v>
      </c>
      <c r="C465" s="3" t="s">
        <v>6</v>
      </c>
      <c r="D465" s="64">
        <v>1949000</v>
      </c>
      <c r="E465" s="1">
        <f t="shared" si="53"/>
        <v>2104920</v>
      </c>
      <c r="F465" s="64">
        <v>3898148</v>
      </c>
      <c r="G465" s="1">
        <f t="shared" si="54"/>
        <v>4209999.84</v>
      </c>
      <c r="I465" s="6">
        <f>VLOOKUP(B465,'GIÁ 1.4'!$D:$F,2,0)</f>
        <v>1949000</v>
      </c>
      <c r="J465" s="21">
        <f t="shared" si="55"/>
        <v>0</v>
      </c>
      <c r="K465" s="6">
        <f>VLOOKUP(B465,'GIÁ 1.4'!$D:$F,3,0)</f>
        <v>3898148</v>
      </c>
      <c r="L465" s="21">
        <f t="shared" si="56"/>
        <v>0</v>
      </c>
    </row>
    <row r="466" spans="1:12" ht="16.8" x14ac:dyDescent="0.3">
      <c r="A466" s="3">
        <v>9</v>
      </c>
      <c r="B466" s="30" t="s">
        <v>4015</v>
      </c>
      <c r="C466" s="3" t="s">
        <v>6</v>
      </c>
      <c r="D466" s="64">
        <v>274000</v>
      </c>
      <c r="E466" s="1">
        <f t="shared" si="53"/>
        <v>295920</v>
      </c>
      <c r="F466" s="64">
        <v>548148</v>
      </c>
      <c r="G466" s="1">
        <f t="shared" si="54"/>
        <v>591999.84000000008</v>
      </c>
      <c r="I466" s="6">
        <f>VLOOKUP(B466,'GIÁ 1.4'!$D:$F,2,0)</f>
        <v>274000</v>
      </c>
      <c r="J466" s="21">
        <f t="shared" si="55"/>
        <v>0</v>
      </c>
      <c r="K466" s="6">
        <f>VLOOKUP(B466,'GIÁ 1.4'!$D:$F,3,0)</f>
        <v>548148</v>
      </c>
      <c r="L466" s="21">
        <f t="shared" si="56"/>
        <v>0</v>
      </c>
    </row>
    <row r="467" spans="1:12" ht="16.8" x14ac:dyDescent="0.3">
      <c r="A467" s="3">
        <v>10</v>
      </c>
      <c r="B467" s="30" t="s">
        <v>4596</v>
      </c>
      <c r="C467" s="3" t="s">
        <v>6</v>
      </c>
      <c r="D467" s="64">
        <v>0</v>
      </c>
      <c r="E467" s="1">
        <f t="shared" si="53"/>
        <v>0</v>
      </c>
      <c r="F467" s="64">
        <v>4600000</v>
      </c>
      <c r="G467" s="1">
        <f t="shared" si="54"/>
        <v>4968000</v>
      </c>
      <c r="I467" s="6">
        <f>VLOOKUP(B467,'GIÁ 1.4'!$D:$F,2,0)</f>
        <v>0</v>
      </c>
      <c r="J467" s="21">
        <f t="shared" si="55"/>
        <v>0</v>
      </c>
      <c r="K467" s="6">
        <f>VLOOKUP(B467,'GIÁ 1.4'!$D:$F,3,0)</f>
        <v>4600000</v>
      </c>
      <c r="L467" s="21">
        <f t="shared" si="56"/>
        <v>0</v>
      </c>
    </row>
    <row r="468" spans="1:12" ht="16.8" x14ac:dyDescent="0.3">
      <c r="A468" s="3">
        <v>11</v>
      </c>
      <c r="B468" s="30" t="s">
        <v>3610</v>
      </c>
      <c r="C468" s="3" t="s">
        <v>6</v>
      </c>
      <c r="D468" s="64">
        <v>0</v>
      </c>
      <c r="E468" s="1">
        <f t="shared" si="53"/>
        <v>0</v>
      </c>
      <c r="F468" s="64">
        <v>4600000</v>
      </c>
      <c r="G468" s="1">
        <f t="shared" si="54"/>
        <v>4968000</v>
      </c>
      <c r="I468" s="6">
        <f>VLOOKUP(B468,'GIÁ 1.4'!$D:$F,2,0)</f>
        <v>0</v>
      </c>
      <c r="J468" s="21">
        <f t="shared" si="55"/>
        <v>0</v>
      </c>
      <c r="K468" s="6">
        <f>VLOOKUP(B468,'GIÁ 1.4'!$D:$F,3,0)</f>
        <v>4600000</v>
      </c>
      <c r="L468" s="21">
        <f t="shared" si="56"/>
        <v>0</v>
      </c>
    </row>
    <row r="469" spans="1:12" ht="16.8" x14ac:dyDescent="0.3">
      <c r="A469" s="3">
        <v>12</v>
      </c>
      <c r="B469" s="30" t="s">
        <v>6059</v>
      </c>
      <c r="C469" s="3" t="s">
        <v>6</v>
      </c>
      <c r="D469" s="64">
        <v>0</v>
      </c>
      <c r="E469" s="1">
        <f t="shared" si="53"/>
        <v>0</v>
      </c>
      <c r="F469" s="64">
        <v>4600000</v>
      </c>
      <c r="G469" s="1">
        <f t="shared" si="54"/>
        <v>4968000</v>
      </c>
      <c r="I469" s="6">
        <f>VLOOKUP(B469,'GIÁ 1.4'!$D:$F,2,0)</f>
        <v>0</v>
      </c>
      <c r="J469" s="21">
        <f t="shared" si="55"/>
        <v>0</v>
      </c>
      <c r="K469" s="6">
        <f>VLOOKUP(B469,'GIÁ 1.4'!$D:$F,3,0)</f>
        <v>4600000</v>
      </c>
      <c r="L469" s="21">
        <f t="shared" si="56"/>
        <v>0</v>
      </c>
    </row>
    <row r="470" spans="1:12" ht="16.8" x14ac:dyDescent="0.3">
      <c r="A470" s="3">
        <v>13</v>
      </c>
      <c r="B470" s="30" t="s">
        <v>3612</v>
      </c>
      <c r="C470" s="3" t="s">
        <v>6</v>
      </c>
      <c r="D470" s="64">
        <v>0</v>
      </c>
      <c r="E470" s="1">
        <f t="shared" si="53"/>
        <v>0</v>
      </c>
      <c r="F470" s="64">
        <v>4600000</v>
      </c>
      <c r="G470" s="1">
        <f t="shared" si="54"/>
        <v>4968000</v>
      </c>
      <c r="I470" s="6">
        <f>VLOOKUP(B470,'GIÁ 1.4'!$D:$F,2,0)</f>
        <v>0</v>
      </c>
      <c r="J470" s="21">
        <f t="shared" si="55"/>
        <v>0</v>
      </c>
      <c r="K470" s="6">
        <f>VLOOKUP(B470,'GIÁ 1.4'!$D:$F,3,0)</f>
        <v>4600000</v>
      </c>
      <c r="L470" s="21">
        <f t="shared" si="56"/>
        <v>0</v>
      </c>
    </row>
    <row r="471" spans="1:12" ht="16.8" x14ac:dyDescent="0.3">
      <c r="A471" s="3">
        <v>14</v>
      </c>
      <c r="B471" s="30" t="s">
        <v>4021</v>
      </c>
      <c r="C471" s="3" t="s">
        <v>6</v>
      </c>
      <c r="D471" s="64">
        <v>0</v>
      </c>
      <c r="E471" s="1">
        <f t="shared" si="53"/>
        <v>0</v>
      </c>
      <c r="F471" s="64">
        <v>6000000</v>
      </c>
      <c r="G471" s="1">
        <f t="shared" si="54"/>
        <v>6480000</v>
      </c>
      <c r="I471" s="6">
        <f>VLOOKUP(B471,'GIÁ 1.4'!$D:$F,2,0)</f>
        <v>0</v>
      </c>
      <c r="J471" s="21">
        <f t="shared" si="55"/>
        <v>0</v>
      </c>
      <c r="K471" s="6">
        <f>VLOOKUP(B471,'GIÁ 1.4'!$D:$F,3,0)</f>
        <v>6000000</v>
      </c>
      <c r="L471" s="21">
        <f t="shared" si="56"/>
        <v>0</v>
      </c>
    </row>
    <row r="472" spans="1:12" ht="16.8" x14ac:dyDescent="0.3">
      <c r="A472" s="3">
        <v>15</v>
      </c>
      <c r="B472" s="30" t="s">
        <v>4598</v>
      </c>
      <c r="C472" s="3" t="s">
        <v>6</v>
      </c>
      <c r="D472" s="64">
        <v>0</v>
      </c>
      <c r="E472" s="1">
        <f t="shared" si="53"/>
        <v>0</v>
      </c>
      <c r="F472" s="64">
        <v>6000000</v>
      </c>
      <c r="G472" s="1">
        <f t="shared" si="54"/>
        <v>6480000</v>
      </c>
      <c r="I472" s="6">
        <f>VLOOKUP(B472,'GIÁ 1.4'!$D:$F,2,0)</f>
        <v>0</v>
      </c>
      <c r="J472" s="21">
        <f t="shared" si="55"/>
        <v>0</v>
      </c>
      <c r="K472" s="6">
        <f>VLOOKUP(B472,'GIÁ 1.4'!$D:$F,3,0)</f>
        <v>6000000</v>
      </c>
      <c r="L472" s="21">
        <f t="shared" si="56"/>
        <v>0</v>
      </c>
    </row>
    <row r="473" spans="1:12" ht="16.8" x14ac:dyDescent="0.3">
      <c r="A473" s="3">
        <v>16</v>
      </c>
      <c r="B473" s="30" t="s">
        <v>4694</v>
      </c>
      <c r="C473" s="3" t="s">
        <v>6</v>
      </c>
      <c r="D473" s="64">
        <v>0</v>
      </c>
      <c r="E473" s="1">
        <f t="shared" si="53"/>
        <v>0</v>
      </c>
      <c r="F473" s="64">
        <v>6000000</v>
      </c>
      <c r="G473" s="1">
        <f t="shared" si="54"/>
        <v>6480000</v>
      </c>
      <c r="I473" s="6">
        <f>VLOOKUP(B473,'GIÁ 1.4'!$D:$F,2,0)</f>
        <v>0</v>
      </c>
      <c r="J473" s="21">
        <f t="shared" si="55"/>
        <v>0</v>
      </c>
      <c r="K473" s="6">
        <f>VLOOKUP(B473,'GIÁ 1.4'!$D:$F,3,0)</f>
        <v>6000000</v>
      </c>
      <c r="L473" s="21">
        <f t="shared" si="56"/>
        <v>0</v>
      </c>
    </row>
    <row r="474" spans="1:12" ht="16.8" x14ac:dyDescent="0.3">
      <c r="A474" s="3">
        <v>17</v>
      </c>
      <c r="B474" s="30" t="s">
        <v>4812</v>
      </c>
      <c r="C474" s="3" t="s">
        <v>6</v>
      </c>
      <c r="D474" s="64">
        <v>0</v>
      </c>
      <c r="E474" s="1">
        <f t="shared" si="53"/>
        <v>0</v>
      </c>
      <c r="F474" s="64">
        <v>6000000</v>
      </c>
      <c r="G474" s="1">
        <f t="shared" si="54"/>
        <v>6480000</v>
      </c>
      <c r="I474" s="6">
        <f>VLOOKUP(B474,'GIÁ 1.4'!$D:$F,2,0)</f>
        <v>0</v>
      </c>
      <c r="J474" s="21">
        <f t="shared" si="55"/>
        <v>0</v>
      </c>
      <c r="K474" s="6">
        <f>VLOOKUP(B474,'GIÁ 1.4'!$D:$F,3,0)</f>
        <v>6000000</v>
      </c>
      <c r="L474" s="21">
        <f t="shared" si="56"/>
        <v>0</v>
      </c>
    </row>
    <row r="475" spans="1:12" ht="16.8" x14ac:dyDescent="0.3">
      <c r="A475" s="3">
        <v>18</v>
      </c>
      <c r="B475" s="30" t="s">
        <v>6057</v>
      </c>
      <c r="C475" s="3" t="s">
        <v>6</v>
      </c>
      <c r="D475" s="64">
        <v>0</v>
      </c>
      <c r="E475" s="1">
        <f t="shared" si="53"/>
        <v>0</v>
      </c>
      <c r="F475" s="64">
        <v>8000000</v>
      </c>
      <c r="G475" s="1">
        <f t="shared" si="54"/>
        <v>8640000</v>
      </c>
      <c r="I475" s="6">
        <f>VLOOKUP(B475,'GIÁ 1.4'!$D:$F,2,0)</f>
        <v>0</v>
      </c>
      <c r="J475" s="21">
        <f t="shared" si="55"/>
        <v>0</v>
      </c>
      <c r="K475" s="6">
        <f>VLOOKUP(B475,'GIÁ 1.4'!$D:$F,3,0)</f>
        <v>8000000</v>
      </c>
      <c r="L475" s="21">
        <f t="shared" si="56"/>
        <v>0</v>
      </c>
    </row>
    <row r="476" spans="1:12" ht="16.8" x14ac:dyDescent="0.3">
      <c r="A476" s="3">
        <v>19</v>
      </c>
      <c r="B476" s="30" t="s">
        <v>4600</v>
      </c>
      <c r="C476" s="3" t="s">
        <v>6</v>
      </c>
      <c r="D476" s="64">
        <v>0</v>
      </c>
      <c r="E476" s="1">
        <f t="shared" si="53"/>
        <v>0</v>
      </c>
      <c r="F476" s="64">
        <v>8000000</v>
      </c>
      <c r="G476" s="1">
        <f t="shared" si="54"/>
        <v>8640000</v>
      </c>
      <c r="I476" s="6">
        <f>VLOOKUP(B476,'GIÁ 1.4'!$D:$F,2,0)</f>
        <v>0</v>
      </c>
      <c r="J476" s="21">
        <f t="shared" si="55"/>
        <v>0</v>
      </c>
      <c r="K476" s="6">
        <f>VLOOKUP(B476,'GIÁ 1.4'!$D:$F,3,0)</f>
        <v>8000000</v>
      </c>
      <c r="L476" s="21">
        <f t="shared" si="56"/>
        <v>0</v>
      </c>
    </row>
    <row r="477" spans="1:12" ht="16.8" x14ac:dyDescent="0.3">
      <c r="A477" s="3">
        <v>20</v>
      </c>
      <c r="B477" s="30" t="s">
        <v>10610</v>
      </c>
      <c r="C477" s="3" t="s">
        <v>6</v>
      </c>
      <c r="D477" s="64">
        <v>0</v>
      </c>
      <c r="E477" s="1">
        <f t="shared" si="53"/>
        <v>0</v>
      </c>
      <c r="F477" s="64">
        <v>8000000</v>
      </c>
      <c r="G477" s="1">
        <f t="shared" si="54"/>
        <v>8640000</v>
      </c>
      <c r="I477" s="6">
        <f>VLOOKUP(B477,'GIÁ 1.4'!$D:$F,2,0)</f>
        <v>0</v>
      </c>
      <c r="J477" s="21">
        <f t="shared" si="55"/>
        <v>0</v>
      </c>
      <c r="K477" s="6">
        <f>VLOOKUP(B477,'GIÁ 1.4'!$D:$F,3,0)</f>
        <v>8000000</v>
      </c>
      <c r="L477" s="21">
        <f t="shared" si="56"/>
        <v>0</v>
      </c>
    </row>
    <row r="478" spans="1:12" ht="16.8" x14ac:dyDescent="0.3">
      <c r="A478" s="3">
        <v>21</v>
      </c>
      <c r="B478" s="30" t="s">
        <v>6135</v>
      </c>
      <c r="C478" s="3" t="s">
        <v>6</v>
      </c>
      <c r="D478" s="64">
        <v>0</v>
      </c>
      <c r="E478" s="1">
        <f t="shared" si="53"/>
        <v>0</v>
      </c>
      <c r="F478" s="64">
        <v>8000000</v>
      </c>
      <c r="G478" s="1">
        <f t="shared" si="54"/>
        <v>8640000</v>
      </c>
      <c r="I478" s="6">
        <f>VLOOKUP(B478,'GIÁ 1.4'!$D:$F,2,0)</f>
        <v>0</v>
      </c>
      <c r="J478" s="21">
        <f t="shared" si="55"/>
        <v>0</v>
      </c>
      <c r="K478" s="6">
        <f>VLOOKUP(B478,'GIÁ 1.4'!$D:$F,3,0)</f>
        <v>8000000</v>
      </c>
      <c r="L478" s="21">
        <f t="shared" si="56"/>
        <v>0</v>
      </c>
    </row>
    <row r="479" spans="1:12" ht="16.8" x14ac:dyDescent="0.3">
      <c r="A479" s="3">
        <v>22</v>
      </c>
      <c r="B479" s="30" t="s">
        <v>9908</v>
      </c>
      <c r="C479" s="3" t="s">
        <v>6</v>
      </c>
      <c r="D479" s="64">
        <v>348000</v>
      </c>
      <c r="E479" s="1">
        <f t="shared" si="53"/>
        <v>375840</v>
      </c>
      <c r="F479" s="64">
        <v>696296</v>
      </c>
      <c r="G479" s="1">
        <f t="shared" si="54"/>
        <v>751999.68</v>
      </c>
      <c r="I479" s="6">
        <f>VLOOKUP(B479,'GIÁ 1.4'!$D:$F,2,0)</f>
        <v>348000</v>
      </c>
      <c r="J479" s="21">
        <f t="shared" si="55"/>
        <v>0</v>
      </c>
      <c r="K479" s="6">
        <f>VLOOKUP(B479,'GIÁ 1.4'!$D:$F,3,0)</f>
        <v>696296</v>
      </c>
      <c r="L479" s="21">
        <f t="shared" si="56"/>
        <v>0</v>
      </c>
    </row>
    <row r="480" spans="1:12" ht="16.8" x14ac:dyDescent="0.3">
      <c r="A480" s="3">
        <v>23</v>
      </c>
      <c r="B480" s="30" t="s">
        <v>4644</v>
      </c>
      <c r="C480" s="3" t="s">
        <v>6</v>
      </c>
      <c r="D480" s="64">
        <v>155000</v>
      </c>
      <c r="E480" s="1">
        <f t="shared" si="53"/>
        <v>167400</v>
      </c>
      <c r="F480" s="64">
        <v>310185</v>
      </c>
      <c r="G480" s="1">
        <f t="shared" si="54"/>
        <v>334999.80000000005</v>
      </c>
      <c r="I480" s="6">
        <f>VLOOKUP(B480,'GIÁ 1.4'!$D:$F,2,0)</f>
        <v>155000</v>
      </c>
      <c r="J480" s="21">
        <f t="shared" si="55"/>
        <v>0</v>
      </c>
      <c r="K480" s="6">
        <f>VLOOKUP(B480,'GIÁ 1.4'!$D:$F,3,0)</f>
        <v>310185</v>
      </c>
      <c r="L480" s="21">
        <f t="shared" si="56"/>
        <v>0</v>
      </c>
    </row>
    <row r="481" spans="1:12" ht="16.8" x14ac:dyDescent="0.3">
      <c r="A481" s="3">
        <v>24</v>
      </c>
      <c r="B481" s="30" t="s">
        <v>5811</v>
      </c>
      <c r="C481" s="3" t="s">
        <v>6</v>
      </c>
      <c r="D481" s="64">
        <v>213000</v>
      </c>
      <c r="E481" s="1">
        <f t="shared" si="53"/>
        <v>230040.00000000003</v>
      </c>
      <c r="F481" s="64">
        <v>425926</v>
      </c>
      <c r="G481" s="1">
        <f t="shared" si="54"/>
        <v>460000.08</v>
      </c>
      <c r="I481" s="6">
        <f>VLOOKUP(B481,'GIÁ 1.4'!$D:$F,2,0)</f>
        <v>213000</v>
      </c>
      <c r="J481" s="21">
        <f t="shared" si="55"/>
        <v>0</v>
      </c>
      <c r="K481" s="6">
        <f>VLOOKUP(B481,'GIÁ 1.4'!$D:$F,3,0)</f>
        <v>425926</v>
      </c>
      <c r="L481" s="21">
        <f t="shared" si="56"/>
        <v>0</v>
      </c>
    </row>
    <row r="482" spans="1:12" ht="16.8" x14ac:dyDescent="0.3">
      <c r="A482" s="3">
        <v>25</v>
      </c>
      <c r="B482" s="30" t="s">
        <v>4043</v>
      </c>
      <c r="C482" s="3" t="s">
        <v>6</v>
      </c>
      <c r="D482" s="64">
        <v>523000</v>
      </c>
      <c r="E482" s="1">
        <f t="shared" si="53"/>
        <v>564840</v>
      </c>
      <c r="F482" s="64">
        <v>1046296</v>
      </c>
      <c r="G482" s="1">
        <f t="shared" si="54"/>
        <v>1129999.6800000002</v>
      </c>
      <c r="I482" s="6">
        <f>VLOOKUP(B482,'GIÁ 1.4'!$D:$F,2,0)</f>
        <v>523000</v>
      </c>
      <c r="J482" s="21">
        <f t="shared" si="55"/>
        <v>0</v>
      </c>
      <c r="K482" s="6">
        <f>VLOOKUP(B482,'GIÁ 1.4'!$D:$F,3,0)</f>
        <v>1046296</v>
      </c>
      <c r="L482" s="21">
        <f t="shared" si="56"/>
        <v>0</v>
      </c>
    </row>
    <row r="483" spans="1:12" ht="16.8" x14ac:dyDescent="0.3">
      <c r="A483" s="3">
        <v>26</v>
      </c>
      <c r="B483" s="30" t="s">
        <v>3904</v>
      </c>
      <c r="C483" s="3" t="s">
        <v>6</v>
      </c>
      <c r="D483" s="64">
        <v>0</v>
      </c>
      <c r="E483" s="1">
        <f t="shared" si="53"/>
        <v>0</v>
      </c>
      <c r="F483" s="64">
        <v>3600000</v>
      </c>
      <c r="G483" s="1">
        <f t="shared" si="54"/>
        <v>3888000.0000000005</v>
      </c>
      <c r="H483" s="6" t="s">
        <v>15616</v>
      </c>
      <c r="I483" s="6">
        <f>VLOOKUP(B483,'GIÁ 1.4'!$D:$F,2,0)</f>
        <v>0</v>
      </c>
      <c r="J483" s="21">
        <f t="shared" si="55"/>
        <v>0</v>
      </c>
      <c r="K483" s="6">
        <f>VLOOKUP(B483,'GIÁ 1.4'!$D:$F,3,0)</f>
        <v>3600000</v>
      </c>
      <c r="L483" s="21">
        <f t="shared" si="56"/>
        <v>0</v>
      </c>
    </row>
    <row r="484" spans="1:12" ht="16.8" x14ac:dyDescent="0.3">
      <c r="A484" s="3">
        <v>27</v>
      </c>
      <c r="B484" s="30" t="s">
        <v>11958</v>
      </c>
      <c r="C484" s="3" t="s">
        <v>6</v>
      </c>
      <c r="D484" s="64">
        <v>96800</v>
      </c>
      <c r="E484" s="1">
        <f t="shared" si="53"/>
        <v>104544</v>
      </c>
      <c r="F484" s="64">
        <v>193519</v>
      </c>
      <c r="G484" s="1">
        <f t="shared" si="54"/>
        <v>209000.52000000002</v>
      </c>
      <c r="I484" s="6">
        <f>VLOOKUP(B484,'GIÁ 1.4'!$D:$F,2,0)</f>
        <v>96800</v>
      </c>
      <c r="J484" s="21">
        <f t="shared" si="55"/>
        <v>0</v>
      </c>
      <c r="K484" s="6">
        <f>VLOOKUP(B484,'GIÁ 1.4'!$D:$F,3,0)</f>
        <v>193519</v>
      </c>
      <c r="L484" s="21">
        <f t="shared" si="56"/>
        <v>0</v>
      </c>
    </row>
    <row r="485" spans="1:12" ht="16.8" x14ac:dyDescent="0.3">
      <c r="A485" s="3">
        <v>28</v>
      </c>
      <c r="B485" s="30" t="s">
        <v>6161</v>
      </c>
      <c r="C485" s="3" t="s">
        <v>6</v>
      </c>
      <c r="D485" s="64">
        <v>121000</v>
      </c>
      <c r="E485" s="1">
        <f t="shared" si="53"/>
        <v>130680.00000000001</v>
      </c>
      <c r="F485" s="64">
        <v>241667</v>
      </c>
      <c r="G485" s="1">
        <f t="shared" si="54"/>
        <v>261000.36000000002</v>
      </c>
      <c r="I485" s="6">
        <f>VLOOKUP(B485,'GIÁ 1.4'!$D:$F,2,0)</f>
        <v>121000</v>
      </c>
      <c r="J485" s="21">
        <f t="shared" si="55"/>
        <v>0</v>
      </c>
      <c r="K485" s="6">
        <f>VLOOKUP(B485,'GIÁ 1.4'!$D:$F,3,0)</f>
        <v>241667</v>
      </c>
      <c r="L485" s="21">
        <f t="shared" si="56"/>
        <v>0</v>
      </c>
    </row>
    <row r="486" spans="1:12" ht="16.8" x14ac:dyDescent="0.3">
      <c r="A486" s="3">
        <v>29</v>
      </c>
      <c r="B486" s="2" t="s">
        <v>11960</v>
      </c>
      <c r="C486" s="3" t="s">
        <v>6</v>
      </c>
      <c r="D486" s="64">
        <v>842000</v>
      </c>
      <c r="E486" s="1">
        <f t="shared" si="53"/>
        <v>909360.00000000012</v>
      </c>
      <c r="F486" s="64">
        <v>1684259</v>
      </c>
      <c r="G486" s="1">
        <f t="shared" si="54"/>
        <v>1818999.7200000002</v>
      </c>
      <c r="I486" s="6">
        <f>VLOOKUP(B486,'GIÁ 1.4'!$D:$F,2,0)</f>
        <v>842000</v>
      </c>
      <c r="J486" s="21">
        <f t="shared" si="55"/>
        <v>0</v>
      </c>
      <c r="K486" s="6">
        <f>VLOOKUP(B486,'GIÁ 1.4'!$D:$F,3,0)</f>
        <v>1684259</v>
      </c>
      <c r="L486" s="21">
        <f t="shared" si="56"/>
        <v>0</v>
      </c>
    </row>
    <row r="487" spans="1:12" ht="16.8" x14ac:dyDescent="0.3">
      <c r="A487" s="3">
        <v>30</v>
      </c>
      <c r="B487" s="2" t="s">
        <v>4119</v>
      </c>
      <c r="C487" s="3" t="s">
        <v>6</v>
      </c>
      <c r="D487" s="65">
        <v>1258000</v>
      </c>
      <c r="E487" s="1">
        <f t="shared" si="53"/>
        <v>1358640</v>
      </c>
      <c r="F487" s="64">
        <v>2515741</v>
      </c>
      <c r="G487" s="1">
        <f t="shared" si="54"/>
        <v>2717000.2800000003</v>
      </c>
      <c r="I487" s="6">
        <f>VLOOKUP(B487,'GIÁ 1.4'!$D:$F,2,0)</f>
        <v>1258000</v>
      </c>
      <c r="J487" s="21">
        <f t="shared" si="55"/>
        <v>0</v>
      </c>
      <c r="K487" s="6">
        <f>VLOOKUP(B487,'GIÁ 1.4'!$D:$F,3,0)</f>
        <v>2515741</v>
      </c>
      <c r="L487" s="21">
        <f t="shared" si="56"/>
        <v>0</v>
      </c>
    </row>
    <row r="488" spans="1:12" ht="16.8" x14ac:dyDescent="0.3">
      <c r="A488" s="3">
        <v>31</v>
      </c>
      <c r="B488" s="17" t="s">
        <v>5847</v>
      </c>
      <c r="C488" s="18" t="s">
        <v>6</v>
      </c>
      <c r="D488" s="68">
        <v>96800</v>
      </c>
      <c r="E488" s="19">
        <f t="shared" si="53"/>
        <v>104544</v>
      </c>
      <c r="F488" s="68">
        <v>193519</v>
      </c>
      <c r="G488" s="19">
        <v>209000</v>
      </c>
      <c r="I488" s="6">
        <f>VLOOKUP(B488,'GIÁ 1.4'!$D:$F,2,0)</f>
        <v>96800</v>
      </c>
      <c r="J488" s="21">
        <f t="shared" si="55"/>
        <v>0</v>
      </c>
      <c r="K488" s="6">
        <f>VLOOKUP(B488,'GIÁ 1.4'!$D:$F,3,0)</f>
        <v>193519</v>
      </c>
      <c r="L488" s="21">
        <f t="shared" si="56"/>
        <v>0</v>
      </c>
    </row>
    <row r="489" spans="1:12" ht="16.8" x14ac:dyDescent="0.3">
      <c r="A489" s="3">
        <v>32</v>
      </c>
      <c r="B489" s="17" t="s">
        <v>4897</v>
      </c>
      <c r="C489" s="18" t="s">
        <v>6</v>
      </c>
      <c r="D489" s="68">
        <v>96800</v>
      </c>
      <c r="E489" s="19">
        <f t="shared" si="53"/>
        <v>104544</v>
      </c>
      <c r="F489" s="68">
        <v>193519</v>
      </c>
      <c r="G489" s="19">
        <v>209000</v>
      </c>
      <c r="I489" s="6">
        <f>VLOOKUP(B489,'GIÁ 1.4'!$D:$F,2,0)</f>
        <v>96800</v>
      </c>
      <c r="J489" s="21">
        <f t="shared" si="55"/>
        <v>0</v>
      </c>
      <c r="K489" s="6">
        <f>VLOOKUP(B489,'GIÁ 1.4'!$D:$F,3,0)</f>
        <v>193519</v>
      </c>
      <c r="L489" s="21">
        <f t="shared" si="56"/>
        <v>0</v>
      </c>
    </row>
    <row r="490" spans="1:12" ht="16.8" x14ac:dyDescent="0.3">
      <c r="A490" s="3">
        <v>33</v>
      </c>
      <c r="B490" s="17" t="s">
        <v>8048</v>
      </c>
      <c r="C490" s="18" t="s">
        <v>6</v>
      </c>
      <c r="D490" s="68">
        <v>121000</v>
      </c>
      <c r="E490" s="19">
        <f t="shared" si="53"/>
        <v>130680.00000000001</v>
      </c>
      <c r="F490" s="68">
        <v>241667</v>
      </c>
      <c r="G490" s="19">
        <v>261000</v>
      </c>
      <c r="I490" s="6">
        <f>VLOOKUP(B490,'GIÁ 1.4'!$D:$F,2,0)</f>
        <v>121000</v>
      </c>
      <c r="J490" s="21">
        <f t="shared" si="55"/>
        <v>0</v>
      </c>
      <c r="K490" s="6">
        <f>VLOOKUP(B490,'GIÁ 1.4'!$D:$F,3,0)</f>
        <v>241667</v>
      </c>
      <c r="L490" s="21">
        <f t="shared" si="56"/>
        <v>0</v>
      </c>
    </row>
    <row r="491" spans="1:12" ht="16.8" x14ac:dyDescent="0.3">
      <c r="A491" s="3">
        <v>34</v>
      </c>
      <c r="B491" s="17" t="s">
        <v>5307</v>
      </c>
      <c r="C491" s="18" t="s">
        <v>6</v>
      </c>
      <c r="D491" s="68">
        <v>121000</v>
      </c>
      <c r="E491" s="19">
        <f t="shared" si="53"/>
        <v>130680.00000000001</v>
      </c>
      <c r="F491" s="68">
        <v>241667</v>
      </c>
      <c r="G491" s="19">
        <v>261000</v>
      </c>
      <c r="I491" s="6">
        <f>VLOOKUP(B491,'GIÁ 1.4'!$D:$F,2,0)</f>
        <v>121000</v>
      </c>
      <c r="J491" s="21">
        <f t="shared" si="55"/>
        <v>0</v>
      </c>
      <c r="K491" s="6">
        <f>VLOOKUP(B491,'GIÁ 1.4'!$D:$F,3,0)</f>
        <v>241667</v>
      </c>
      <c r="L491" s="21">
        <f t="shared" si="56"/>
        <v>0</v>
      </c>
    </row>
    <row r="492" spans="1:12" ht="16.8" x14ac:dyDescent="0.3">
      <c r="A492" s="3">
        <v>35</v>
      </c>
      <c r="B492" s="17" t="s">
        <v>5205</v>
      </c>
      <c r="C492" s="18" t="s">
        <v>6</v>
      </c>
      <c r="D492" s="68">
        <v>155000</v>
      </c>
      <c r="E492" s="19">
        <f t="shared" si="53"/>
        <v>167400</v>
      </c>
      <c r="F492" s="68">
        <v>310185</v>
      </c>
      <c r="G492" s="19">
        <v>335000</v>
      </c>
      <c r="I492" s="6">
        <f>VLOOKUP(B492,'GIÁ 1.4'!$D:$F,2,0)</f>
        <v>155000</v>
      </c>
      <c r="J492" s="21">
        <f t="shared" si="55"/>
        <v>0</v>
      </c>
      <c r="K492" s="6">
        <f>VLOOKUP(B492,'GIÁ 1.4'!$D:$F,3,0)</f>
        <v>310185</v>
      </c>
      <c r="L492" s="21">
        <f t="shared" si="56"/>
        <v>0</v>
      </c>
    </row>
    <row r="493" spans="1:12" ht="16.8" x14ac:dyDescent="0.3">
      <c r="A493" s="3">
        <v>36</v>
      </c>
      <c r="B493" s="17" t="s">
        <v>4899</v>
      </c>
      <c r="C493" s="18" t="s">
        <v>6</v>
      </c>
      <c r="D493" s="68">
        <v>155000</v>
      </c>
      <c r="E493" s="19">
        <f t="shared" si="53"/>
        <v>167400</v>
      </c>
      <c r="F493" s="68">
        <v>310185</v>
      </c>
      <c r="G493" s="19">
        <v>335000</v>
      </c>
      <c r="I493" s="6">
        <f>VLOOKUP(B493,'GIÁ 1.4'!$D:$F,2,0)</f>
        <v>155000</v>
      </c>
      <c r="J493" s="21">
        <f t="shared" si="55"/>
        <v>0</v>
      </c>
      <c r="K493" s="6">
        <f>VLOOKUP(B493,'GIÁ 1.4'!$D:$F,3,0)</f>
        <v>310185</v>
      </c>
      <c r="L493" s="21">
        <f t="shared" si="56"/>
        <v>0</v>
      </c>
    </row>
    <row r="494" spans="1:12" ht="16.8" x14ac:dyDescent="0.3">
      <c r="A494" s="3">
        <v>37</v>
      </c>
      <c r="B494" s="17" t="s">
        <v>4889</v>
      </c>
      <c r="C494" s="18" t="s">
        <v>6</v>
      </c>
      <c r="D494" s="68">
        <v>213000</v>
      </c>
      <c r="E494" s="19">
        <f t="shared" si="53"/>
        <v>230040.00000000003</v>
      </c>
      <c r="F494" s="68">
        <v>425926</v>
      </c>
      <c r="G494" s="19">
        <v>460000</v>
      </c>
      <c r="I494" s="6">
        <f>VLOOKUP(B494,'GIÁ 1.4'!$D:$F,2,0)</f>
        <v>213000</v>
      </c>
      <c r="J494" s="21">
        <f t="shared" si="55"/>
        <v>0</v>
      </c>
      <c r="K494" s="6">
        <f>VLOOKUP(B494,'GIÁ 1.4'!$D:$F,3,0)</f>
        <v>425926</v>
      </c>
      <c r="L494" s="21">
        <f t="shared" si="56"/>
        <v>0</v>
      </c>
    </row>
    <row r="495" spans="1:12" ht="16.8" x14ac:dyDescent="0.3">
      <c r="A495" s="3">
        <v>38</v>
      </c>
      <c r="B495" s="17" t="s">
        <v>4246</v>
      </c>
      <c r="C495" s="18" t="s">
        <v>6</v>
      </c>
      <c r="D495" s="68">
        <v>213000</v>
      </c>
      <c r="E495" s="19">
        <f t="shared" si="53"/>
        <v>230040.00000000003</v>
      </c>
      <c r="F495" s="68">
        <v>425926</v>
      </c>
      <c r="G495" s="19">
        <v>460000</v>
      </c>
      <c r="I495" s="6">
        <f>VLOOKUP(B495,'GIÁ 1.4'!$D:$F,2,0)</f>
        <v>213000</v>
      </c>
      <c r="J495" s="21">
        <f t="shared" si="55"/>
        <v>0</v>
      </c>
      <c r="K495" s="6">
        <f>VLOOKUP(B495,'GIÁ 1.4'!$D:$F,3,0)</f>
        <v>425926</v>
      </c>
      <c r="L495" s="21">
        <f t="shared" si="56"/>
        <v>0</v>
      </c>
    </row>
    <row r="496" spans="1:12" ht="16.8" x14ac:dyDescent="0.3">
      <c r="A496" s="3">
        <v>39</v>
      </c>
      <c r="B496" s="17" t="s">
        <v>4895</v>
      </c>
      <c r="C496" s="18" t="s">
        <v>6</v>
      </c>
      <c r="D496" s="68">
        <v>523000</v>
      </c>
      <c r="E496" s="19">
        <f t="shared" si="53"/>
        <v>564840</v>
      </c>
      <c r="F496" s="68">
        <v>1046296</v>
      </c>
      <c r="G496" s="19">
        <v>1130000</v>
      </c>
      <c r="I496" s="6">
        <f>VLOOKUP(B496,'GIÁ 1.4'!$D:$F,2,0)</f>
        <v>523000</v>
      </c>
      <c r="J496" s="21">
        <f t="shared" si="55"/>
        <v>0</v>
      </c>
      <c r="K496" s="6">
        <f>VLOOKUP(B496,'GIÁ 1.4'!$D:$F,3,0)</f>
        <v>1046296</v>
      </c>
      <c r="L496" s="21">
        <f t="shared" si="56"/>
        <v>0</v>
      </c>
    </row>
    <row r="497" spans="1:12" ht="16.8" x14ac:dyDescent="0.3">
      <c r="A497" s="3">
        <v>40</v>
      </c>
      <c r="B497" s="17" t="s">
        <v>7176</v>
      </c>
      <c r="C497" s="18" t="s">
        <v>6</v>
      </c>
      <c r="D497" s="68">
        <v>842000</v>
      </c>
      <c r="E497" s="19">
        <f t="shared" ref="E497:E554" si="57">D497*1.08</f>
        <v>909360.00000000012</v>
      </c>
      <c r="F497" s="68">
        <v>1684259</v>
      </c>
      <c r="G497" s="19">
        <v>1819000</v>
      </c>
      <c r="I497" s="6">
        <f>VLOOKUP(B497,'GIÁ 1.4'!$D:$F,2,0)</f>
        <v>842000</v>
      </c>
      <c r="J497" s="21">
        <f t="shared" si="55"/>
        <v>0</v>
      </c>
      <c r="K497" s="6">
        <f>VLOOKUP(B497,'GIÁ 1.4'!$D:$F,3,0)</f>
        <v>1684259</v>
      </c>
      <c r="L497" s="21">
        <f t="shared" si="56"/>
        <v>0</v>
      </c>
    </row>
    <row r="498" spans="1:12" ht="16.8" x14ac:dyDescent="0.3">
      <c r="A498" s="3">
        <v>41</v>
      </c>
      <c r="B498" s="17" t="s">
        <v>6730</v>
      </c>
      <c r="C498" s="18" t="s">
        <v>6</v>
      </c>
      <c r="D498" s="68">
        <v>1258000</v>
      </c>
      <c r="E498" s="19">
        <f t="shared" si="57"/>
        <v>1358640</v>
      </c>
      <c r="F498" s="68">
        <v>2515741</v>
      </c>
      <c r="G498" s="19">
        <v>2717000</v>
      </c>
      <c r="I498" s="6">
        <f>VLOOKUP(B498,'GIÁ 1.4'!$D:$F,2,0)</f>
        <v>1258000</v>
      </c>
      <c r="J498" s="21">
        <f t="shared" si="55"/>
        <v>0</v>
      </c>
      <c r="K498" s="6">
        <f>VLOOKUP(B498,'GIÁ 1.4'!$D:$F,3,0)</f>
        <v>2515741</v>
      </c>
      <c r="L498" s="21">
        <f t="shared" si="56"/>
        <v>0</v>
      </c>
    </row>
    <row r="499" spans="1:12" ht="16.8" x14ac:dyDescent="0.3">
      <c r="A499" s="3"/>
      <c r="B499" s="36" t="s">
        <v>15592</v>
      </c>
      <c r="C499" s="3"/>
      <c r="D499" s="64"/>
      <c r="E499" s="1">
        <f t="shared" si="57"/>
        <v>0</v>
      </c>
      <c r="F499" s="64">
        <v>0</v>
      </c>
      <c r="G499" s="1">
        <f t="shared" ref="G499:G507" si="58">F499*1.08</f>
        <v>0</v>
      </c>
      <c r="J499" s="21"/>
      <c r="L499" s="21"/>
    </row>
    <row r="500" spans="1:12" ht="16.8" x14ac:dyDescent="0.3">
      <c r="A500" s="3">
        <v>1</v>
      </c>
      <c r="B500" s="30" t="s">
        <v>2992</v>
      </c>
      <c r="C500" s="3" t="s">
        <v>6</v>
      </c>
      <c r="D500" s="64">
        <v>69500</v>
      </c>
      <c r="E500" s="1">
        <f t="shared" si="57"/>
        <v>75060</v>
      </c>
      <c r="F500" s="64">
        <v>138889</v>
      </c>
      <c r="G500" s="1">
        <f t="shared" si="58"/>
        <v>150000.12</v>
      </c>
      <c r="I500" s="6">
        <f>VLOOKUP(B500,'GIÁ 1.4'!$D:$F,2,0)</f>
        <v>69500</v>
      </c>
      <c r="J500" s="21">
        <f t="shared" ref="J500:J508" si="59">D500-I500</f>
        <v>0</v>
      </c>
      <c r="K500" s="6">
        <f>VLOOKUP(B500,'GIÁ 1.4'!$D:$F,3,0)</f>
        <v>138889</v>
      </c>
      <c r="L500" s="21">
        <f t="shared" ref="L500:L508" si="60">F500-K500</f>
        <v>0</v>
      </c>
    </row>
    <row r="501" spans="1:12" ht="16.8" x14ac:dyDescent="0.3">
      <c r="A501" s="3">
        <v>2</v>
      </c>
      <c r="B501" s="30" t="s">
        <v>9494</v>
      </c>
      <c r="C501" s="3" t="s">
        <v>6</v>
      </c>
      <c r="D501" s="64">
        <v>92000</v>
      </c>
      <c r="E501" s="1">
        <f t="shared" si="57"/>
        <v>99360</v>
      </c>
      <c r="F501" s="64">
        <v>183333</v>
      </c>
      <c r="G501" s="1">
        <f t="shared" si="58"/>
        <v>197999.64</v>
      </c>
      <c r="I501" s="6">
        <f>VLOOKUP(B501,'GIÁ 1.4'!$D:$F,2,0)</f>
        <v>92000</v>
      </c>
      <c r="J501" s="21">
        <f t="shared" si="59"/>
        <v>0</v>
      </c>
      <c r="K501" s="6">
        <f>VLOOKUP(B501,'GIÁ 1.4'!$D:$F,3,0)</f>
        <v>183333</v>
      </c>
      <c r="L501" s="21">
        <f t="shared" si="60"/>
        <v>0</v>
      </c>
    </row>
    <row r="502" spans="1:12" ht="16.8" x14ac:dyDescent="0.3">
      <c r="A502" s="3">
        <v>3</v>
      </c>
      <c r="B502" s="30" t="s">
        <v>3270</v>
      </c>
      <c r="C502" s="3" t="s">
        <v>6</v>
      </c>
      <c r="D502" s="64">
        <v>111000</v>
      </c>
      <c r="E502" s="1">
        <f t="shared" si="57"/>
        <v>119880.00000000001</v>
      </c>
      <c r="F502" s="64">
        <v>222222</v>
      </c>
      <c r="G502" s="1">
        <f t="shared" si="58"/>
        <v>239999.76</v>
      </c>
      <c r="I502" s="6">
        <f>VLOOKUP(B502,'GIÁ 1.4'!$D:$F,2,0)</f>
        <v>111000</v>
      </c>
      <c r="J502" s="21">
        <f t="shared" si="59"/>
        <v>0</v>
      </c>
      <c r="K502" s="6">
        <f>VLOOKUP(B502,'GIÁ 1.4'!$D:$F,3,0)</f>
        <v>222222</v>
      </c>
      <c r="L502" s="21">
        <f t="shared" si="60"/>
        <v>0</v>
      </c>
    </row>
    <row r="503" spans="1:12" ht="16.8" x14ac:dyDescent="0.3">
      <c r="A503" s="3">
        <v>4</v>
      </c>
      <c r="B503" s="30" t="s">
        <v>2077</v>
      </c>
      <c r="C503" s="3" t="s">
        <v>6</v>
      </c>
      <c r="D503" s="64">
        <v>301000</v>
      </c>
      <c r="E503" s="1">
        <f t="shared" si="57"/>
        <v>325080</v>
      </c>
      <c r="F503" s="64">
        <v>601852</v>
      </c>
      <c r="G503" s="1">
        <f t="shared" si="58"/>
        <v>650000.16</v>
      </c>
      <c r="I503" s="6">
        <f>VLOOKUP(B503,'GIÁ 1.4'!$D:$F,2,0)</f>
        <v>301000</v>
      </c>
      <c r="J503" s="21">
        <f t="shared" si="59"/>
        <v>0</v>
      </c>
      <c r="K503" s="6">
        <f>VLOOKUP(B503,'GIÁ 1.4'!$D:$F,3,0)</f>
        <v>601852</v>
      </c>
      <c r="L503" s="21">
        <f t="shared" si="60"/>
        <v>0</v>
      </c>
    </row>
    <row r="504" spans="1:12" ht="16.8" x14ac:dyDescent="0.3">
      <c r="A504" s="3">
        <v>5</v>
      </c>
      <c r="B504" s="30" t="s">
        <v>2417</v>
      </c>
      <c r="C504" s="3" t="s">
        <v>6</v>
      </c>
      <c r="D504" s="64">
        <v>106000</v>
      </c>
      <c r="E504" s="1">
        <f t="shared" si="57"/>
        <v>114480.00000000001</v>
      </c>
      <c r="F504" s="64">
        <v>212037</v>
      </c>
      <c r="G504" s="1">
        <f t="shared" si="58"/>
        <v>228999.96000000002</v>
      </c>
      <c r="I504" s="6">
        <f>VLOOKUP(B504,'GIÁ 1.4'!$D:$F,2,0)</f>
        <v>106000</v>
      </c>
      <c r="J504" s="21">
        <f t="shared" si="59"/>
        <v>0</v>
      </c>
      <c r="K504" s="6">
        <f>VLOOKUP(B504,'GIÁ 1.4'!$D:$F,3,0)</f>
        <v>212037</v>
      </c>
      <c r="L504" s="21">
        <f t="shared" si="60"/>
        <v>0</v>
      </c>
    </row>
    <row r="505" spans="1:12" ht="16.8" x14ac:dyDescent="0.3">
      <c r="A505" s="3">
        <v>6</v>
      </c>
      <c r="B505" s="30" t="s">
        <v>3308</v>
      </c>
      <c r="C505" s="3" t="s">
        <v>6</v>
      </c>
      <c r="D505" s="64">
        <v>208400</v>
      </c>
      <c r="E505" s="1">
        <f t="shared" si="57"/>
        <v>225072.00000000003</v>
      </c>
      <c r="F505" s="64">
        <v>416667</v>
      </c>
      <c r="G505" s="1">
        <f t="shared" si="58"/>
        <v>450000.36000000004</v>
      </c>
      <c r="I505" s="6">
        <f>VLOOKUP(B505,'GIÁ 1.4'!$D:$F,2,0)</f>
        <v>208400</v>
      </c>
      <c r="J505" s="21">
        <f t="shared" si="59"/>
        <v>0</v>
      </c>
      <c r="K505" s="6">
        <f>VLOOKUP(B505,'GIÁ 1.4'!$D:$F,3,0)</f>
        <v>416667</v>
      </c>
      <c r="L505" s="21">
        <f t="shared" si="60"/>
        <v>0</v>
      </c>
    </row>
    <row r="506" spans="1:12" ht="16.8" x14ac:dyDescent="0.3">
      <c r="A506" s="3">
        <v>7</v>
      </c>
      <c r="B506" s="30" t="s">
        <v>2858</v>
      </c>
      <c r="C506" s="3" t="s">
        <v>6</v>
      </c>
      <c r="D506" s="64">
        <v>277800</v>
      </c>
      <c r="E506" s="1">
        <f t="shared" si="57"/>
        <v>300024</v>
      </c>
      <c r="F506" s="64">
        <v>555556</v>
      </c>
      <c r="G506" s="1">
        <f t="shared" si="58"/>
        <v>600000.48</v>
      </c>
      <c r="I506" s="6">
        <f>VLOOKUP(B506,'GIÁ 1.4'!$D:$F,2,0)</f>
        <v>277800</v>
      </c>
      <c r="J506" s="21">
        <f t="shared" si="59"/>
        <v>0</v>
      </c>
      <c r="K506" s="6">
        <f>VLOOKUP(B506,'GIÁ 1.4'!$D:$F,3,0)</f>
        <v>555556</v>
      </c>
      <c r="L506" s="21">
        <f t="shared" si="60"/>
        <v>0</v>
      </c>
    </row>
    <row r="507" spans="1:12" ht="16.8" x14ac:dyDescent="0.3">
      <c r="A507" s="3">
        <v>8</v>
      </c>
      <c r="B507" s="30" t="s">
        <v>2663</v>
      </c>
      <c r="C507" s="3" t="s">
        <v>6</v>
      </c>
      <c r="D507" s="64">
        <v>314900</v>
      </c>
      <c r="E507" s="1">
        <f t="shared" si="57"/>
        <v>340092</v>
      </c>
      <c r="F507" s="64">
        <v>629630</v>
      </c>
      <c r="G507" s="1">
        <f t="shared" si="58"/>
        <v>680000.4</v>
      </c>
      <c r="I507" s="6">
        <f>VLOOKUP(B507,'GIÁ 1.4'!$D:$F,2,0)</f>
        <v>314900</v>
      </c>
      <c r="J507" s="21">
        <f t="shared" si="59"/>
        <v>0</v>
      </c>
      <c r="K507" s="6">
        <f>VLOOKUP(B507,'GIÁ 1.4'!$D:$F,3,0)</f>
        <v>629630</v>
      </c>
      <c r="L507" s="21">
        <f t="shared" si="60"/>
        <v>0</v>
      </c>
    </row>
    <row r="508" spans="1:12" ht="16.8" x14ac:dyDescent="0.3">
      <c r="A508" s="3">
        <v>9</v>
      </c>
      <c r="B508" s="17" t="s">
        <v>2085</v>
      </c>
      <c r="C508" s="3" t="s">
        <v>6</v>
      </c>
      <c r="D508" s="68">
        <v>314900</v>
      </c>
      <c r="E508" s="19">
        <f t="shared" si="57"/>
        <v>340092</v>
      </c>
      <c r="F508" s="68">
        <f>G508/1.08</f>
        <v>629629.62962962955</v>
      </c>
      <c r="G508" s="19">
        <v>680000</v>
      </c>
      <c r="I508" s="6">
        <f>VLOOKUP(B508,'GIÁ 1.4'!$D:$F,2,0)</f>
        <v>314900</v>
      </c>
      <c r="J508" s="21">
        <f t="shared" si="59"/>
        <v>0</v>
      </c>
      <c r="K508" s="6">
        <f>VLOOKUP(B508,'GIÁ 1.4'!$D:$F,3,0)</f>
        <v>629630</v>
      </c>
      <c r="L508" s="21">
        <f t="shared" si="60"/>
        <v>-0.37037037045229226</v>
      </c>
    </row>
    <row r="509" spans="1:12" ht="16.8" x14ac:dyDescent="0.3">
      <c r="A509" s="3"/>
      <c r="B509" s="36" t="s">
        <v>15593</v>
      </c>
      <c r="C509" s="3"/>
      <c r="D509" s="64"/>
      <c r="E509" s="1">
        <f t="shared" si="57"/>
        <v>0</v>
      </c>
      <c r="F509" s="64"/>
      <c r="G509" s="1">
        <f t="shared" ref="G509:G525" si="61">F509*1.08</f>
        <v>0</v>
      </c>
      <c r="J509" s="21"/>
      <c r="L509" s="21"/>
    </row>
    <row r="510" spans="1:12" ht="16.8" x14ac:dyDescent="0.3">
      <c r="A510" s="3">
        <v>7</v>
      </c>
      <c r="B510" s="30" t="s">
        <v>2665</v>
      </c>
      <c r="C510" s="3" t="s">
        <v>6</v>
      </c>
      <c r="D510" s="64">
        <v>129000</v>
      </c>
      <c r="E510" s="1">
        <f t="shared" si="57"/>
        <v>139320</v>
      </c>
      <c r="F510" s="64">
        <v>258333</v>
      </c>
      <c r="G510" s="1">
        <f t="shared" si="61"/>
        <v>278999.64</v>
      </c>
      <c r="I510" s="6">
        <f>VLOOKUP(B510,'GIÁ 1.4'!$D:$F,2,0)</f>
        <v>129000</v>
      </c>
      <c r="J510" s="21">
        <f t="shared" ref="J510:J528" si="62">D510-I510</f>
        <v>0</v>
      </c>
      <c r="K510" s="6">
        <f>VLOOKUP(B510,'GIÁ 1.4'!$D:$F,3,0)</f>
        <v>258333</v>
      </c>
      <c r="L510" s="21">
        <f t="shared" ref="L510:L528" si="63">F510-K510</f>
        <v>0</v>
      </c>
    </row>
    <row r="511" spans="1:12" ht="16.8" x14ac:dyDescent="0.3">
      <c r="A511" s="3">
        <v>8</v>
      </c>
      <c r="B511" s="30" t="s">
        <v>2667</v>
      </c>
      <c r="C511" s="3" t="s">
        <v>6</v>
      </c>
      <c r="D511" s="64">
        <v>193000</v>
      </c>
      <c r="E511" s="1">
        <f t="shared" si="57"/>
        <v>208440</v>
      </c>
      <c r="F511" s="64">
        <v>386111</v>
      </c>
      <c r="G511" s="1">
        <f t="shared" si="61"/>
        <v>416999.88</v>
      </c>
      <c r="I511" s="6">
        <f>VLOOKUP(B511,'GIÁ 1.4'!$D:$F,2,0)</f>
        <v>193000</v>
      </c>
      <c r="J511" s="21">
        <f t="shared" si="62"/>
        <v>0</v>
      </c>
      <c r="K511" s="6">
        <f>VLOOKUP(B511,'GIÁ 1.4'!$D:$F,3,0)</f>
        <v>386111</v>
      </c>
      <c r="L511" s="21">
        <f t="shared" si="63"/>
        <v>0</v>
      </c>
    </row>
    <row r="512" spans="1:12" ht="16.8" x14ac:dyDescent="0.3">
      <c r="A512" s="3">
        <v>9</v>
      </c>
      <c r="B512" s="30" t="s">
        <v>2591</v>
      </c>
      <c r="C512" s="3" t="s">
        <v>6</v>
      </c>
      <c r="D512" s="64">
        <v>209000</v>
      </c>
      <c r="E512" s="1">
        <f t="shared" si="57"/>
        <v>225720.00000000003</v>
      </c>
      <c r="F512" s="64">
        <v>417593</v>
      </c>
      <c r="G512" s="1">
        <f t="shared" si="61"/>
        <v>451000.44</v>
      </c>
      <c r="I512" s="6">
        <f>VLOOKUP(B512,'GIÁ 1.4'!$D:$F,2,0)</f>
        <v>209000</v>
      </c>
      <c r="J512" s="21">
        <f t="shared" si="62"/>
        <v>0</v>
      </c>
      <c r="K512" s="6">
        <f>VLOOKUP(B512,'GIÁ 1.4'!$D:$F,3,0)</f>
        <v>417593</v>
      </c>
      <c r="L512" s="21">
        <f t="shared" si="63"/>
        <v>0</v>
      </c>
    </row>
    <row r="513" spans="1:12" ht="16.8" x14ac:dyDescent="0.3">
      <c r="A513" s="3">
        <v>10</v>
      </c>
      <c r="B513" s="30" t="s">
        <v>2908</v>
      </c>
      <c r="C513" s="3" t="s">
        <v>6</v>
      </c>
      <c r="D513" s="64">
        <v>226000</v>
      </c>
      <c r="E513" s="1">
        <f t="shared" si="57"/>
        <v>244080.00000000003</v>
      </c>
      <c r="F513" s="64">
        <v>451852</v>
      </c>
      <c r="G513" s="1">
        <f t="shared" si="61"/>
        <v>488000.16000000003</v>
      </c>
      <c r="I513" s="6">
        <f>VLOOKUP(B513,'GIÁ 1.4'!$D:$F,2,0)</f>
        <v>226000</v>
      </c>
      <c r="J513" s="21">
        <f t="shared" si="62"/>
        <v>0</v>
      </c>
      <c r="K513" s="6">
        <f>VLOOKUP(B513,'GIÁ 1.4'!$D:$F,3,0)</f>
        <v>451852</v>
      </c>
      <c r="L513" s="21">
        <f t="shared" si="63"/>
        <v>0</v>
      </c>
    </row>
    <row r="514" spans="1:12" ht="16.8" x14ac:dyDescent="0.3">
      <c r="A514" s="3">
        <v>11</v>
      </c>
      <c r="B514" s="30" t="s">
        <v>2958</v>
      </c>
      <c r="C514" s="3" t="s">
        <v>6</v>
      </c>
      <c r="D514" s="64">
        <v>230000</v>
      </c>
      <c r="E514" s="1">
        <f t="shared" si="57"/>
        <v>248400.00000000003</v>
      </c>
      <c r="F514" s="64">
        <v>460185</v>
      </c>
      <c r="G514" s="1">
        <f t="shared" si="61"/>
        <v>496999.80000000005</v>
      </c>
      <c r="I514" s="6">
        <f>VLOOKUP(B514,'GIÁ 1.4'!$D:$F,2,0)</f>
        <v>230000</v>
      </c>
      <c r="J514" s="21">
        <f t="shared" si="62"/>
        <v>0</v>
      </c>
      <c r="K514" s="6">
        <f>VLOOKUP(B514,'GIÁ 1.4'!$D:$F,3,0)</f>
        <v>460185</v>
      </c>
      <c r="L514" s="21">
        <f t="shared" si="63"/>
        <v>0</v>
      </c>
    </row>
    <row r="515" spans="1:12" ht="16.8" x14ac:dyDescent="0.3">
      <c r="A515" s="3">
        <v>12</v>
      </c>
      <c r="B515" s="30" t="s">
        <v>2567</v>
      </c>
      <c r="C515" s="3" t="s">
        <v>6</v>
      </c>
      <c r="D515" s="64">
        <v>148200</v>
      </c>
      <c r="E515" s="1">
        <f t="shared" si="57"/>
        <v>160056</v>
      </c>
      <c r="F515" s="64">
        <v>296296</v>
      </c>
      <c r="G515" s="1">
        <f t="shared" si="61"/>
        <v>319999.68</v>
      </c>
      <c r="I515" s="6">
        <f>VLOOKUP(B515,'GIÁ 1.4'!$D:$F,2,0)</f>
        <v>148200</v>
      </c>
      <c r="J515" s="21">
        <f t="shared" si="62"/>
        <v>0</v>
      </c>
      <c r="K515" s="6">
        <f>VLOOKUP(B515,'GIÁ 1.4'!$D:$F,3,0)</f>
        <v>296296</v>
      </c>
      <c r="L515" s="21">
        <f t="shared" si="63"/>
        <v>0</v>
      </c>
    </row>
    <row r="516" spans="1:12" ht="16.8" x14ac:dyDescent="0.3">
      <c r="A516" s="3">
        <v>13</v>
      </c>
      <c r="B516" s="30" t="s">
        <v>3402</v>
      </c>
      <c r="C516" s="3" t="s">
        <v>6</v>
      </c>
      <c r="D516" s="64">
        <v>106500</v>
      </c>
      <c r="E516" s="1">
        <f t="shared" si="57"/>
        <v>115020.00000000001</v>
      </c>
      <c r="F516" s="64">
        <v>212963</v>
      </c>
      <c r="G516" s="1">
        <f t="shared" si="61"/>
        <v>230000.04</v>
      </c>
      <c r="I516" s="6">
        <f>VLOOKUP(B516,'GIÁ 1.4'!$D:$F,2,0)</f>
        <v>106500</v>
      </c>
      <c r="J516" s="21">
        <f t="shared" si="62"/>
        <v>0</v>
      </c>
      <c r="K516" s="6">
        <f>VLOOKUP(B516,'GIÁ 1.4'!$D:$F,3,0)</f>
        <v>212963</v>
      </c>
      <c r="L516" s="21">
        <f t="shared" si="63"/>
        <v>0</v>
      </c>
    </row>
    <row r="517" spans="1:12" ht="16.8" x14ac:dyDescent="0.3">
      <c r="A517" s="3">
        <v>14</v>
      </c>
      <c r="B517" s="30" t="s">
        <v>1778</v>
      </c>
      <c r="C517" s="3" t="s">
        <v>6</v>
      </c>
      <c r="D517" s="64">
        <v>115000</v>
      </c>
      <c r="E517" s="1">
        <f t="shared" si="57"/>
        <v>124200.00000000001</v>
      </c>
      <c r="F517" s="64">
        <v>229630</v>
      </c>
      <c r="G517" s="1">
        <f t="shared" si="61"/>
        <v>248000.40000000002</v>
      </c>
      <c r="I517" s="6">
        <f>VLOOKUP(B517,'GIÁ 1.4'!$D:$F,2,0)</f>
        <v>115000</v>
      </c>
      <c r="J517" s="21">
        <f t="shared" si="62"/>
        <v>0</v>
      </c>
      <c r="K517" s="6">
        <f>VLOOKUP(B517,'GIÁ 1.4'!$D:$F,3,0)</f>
        <v>229630</v>
      </c>
      <c r="L517" s="21">
        <f t="shared" si="63"/>
        <v>0</v>
      </c>
    </row>
    <row r="518" spans="1:12" ht="16.8" x14ac:dyDescent="0.3">
      <c r="A518" s="3">
        <v>15</v>
      </c>
      <c r="B518" s="30" t="s">
        <v>1730</v>
      </c>
      <c r="C518" s="3" t="s">
        <v>6</v>
      </c>
      <c r="D518" s="64">
        <v>21000</v>
      </c>
      <c r="E518" s="1">
        <f t="shared" si="57"/>
        <v>22680</v>
      </c>
      <c r="F518" s="64">
        <v>41667</v>
      </c>
      <c r="G518" s="1">
        <f t="shared" si="61"/>
        <v>45000.36</v>
      </c>
      <c r="I518" s="6">
        <f>VLOOKUP(B518,'GIÁ 1.4'!$D:$F,2,0)</f>
        <v>21000</v>
      </c>
      <c r="J518" s="21">
        <f t="shared" si="62"/>
        <v>0</v>
      </c>
      <c r="K518" s="6">
        <f>VLOOKUP(B518,'GIÁ 1.4'!$D:$F,3,0)</f>
        <v>41667</v>
      </c>
      <c r="L518" s="21">
        <f t="shared" si="63"/>
        <v>0</v>
      </c>
    </row>
    <row r="519" spans="1:12" ht="16.8" x14ac:dyDescent="0.3">
      <c r="A519" s="3">
        <v>16</v>
      </c>
      <c r="B519" s="30" t="s">
        <v>1545</v>
      </c>
      <c r="C519" s="3" t="s">
        <v>6</v>
      </c>
      <c r="D519" s="64">
        <v>21000</v>
      </c>
      <c r="E519" s="1">
        <f t="shared" si="57"/>
        <v>22680</v>
      </c>
      <c r="F519" s="64">
        <v>41667</v>
      </c>
      <c r="G519" s="1">
        <f t="shared" si="61"/>
        <v>45000.36</v>
      </c>
      <c r="I519" s="6">
        <f>VLOOKUP(B519,'GIÁ 1.4'!$D:$F,2,0)</f>
        <v>21000</v>
      </c>
      <c r="J519" s="21">
        <f t="shared" si="62"/>
        <v>0</v>
      </c>
      <c r="K519" s="6">
        <f>VLOOKUP(B519,'GIÁ 1.4'!$D:$F,3,0)</f>
        <v>41667</v>
      </c>
      <c r="L519" s="21">
        <f t="shared" si="63"/>
        <v>0</v>
      </c>
    </row>
    <row r="520" spans="1:12" ht="16.8" x14ac:dyDescent="0.3">
      <c r="A520" s="3">
        <v>17</v>
      </c>
      <c r="B520" s="30" t="s">
        <v>2027</v>
      </c>
      <c r="C520" s="3" t="s">
        <v>6</v>
      </c>
      <c r="D520" s="64">
        <v>48000</v>
      </c>
      <c r="E520" s="1">
        <f t="shared" si="57"/>
        <v>51840</v>
      </c>
      <c r="F520" s="64">
        <v>96296</v>
      </c>
      <c r="G520" s="1">
        <f t="shared" si="61"/>
        <v>103999.68000000001</v>
      </c>
      <c r="I520" s="6">
        <f>VLOOKUP(B520,'GIÁ 1.4'!$D:$F,2,0)</f>
        <v>48000</v>
      </c>
      <c r="J520" s="21">
        <f t="shared" si="62"/>
        <v>0</v>
      </c>
      <c r="K520" s="6">
        <f>VLOOKUP(B520,'GIÁ 1.4'!$D:$F,3,0)</f>
        <v>96296</v>
      </c>
      <c r="L520" s="21">
        <f t="shared" si="63"/>
        <v>0</v>
      </c>
    </row>
    <row r="521" spans="1:12" ht="16.8" x14ac:dyDescent="0.3">
      <c r="A521" s="3">
        <v>18</v>
      </c>
      <c r="B521" s="30" t="s">
        <v>3276</v>
      </c>
      <c r="C521" s="3" t="s">
        <v>6</v>
      </c>
      <c r="D521" s="64">
        <v>57000</v>
      </c>
      <c r="E521" s="1">
        <f t="shared" si="57"/>
        <v>61560.000000000007</v>
      </c>
      <c r="F521" s="64">
        <v>113889</v>
      </c>
      <c r="G521" s="1">
        <f t="shared" si="61"/>
        <v>123000.12000000001</v>
      </c>
      <c r="I521" s="6">
        <f>VLOOKUP(B521,'GIÁ 1.4'!$D:$F,2,0)</f>
        <v>57000</v>
      </c>
      <c r="J521" s="21">
        <f t="shared" si="62"/>
        <v>0</v>
      </c>
      <c r="K521" s="6">
        <f>VLOOKUP(B521,'GIÁ 1.4'!$D:$F,3,0)</f>
        <v>113889</v>
      </c>
      <c r="L521" s="21">
        <f t="shared" si="63"/>
        <v>0</v>
      </c>
    </row>
    <row r="522" spans="1:12" ht="16.8" x14ac:dyDescent="0.3">
      <c r="A522" s="3">
        <v>19</v>
      </c>
      <c r="B522" s="30" t="s">
        <v>12245</v>
      </c>
      <c r="C522" s="3" t="s">
        <v>6</v>
      </c>
      <c r="D522" s="64">
        <v>250000</v>
      </c>
      <c r="E522" s="1">
        <f t="shared" si="57"/>
        <v>270000</v>
      </c>
      <c r="F522" s="64">
        <v>500000</v>
      </c>
      <c r="G522" s="1">
        <f t="shared" si="61"/>
        <v>540000</v>
      </c>
      <c r="I522" s="6">
        <f>VLOOKUP(B522,'GIÁ 1.4'!$D:$F,2,0)</f>
        <v>250000</v>
      </c>
      <c r="J522" s="21">
        <f t="shared" si="62"/>
        <v>0</v>
      </c>
      <c r="K522" s="6">
        <f>VLOOKUP(B522,'GIÁ 1.4'!$D:$F,3,0)</f>
        <v>500000</v>
      </c>
      <c r="L522" s="21">
        <f t="shared" si="63"/>
        <v>0</v>
      </c>
    </row>
    <row r="523" spans="1:12" ht="16.8" x14ac:dyDescent="0.3">
      <c r="A523" s="3">
        <v>20</v>
      </c>
      <c r="B523" s="30" t="s">
        <v>11478</v>
      </c>
      <c r="C523" s="3" t="s">
        <v>6</v>
      </c>
      <c r="D523" s="64">
        <v>450000</v>
      </c>
      <c r="E523" s="1">
        <f t="shared" si="57"/>
        <v>486000.00000000006</v>
      </c>
      <c r="F523" s="64">
        <v>900000</v>
      </c>
      <c r="G523" s="1">
        <f t="shared" si="61"/>
        <v>972000.00000000012</v>
      </c>
      <c r="I523" s="6">
        <f>VLOOKUP(B523,'GIÁ 1.4'!$D:$F,2,0)</f>
        <v>450000</v>
      </c>
      <c r="J523" s="21">
        <f t="shared" si="62"/>
        <v>0</v>
      </c>
      <c r="K523" s="6">
        <f>VLOOKUP(B523,'GIÁ 1.4'!$D:$F,3,0)</f>
        <v>900000</v>
      </c>
      <c r="L523" s="21">
        <f t="shared" si="63"/>
        <v>0</v>
      </c>
    </row>
    <row r="524" spans="1:12" ht="16.8" x14ac:dyDescent="0.3">
      <c r="A524" s="3">
        <v>21</v>
      </c>
      <c r="B524" s="30" t="s">
        <v>733</v>
      </c>
      <c r="C524" s="3" t="s">
        <v>6</v>
      </c>
      <c r="D524" s="64">
        <v>200000</v>
      </c>
      <c r="E524" s="1">
        <f t="shared" si="57"/>
        <v>216000</v>
      </c>
      <c r="F524" s="64">
        <v>400000</v>
      </c>
      <c r="G524" s="1">
        <f t="shared" si="61"/>
        <v>432000</v>
      </c>
      <c r="I524" s="6">
        <f>VLOOKUP(B524,'GIÁ 1.4'!$D:$F,2,0)</f>
        <v>200000</v>
      </c>
      <c r="J524" s="21">
        <f t="shared" si="62"/>
        <v>0</v>
      </c>
      <c r="K524" s="6">
        <f>VLOOKUP(B524,'GIÁ 1.4'!$D:$F,3,0)</f>
        <v>400000</v>
      </c>
      <c r="L524" s="21">
        <f t="shared" si="63"/>
        <v>0</v>
      </c>
    </row>
    <row r="525" spans="1:12" ht="16.8" x14ac:dyDescent="0.3">
      <c r="A525" s="3">
        <v>22</v>
      </c>
      <c r="B525" s="30" t="s">
        <v>1796</v>
      </c>
      <c r="C525" s="3" t="s">
        <v>6</v>
      </c>
      <c r="D525" s="64">
        <v>290000</v>
      </c>
      <c r="E525" s="1">
        <f t="shared" si="57"/>
        <v>313200</v>
      </c>
      <c r="F525" s="64">
        <v>579630</v>
      </c>
      <c r="G525" s="1">
        <f t="shared" si="61"/>
        <v>626000.4</v>
      </c>
      <c r="I525" s="6">
        <f>VLOOKUP(B525,'GIÁ 1.4'!$D:$F,2,0)</f>
        <v>290000</v>
      </c>
      <c r="J525" s="21">
        <f t="shared" si="62"/>
        <v>0</v>
      </c>
      <c r="K525" s="6">
        <f>VLOOKUP(B525,'GIÁ 1.4'!$D:$F,3,0)</f>
        <v>579630</v>
      </c>
      <c r="L525" s="21">
        <f t="shared" si="63"/>
        <v>0</v>
      </c>
    </row>
    <row r="526" spans="1:12" ht="16.8" x14ac:dyDescent="0.3">
      <c r="A526" s="3">
        <v>23</v>
      </c>
      <c r="B526" s="2" t="s">
        <v>5975</v>
      </c>
      <c r="C526" s="2" t="s">
        <v>6</v>
      </c>
      <c r="D526" s="66">
        <v>120000</v>
      </c>
      <c r="E526" s="5">
        <f t="shared" si="57"/>
        <v>129600.00000000001</v>
      </c>
      <c r="F526" s="66">
        <f>G526/1.08</f>
        <v>239814.8148148148</v>
      </c>
      <c r="G526" s="5">
        <v>259000</v>
      </c>
      <c r="I526" s="6">
        <f>VLOOKUP(B526,'GIÁ 1.4'!$D:$F,2,0)</f>
        <v>120000</v>
      </c>
      <c r="J526" s="21">
        <f t="shared" si="62"/>
        <v>0</v>
      </c>
      <c r="K526" s="6">
        <f>VLOOKUP(B526,'GIÁ 1.4'!$D:$F,3,0)</f>
        <v>239815</v>
      </c>
      <c r="L526" s="21">
        <f t="shared" si="63"/>
        <v>-0.1851851851970423</v>
      </c>
    </row>
    <row r="527" spans="1:12" ht="16.8" x14ac:dyDescent="0.3">
      <c r="A527" s="3">
        <v>24</v>
      </c>
      <c r="B527" s="2" t="s">
        <v>2868</v>
      </c>
      <c r="C527" s="2" t="s">
        <v>6</v>
      </c>
      <c r="D527" s="66">
        <v>160000</v>
      </c>
      <c r="E527" s="5">
        <f t="shared" si="57"/>
        <v>172800</v>
      </c>
      <c r="F527" s="66">
        <f>G527/1.08</f>
        <v>320370.37037037034</v>
      </c>
      <c r="G527" s="5">
        <v>346000</v>
      </c>
      <c r="I527" s="6">
        <f>VLOOKUP(B527,'GIÁ 1.4'!$D:$F,2,0)</f>
        <v>160000</v>
      </c>
      <c r="J527" s="21">
        <f t="shared" si="62"/>
        <v>0</v>
      </c>
      <c r="K527" s="6">
        <f>VLOOKUP(B527,'GIÁ 1.4'!$D:$F,3,0)</f>
        <v>320370</v>
      </c>
      <c r="L527" s="21">
        <f t="shared" si="63"/>
        <v>0.37037037033587694</v>
      </c>
    </row>
    <row r="528" spans="1:12" ht="16.8" x14ac:dyDescent="0.3">
      <c r="A528" s="3">
        <v>25</v>
      </c>
      <c r="B528" s="2" t="s">
        <v>3408</v>
      </c>
      <c r="C528" s="2" t="s">
        <v>6</v>
      </c>
      <c r="D528" s="66">
        <v>225000</v>
      </c>
      <c r="E528" s="5">
        <f t="shared" si="57"/>
        <v>243000.00000000003</v>
      </c>
      <c r="F528" s="66">
        <f>G528/1.08</f>
        <v>449999.99999999994</v>
      </c>
      <c r="G528" s="5">
        <v>486000</v>
      </c>
      <c r="I528" s="6">
        <f>VLOOKUP(B528,'GIÁ 1.4'!$D:$F,2,0)</f>
        <v>225000</v>
      </c>
      <c r="J528" s="21">
        <f t="shared" si="62"/>
        <v>0</v>
      </c>
      <c r="K528" s="6">
        <f>VLOOKUP(B528,'GIÁ 1.4'!$D:$F,3,0)</f>
        <v>450000</v>
      </c>
      <c r="L528" s="21">
        <f t="shared" si="63"/>
        <v>0</v>
      </c>
    </row>
    <row r="529" spans="1:12" ht="16.8" x14ac:dyDescent="0.3">
      <c r="A529" s="3"/>
      <c r="B529" s="36" t="s">
        <v>15594</v>
      </c>
      <c r="C529" s="3"/>
      <c r="D529" s="64"/>
      <c r="E529" s="1">
        <f t="shared" si="57"/>
        <v>0</v>
      </c>
      <c r="F529" s="64"/>
      <c r="G529" s="1">
        <f t="shared" ref="G529:G540" si="64">F529*1.08</f>
        <v>0</v>
      </c>
      <c r="J529" s="21"/>
      <c r="L529" s="21"/>
    </row>
    <row r="530" spans="1:12" ht="16.8" x14ac:dyDescent="0.3">
      <c r="A530" s="3">
        <v>1</v>
      </c>
      <c r="B530" s="30" t="s">
        <v>12543</v>
      </c>
      <c r="C530" s="3" t="s">
        <v>6</v>
      </c>
      <c r="D530" s="64">
        <v>183000</v>
      </c>
      <c r="E530" s="1">
        <f t="shared" si="57"/>
        <v>197640</v>
      </c>
      <c r="F530" s="64">
        <v>330000</v>
      </c>
      <c r="G530" s="1">
        <f t="shared" si="64"/>
        <v>356400</v>
      </c>
      <c r="I530" s="6">
        <f>VLOOKUP(B530,'GIÁ 1.4'!$D:$F,2,0)</f>
        <v>183000</v>
      </c>
      <c r="J530" s="21">
        <f t="shared" ref="J530:J542" si="65">D530-I530</f>
        <v>0</v>
      </c>
      <c r="K530" s="6">
        <f>VLOOKUP(B530,'GIÁ 1.4'!$D:$F,3,0)</f>
        <v>330000</v>
      </c>
      <c r="L530" s="21">
        <f t="shared" ref="L530:L542" si="66">F530-K530</f>
        <v>0</v>
      </c>
    </row>
    <row r="531" spans="1:12" ht="16.8" x14ac:dyDescent="0.3">
      <c r="A531" s="3">
        <v>2</v>
      </c>
      <c r="B531" s="30" t="s">
        <v>9252</v>
      </c>
      <c r="C531" s="3" t="s">
        <v>6</v>
      </c>
      <c r="D531" s="64">
        <v>162000</v>
      </c>
      <c r="E531" s="1">
        <f t="shared" si="57"/>
        <v>174960</v>
      </c>
      <c r="F531" s="64">
        <v>290000</v>
      </c>
      <c r="G531" s="1">
        <f t="shared" si="64"/>
        <v>313200</v>
      </c>
      <c r="I531" s="6">
        <f>VLOOKUP(B531,'GIÁ 1.4'!$D:$F,2,0)</f>
        <v>162000</v>
      </c>
      <c r="J531" s="21">
        <f t="shared" si="65"/>
        <v>0</v>
      </c>
      <c r="K531" s="6">
        <f>VLOOKUP(B531,'GIÁ 1.4'!$D:$F,3,0)</f>
        <v>290000</v>
      </c>
      <c r="L531" s="21">
        <f t="shared" si="66"/>
        <v>0</v>
      </c>
    </row>
    <row r="532" spans="1:12" ht="16.8" x14ac:dyDescent="0.3">
      <c r="A532" s="3">
        <v>3</v>
      </c>
      <c r="B532" s="30" t="s">
        <v>7361</v>
      </c>
      <c r="C532" s="3" t="s">
        <v>6</v>
      </c>
      <c r="D532" s="64">
        <v>115000</v>
      </c>
      <c r="E532" s="1">
        <f t="shared" si="57"/>
        <v>124200.00000000001</v>
      </c>
      <c r="F532" s="64">
        <v>230000</v>
      </c>
      <c r="G532" s="1">
        <f t="shared" si="64"/>
        <v>248400.00000000003</v>
      </c>
      <c r="I532" s="6">
        <f>VLOOKUP(B532,'GIÁ 1.4'!$D:$F,2,0)</f>
        <v>115000</v>
      </c>
      <c r="J532" s="21">
        <f t="shared" si="65"/>
        <v>0</v>
      </c>
      <c r="K532" s="6">
        <f>VLOOKUP(B532,'GIÁ 1.4'!$D:$F,3,0)</f>
        <v>230000</v>
      </c>
      <c r="L532" s="21">
        <f t="shared" si="66"/>
        <v>0</v>
      </c>
    </row>
    <row r="533" spans="1:12" ht="16.8" x14ac:dyDescent="0.3">
      <c r="A533" s="3">
        <v>4</v>
      </c>
      <c r="B533" s="30" t="s">
        <v>7654</v>
      </c>
      <c r="C533" s="3" t="s">
        <v>6</v>
      </c>
      <c r="D533" s="64">
        <v>126000</v>
      </c>
      <c r="E533" s="1">
        <f t="shared" si="57"/>
        <v>136080</v>
      </c>
      <c r="F533" s="64">
        <v>252000</v>
      </c>
      <c r="G533" s="1">
        <f t="shared" si="64"/>
        <v>272160</v>
      </c>
      <c r="I533" s="6">
        <f>VLOOKUP(B533,'GIÁ 1.4'!$D:$F,2,0)</f>
        <v>126000</v>
      </c>
      <c r="J533" s="21">
        <f t="shared" si="65"/>
        <v>0</v>
      </c>
      <c r="K533" s="6">
        <f>VLOOKUP(B533,'GIÁ 1.4'!$D:$F,3,0)</f>
        <v>252000</v>
      </c>
      <c r="L533" s="21">
        <f t="shared" si="66"/>
        <v>0</v>
      </c>
    </row>
    <row r="534" spans="1:12" ht="16.8" x14ac:dyDescent="0.3">
      <c r="A534" s="3">
        <v>5</v>
      </c>
      <c r="B534" s="30" t="s">
        <v>11619</v>
      </c>
      <c r="C534" s="3" t="s">
        <v>6</v>
      </c>
      <c r="D534" s="64">
        <v>136000</v>
      </c>
      <c r="E534" s="1">
        <f t="shared" si="57"/>
        <v>146880</v>
      </c>
      <c r="F534" s="64">
        <v>272000</v>
      </c>
      <c r="G534" s="1">
        <f t="shared" si="64"/>
        <v>293760</v>
      </c>
      <c r="I534" s="6">
        <f>VLOOKUP(B534,'GIÁ 1.4'!$D:$F,2,0)</f>
        <v>136000</v>
      </c>
      <c r="J534" s="21">
        <f t="shared" si="65"/>
        <v>0</v>
      </c>
      <c r="K534" s="6">
        <f>VLOOKUP(B534,'GIÁ 1.4'!$D:$F,3,0)</f>
        <v>272000</v>
      </c>
      <c r="L534" s="21">
        <f t="shared" si="66"/>
        <v>0</v>
      </c>
    </row>
    <row r="535" spans="1:12" ht="16.8" x14ac:dyDescent="0.3">
      <c r="A535" s="3">
        <v>6</v>
      </c>
      <c r="B535" s="30" t="s">
        <v>15595</v>
      </c>
      <c r="C535" s="3" t="s">
        <v>6</v>
      </c>
      <c r="D535" s="64">
        <v>88700</v>
      </c>
      <c r="E535" s="1">
        <f t="shared" si="57"/>
        <v>95796</v>
      </c>
      <c r="F535" s="64">
        <v>176852</v>
      </c>
      <c r="G535" s="1">
        <f t="shared" si="64"/>
        <v>191000.16</v>
      </c>
      <c r="I535" s="6">
        <f>VLOOKUP(B535,'GIÁ 1.4'!$D:$F,2,0)</f>
        <v>88700</v>
      </c>
      <c r="J535" s="21">
        <f t="shared" si="65"/>
        <v>0</v>
      </c>
      <c r="K535" s="6">
        <f>VLOOKUP(B535,'GIÁ 1.4'!$D:$F,3,0)</f>
        <v>176852</v>
      </c>
      <c r="L535" s="21">
        <f t="shared" si="66"/>
        <v>0</v>
      </c>
    </row>
    <row r="536" spans="1:12" ht="16.8" x14ac:dyDescent="0.3">
      <c r="A536" s="3">
        <v>7</v>
      </c>
      <c r="B536" s="30" t="s">
        <v>15596</v>
      </c>
      <c r="C536" s="3" t="s">
        <v>6</v>
      </c>
      <c r="D536" s="64">
        <v>88700</v>
      </c>
      <c r="E536" s="1">
        <f t="shared" si="57"/>
        <v>95796</v>
      </c>
      <c r="F536" s="64">
        <v>176852</v>
      </c>
      <c r="G536" s="1">
        <f t="shared" si="64"/>
        <v>191000.16</v>
      </c>
      <c r="I536" s="6">
        <f>VLOOKUP(B536,'GIÁ 1.4'!$D:$F,2,0)</f>
        <v>88700</v>
      </c>
      <c r="J536" s="21">
        <f t="shared" si="65"/>
        <v>0</v>
      </c>
      <c r="K536" s="6">
        <f>VLOOKUP(B536,'GIÁ 1.4'!$D:$F,3,0)</f>
        <v>176852</v>
      </c>
      <c r="L536" s="21">
        <f t="shared" si="66"/>
        <v>0</v>
      </c>
    </row>
    <row r="537" spans="1:12" ht="16.8" x14ac:dyDescent="0.3">
      <c r="A537" s="3">
        <v>8</v>
      </c>
      <c r="B537" s="30" t="s">
        <v>11631</v>
      </c>
      <c r="C537" s="3" t="s">
        <v>6</v>
      </c>
      <c r="D537" s="64">
        <v>88700</v>
      </c>
      <c r="E537" s="1">
        <f t="shared" si="57"/>
        <v>95796</v>
      </c>
      <c r="F537" s="64">
        <v>176852</v>
      </c>
      <c r="G537" s="1">
        <f t="shared" si="64"/>
        <v>191000.16</v>
      </c>
      <c r="I537" s="6">
        <f>VLOOKUP(B537,'GIÁ 1.4'!$D:$F,2,0)</f>
        <v>88700</v>
      </c>
      <c r="J537" s="21">
        <f t="shared" si="65"/>
        <v>0</v>
      </c>
      <c r="K537" s="6">
        <f>VLOOKUP(B537,'GIÁ 1.4'!$D:$F,3,0)</f>
        <v>176852</v>
      </c>
      <c r="L537" s="21">
        <f t="shared" si="66"/>
        <v>0</v>
      </c>
    </row>
    <row r="538" spans="1:12" ht="16.8" x14ac:dyDescent="0.3">
      <c r="A538" s="3">
        <v>9</v>
      </c>
      <c r="B538" s="30" t="s">
        <v>14590</v>
      </c>
      <c r="C538" s="3" t="s">
        <v>6</v>
      </c>
      <c r="D538" s="64">
        <v>191000</v>
      </c>
      <c r="E538" s="1">
        <f t="shared" si="57"/>
        <v>206280</v>
      </c>
      <c r="F538" s="64">
        <v>382407</v>
      </c>
      <c r="G538" s="1">
        <f t="shared" si="64"/>
        <v>412999.56000000006</v>
      </c>
      <c r="I538" s="6">
        <f>VLOOKUP(B538,'GIÁ 1.4'!$D:$F,2,0)</f>
        <v>191000</v>
      </c>
      <c r="J538" s="21">
        <f t="shared" si="65"/>
        <v>0</v>
      </c>
      <c r="K538" s="6">
        <f>VLOOKUP(B538,'GIÁ 1.4'!$D:$F,3,0)</f>
        <v>382407</v>
      </c>
      <c r="L538" s="21">
        <f t="shared" si="66"/>
        <v>0</v>
      </c>
    </row>
    <row r="539" spans="1:12" ht="16.8" x14ac:dyDescent="0.3">
      <c r="A539" s="3">
        <v>10</v>
      </c>
      <c r="B539" s="30" t="s">
        <v>11388</v>
      </c>
      <c r="C539" s="3" t="s">
        <v>6</v>
      </c>
      <c r="D539" s="64">
        <v>229000</v>
      </c>
      <c r="E539" s="1">
        <f t="shared" si="57"/>
        <v>247320.00000000003</v>
      </c>
      <c r="F539" s="64">
        <v>458333</v>
      </c>
      <c r="G539" s="1">
        <f t="shared" si="64"/>
        <v>494999.64</v>
      </c>
      <c r="I539" s="6">
        <f>VLOOKUP(B539,'GIÁ 1.4'!$D:$F,2,0)</f>
        <v>229000</v>
      </c>
      <c r="J539" s="21">
        <f t="shared" si="65"/>
        <v>0</v>
      </c>
      <c r="K539" s="6">
        <f>VLOOKUP(B539,'GIÁ 1.4'!$D:$F,3,0)</f>
        <v>458333</v>
      </c>
      <c r="L539" s="21">
        <f t="shared" si="66"/>
        <v>0</v>
      </c>
    </row>
    <row r="540" spans="1:12" ht="16.8" x14ac:dyDescent="0.3">
      <c r="A540" s="3">
        <v>11</v>
      </c>
      <c r="B540" s="30" t="s">
        <v>9434</v>
      </c>
      <c r="C540" s="3" t="s">
        <v>6</v>
      </c>
      <c r="D540" s="64">
        <v>272000</v>
      </c>
      <c r="E540" s="1">
        <f t="shared" si="57"/>
        <v>293760</v>
      </c>
      <c r="F540" s="64">
        <v>544444</v>
      </c>
      <c r="G540" s="1">
        <f t="shared" si="64"/>
        <v>587999.52</v>
      </c>
      <c r="I540" s="6">
        <f>VLOOKUP(B540,'GIÁ 1.4'!$D:$F,2,0)</f>
        <v>272000</v>
      </c>
      <c r="J540" s="21">
        <f t="shared" si="65"/>
        <v>0</v>
      </c>
      <c r="K540" s="6">
        <f>VLOOKUP(B540,'GIÁ 1.4'!$D:$F,3,0)</f>
        <v>544444</v>
      </c>
      <c r="L540" s="21">
        <f t="shared" si="66"/>
        <v>0</v>
      </c>
    </row>
    <row r="541" spans="1:12" ht="16.8" x14ac:dyDescent="0.3">
      <c r="A541" s="3">
        <v>12</v>
      </c>
      <c r="B541" s="2" t="s">
        <v>14179</v>
      </c>
      <c r="C541" s="33" t="s">
        <v>6</v>
      </c>
      <c r="D541" s="66">
        <v>267000</v>
      </c>
      <c r="E541" s="5">
        <f t="shared" si="57"/>
        <v>288360</v>
      </c>
      <c r="F541" s="66">
        <v>534259</v>
      </c>
      <c r="G541" s="5">
        <v>605000</v>
      </c>
      <c r="I541" s="6">
        <f>VLOOKUP(B541,'GIÁ 1.4'!$D:$F,2,0)</f>
        <v>267000</v>
      </c>
      <c r="J541" s="21">
        <f t="shared" si="65"/>
        <v>0</v>
      </c>
      <c r="K541" s="6">
        <f>VLOOKUP(B541,'GIÁ 1.4'!$D:$F,3,0)</f>
        <v>534259</v>
      </c>
      <c r="L541" s="21">
        <f t="shared" si="66"/>
        <v>0</v>
      </c>
    </row>
    <row r="542" spans="1:12" ht="16.8" x14ac:dyDescent="0.3">
      <c r="A542" s="3">
        <v>13</v>
      </c>
      <c r="B542" s="2" t="s">
        <v>10817</v>
      </c>
      <c r="C542" s="33" t="s">
        <v>6</v>
      </c>
      <c r="D542" s="66">
        <v>319000</v>
      </c>
      <c r="E542" s="5">
        <f t="shared" si="57"/>
        <v>344520</v>
      </c>
      <c r="F542" s="66">
        <v>637963</v>
      </c>
      <c r="G542" s="5">
        <v>724000</v>
      </c>
      <c r="I542" s="6">
        <f>VLOOKUP(B542,'GIÁ 1.4'!$D:$F,2,0)</f>
        <v>319000</v>
      </c>
      <c r="J542" s="21">
        <f t="shared" si="65"/>
        <v>0</v>
      </c>
      <c r="K542" s="6">
        <f>VLOOKUP(B542,'GIÁ 1.4'!$D:$F,3,0)</f>
        <v>637963</v>
      </c>
      <c r="L542" s="21">
        <f t="shared" si="66"/>
        <v>0</v>
      </c>
    </row>
    <row r="543" spans="1:12" ht="16.8" x14ac:dyDescent="0.3">
      <c r="A543" s="3"/>
      <c r="B543" s="36" t="s">
        <v>15597</v>
      </c>
      <c r="C543" s="3"/>
      <c r="D543" s="64"/>
      <c r="E543" s="1">
        <f t="shared" si="57"/>
        <v>0</v>
      </c>
      <c r="F543" s="64">
        <v>0</v>
      </c>
      <c r="G543" s="1">
        <f t="shared" ref="G543:G557" si="67">F543*1.08</f>
        <v>0</v>
      </c>
      <c r="J543" s="21"/>
      <c r="L543" s="21"/>
    </row>
    <row r="544" spans="1:12" ht="16.8" x14ac:dyDescent="0.3">
      <c r="A544" s="3">
        <v>1</v>
      </c>
      <c r="B544" s="30" t="s">
        <v>3204</v>
      </c>
      <c r="C544" s="3" t="s">
        <v>6</v>
      </c>
      <c r="D544" s="64">
        <v>829000</v>
      </c>
      <c r="E544" s="1">
        <f t="shared" si="57"/>
        <v>895320.00000000012</v>
      </c>
      <c r="F544" s="64">
        <v>1658333</v>
      </c>
      <c r="G544" s="1">
        <f t="shared" si="67"/>
        <v>1790999.6400000001</v>
      </c>
      <c r="I544" s="6">
        <f>VLOOKUP(B544,'GIÁ 1.4'!$D:$F,2,0)</f>
        <v>829000</v>
      </c>
      <c r="J544" s="21">
        <f t="shared" ref="J544:J565" si="68">D544-I544</f>
        <v>0</v>
      </c>
      <c r="K544" s="6">
        <f>VLOOKUP(B544,'GIÁ 1.4'!$D:$F,3,0)</f>
        <v>1658333</v>
      </c>
      <c r="L544" s="21">
        <f t="shared" ref="L544:L565" si="69">F544-K544</f>
        <v>0</v>
      </c>
    </row>
    <row r="545" spans="1:12" ht="16.8" x14ac:dyDescent="0.3">
      <c r="A545" s="3">
        <v>2</v>
      </c>
      <c r="B545" s="30" t="s">
        <v>4422</v>
      </c>
      <c r="C545" s="3" t="s">
        <v>6</v>
      </c>
      <c r="D545" s="64">
        <v>1240000</v>
      </c>
      <c r="E545" s="1">
        <f t="shared" si="57"/>
        <v>1339200</v>
      </c>
      <c r="F545" s="64">
        <v>2479630</v>
      </c>
      <c r="G545" s="1">
        <f t="shared" si="67"/>
        <v>2678000.4000000004</v>
      </c>
      <c r="I545" s="6">
        <f>VLOOKUP(B545,'GIÁ 1.4'!$D:$F,2,0)</f>
        <v>1240000</v>
      </c>
      <c r="J545" s="21">
        <f t="shared" si="68"/>
        <v>0</v>
      </c>
      <c r="K545" s="6">
        <f>VLOOKUP(B545,'GIÁ 1.4'!$D:$F,3,0)</f>
        <v>2479630</v>
      </c>
      <c r="L545" s="21">
        <f t="shared" si="69"/>
        <v>0</v>
      </c>
    </row>
    <row r="546" spans="1:12" ht="16.8" x14ac:dyDescent="0.3">
      <c r="A546" s="3">
        <v>3</v>
      </c>
      <c r="B546" s="30" t="s">
        <v>5171</v>
      </c>
      <c r="C546" s="3" t="s">
        <v>6</v>
      </c>
      <c r="D546" s="64">
        <v>1260000</v>
      </c>
      <c r="E546" s="1">
        <f t="shared" si="57"/>
        <v>1360800</v>
      </c>
      <c r="F546" s="64">
        <v>2520370</v>
      </c>
      <c r="G546" s="1">
        <f t="shared" si="67"/>
        <v>2721999.6</v>
      </c>
      <c r="I546" s="6">
        <f>VLOOKUP(B546,'GIÁ 1.4'!$D:$F,2,0)</f>
        <v>1260000</v>
      </c>
      <c r="J546" s="21">
        <f t="shared" si="68"/>
        <v>0</v>
      </c>
      <c r="K546" s="6">
        <f>VLOOKUP(B546,'GIÁ 1.4'!$D:$F,3,0)</f>
        <v>2520370</v>
      </c>
      <c r="L546" s="21">
        <f t="shared" si="69"/>
        <v>0</v>
      </c>
    </row>
    <row r="547" spans="1:12" ht="16.8" x14ac:dyDescent="0.3">
      <c r="A547" s="3">
        <v>4</v>
      </c>
      <c r="B547" s="30" t="s">
        <v>3206</v>
      </c>
      <c r="C547" s="3" t="s">
        <v>6</v>
      </c>
      <c r="D547" s="64">
        <v>1602000</v>
      </c>
      <c r="E547" s="1">
        <f t="shared" si="57"/>
        <v>1730160</v>
      </c>
      <c r="F547" s="64">
        <v>3203704</v>
      </c>
      <c r="G547" s="1">
        <f t="shared" si="67"/>
        <v>3460000.3200000003</v>
      </c>
      <c r="I547" s="6">
        <f>VLOOKUP(B547,'GIÁ 1.4'!$D:$F,2,0)</f>
        <v>1602000</v>
      </c>
      <c r="J547" s="21">
        <f t="shared" si="68"/>
        <v>0</v>
      </c>
      <c r="K547" s="6">
        <f>VLOOKUP(B547,'GIÁ 1.4'!$D:$F,3,0)</f>
        <v>3203704</v>
      </c>
      <c r="L547" s="21">
        <f t="shared" si="69"/>
        <v>0</v>
      </c>
    </row>
    <row r="548" spans="1:12" ht="16.8" x14ac:dyDescent="0.3">
      <c r="A548" s="3">
        <v>5</v>
      </c>
      <c r="B548" s="30" t="s">
        <v>3648</v>
      </c>
      <c r="C548" s="3" t="s">
        <v>6</v>
      </c>
      <c r="D548" s="64">
        <v>2033000</v>
      </c>
      <c r="E548" s="1">
        <f t="shared" si="57"/>
        <v>2195640</v>
      </c>
      <c r="F548" s="64">
        <v>4065741</v>
      </c>
      <c r="G548" s="1">
        <f t="shared" si="67"/>
        <v>4391000.28</v>
      </c>
      <c r="I548" s="6">
        <f>VLOOKUP(B548,'GIÁ 1.4'!$D:$F,2,0)</f>
        <v>2033000</v>
      </c>
      <c r="J548" s="21">
        <f t="shared" si="68"/>
        <v>0</v>
      </c>
      <c r="K548" s="6">
        <f>VLOOKUP(B548,'GIÁ 1.4'!$D:$F,3,0)</f>
        <v>4065741</v>
      </c>
      <c r="L548" s="21">
        <f t="shared" si="69"/>
        <v>0</v>
      </c>
    </row>
    <row r="549" spans="1:12" ht="16.8" x14ac:dyDescent="0.3">
      <c r="A549" s="3">
        <v>6</v>
      </c>
      <c r="B549" s="30" t="s">
        <v>4400</v>
      </c>
      <c r="C549" s="3" t="s">
        <v>6</v>
      </c>
      <c r="D549" s="64">
        <v>645000</v>
      </c>
      <c r="E549" s="1">
        <f t="shared" si="57"/>
        <v>696600</v>
      </c>
      <c r="F549" s="64">
        <v>1289815</v>
      </c>
      <c r="G549" s="1">
        <f t="shared" si="67"/>
        <v>1393000.2000000002</v>
      </c>
      <c r="I549" s="6">
        <f>VLOOKUP(B549,'GIÁ 1.4'!$D:$F,2,0)</f>
        <v>645000</v>
      </c>
      <c r="J549" s="21">
        <f t="shared" si="68"/>
        <v>0</v>
      </c>
      <c r="K549" s="6">
        <f>VLOOKUP(B549,'GIÁ 1.4'!$D:$F,3,0)</f>
        <v>1289815</v>
      </c>
      <c r="L549" s="21">
        <f t="shared" si="69"/>
        <v>0</v>
      </c>
    </row>
    <row r="550" spans="1:12" ht="16.8" x14ac:dyDescent="0.3">
      <c r="A550" s="3">
        <v>7</v>
      </c>
      <c r="B550" s="30" t="s">
        <v>3564</v>
      </c>
      <c r="C550" s="3" t="s">
        <v>6</v>
      </c>
      <c r="D550" s="64">
        <v>676000</v>
      </c>
      <c r="E550" s="1">
        <f t="shared" si="57"/>
        <v>730080</v>
      </c>
      <c r="F550" s="64">
        <v>1351852</v>
      </c>
      <c r="G550" s="1">
        <f t="shared" si="67"/>
        <v>1460000.1600000001</v>
      </c>
      <c r="I550" s="6">
        <f>VLOOKUP(B550,'GIÁ 1.4'!$D:$F,2,0)</f>
        <v>676000</v>
      </c>
      <c r="J550" s="21">
        <f t="shared" si="68"/>
        <v>0</v>
      </c>
      <c r="K550" s="6">
        <f>VLOOKUP(B550,'GIÁ 1.4'!$D:$F,3,0)</f>
        <v>1351852</v>
      </c>
      <c r="L550" s="21">
        <f t="shared" si="69"/>
        <v>0</v>
      </c>
    </row>
    <row r="551" spans="1:12" ht="16.8" x14ac:dyDescent="0.3">
      <c r="A551" s="3">
        <v>8</v>
      </c>
      <c r="B551" s="30" t="s">
        <v>3490</v>
      </c>
      <c r="C551" s="3" t="s">
        <v>6</v>
      </c>
      <c r="D551" s="64">
        <v>1082000</v>
      </c>
      <c r="E551" s="1">
        <f t="shared" si="57"/>
        <v>1168560</v>
      </c>
      <c r="F551" s="64">
        <v>2163889</v>
      </c>
      <c r="G551" s="1">
        <f t="shared" si="67"/>
        <v>2337000.12</v>
      </c>
      <c r="I551" s="6">
        <f>VLOOKUP(B551,'GIÁ 1.4'!$D:$F,2,0)</f>
        <v>1082000</v>
      </c>
      <c r="J551" s="21">
        <f t="shared" si="68"/>
        <v>0</v>
      </c>
      <c r="K551" s="6">
        <f>VLOOKUP(B551,'GIÁ 1.4'!$D:$F,3,0)</f>
        <v>2163889</v>
      </c>
      <c r="L551" s="21">
        <f t="shared" si="69"/>
        <v>0</v>
      </c>
    </row>
    <row r="552" spans="1:12" ht="16.8" x14ac:dyDescent="0.3">
      <c r="A552" s="3">
        <v>9</v>
      </c>
      <c r="B552" s="30" t="s">
        <v>3588</v>
      </c>
      <c r="C552" s="3" t="s">
        <v>6</v>
      </c>
      <c r="D552" s="64">
        <v>1241000</v>
      </c>
      <c r="E552" s="1">
        <f t="shared" si="57"/>
        <v>1340280</v>
      </c>
      <c r="F552" s="64">
        <v>2482407</v>
      </c>
      <c r="G552" s="1">
        <f t="shared" si="67"/>
        <v>2680999.56</v>
      </c>
      <c r="I552" s="6">
        <f>VLOOKUP(B552,'GIÁ 1.4'!$D:$F,2,0)</f>
        <v>1241000</v>
      </c>
      <c r="J552" s="21">
        <f t="shared" si="68"/>
        <v>0</v>
      </c>
      <c r="K552" s="6">
        <f>VLOOKUP(B552,'GIÁ 1.4'!$D:$F,3,0)</f>
        <v>2482407</v>
      </c>
      <c r="L552" s="21">
        <f t="shared" si="69"/>
        <v>0</v>
      </c>
    </row>
    <row r="553" spans="1:12" ht="16.8" x14ac:dyDescent="0.3">
      <c r="A553" s="3">
        <v>10</v>
      </c>
      <c r="B553" s="30" t="s">
        <v>3816</v>
      </c>
      <c r="C553" s="3" t="s">
        <v>6</v>
      </c>
      <c r="D553" s="64">
        <v>1319000</v>
      </c>
      <c r="E553" s="1">
        <f t="shared" si="57"/>
        <v>1424520</v>
      </c>
      <c r="F553" s="64">
        <v>2637963</v>
      </c>
      <c r="G553" s="1">
        <f t="shared" si="67"/>
        <v>2849000.04</v>
      </c>
      <c r="I553" s="6">
        <f>VLOOKUP(B553,'GIÁ 1.4'!$D:$F,2,0)</f>
        <v>1319000</v>
      </c>
      <c r="J553" s="21">
        <f t="shared" si="68"/>
        <v>0</v>
      </c>
      <c r="K553" s="6">
        <f>VLOOKUP(B553,'GIÁ 1.4'!$D:$F,3,0)</f>
        <v>2637963</v>
      </c>
      <c r="L553" s="21">
        <f t="shared" si="69"/>
        <v>0</v>
      </c>
    </row>
    <row r="554" spans="1:12" ht="16.8" x14ac:dyDescent="0.3">
      <c r="A554" s="3">
        <v>11</v>
      </c>
      <c r="B554" s="30" t="s">
        <v>3756</v>
      </c>
      <c r="C554" s="3" t="s">
        <v>6</v>
      </c>
      <c r="D554" s="64">
        <v>1611000</v>
      </c>
      <c r="E554" s="1">
        <f t="shared" si="57"/>
        <v>1739880</v>
      </c>
      <c r="F554" s="64">
        <v>3222222</v>
      </c>
      <c r="G554" s="1">
        <f t="shared" si="67"/>
        <v>3479999.7600000002</v>
      </c>
      <c r="I554" s="6">
        <f>VLOOKUP(B554,'GIÁ 1.4'!$D:$F,2,0)</f>
        <v>1611000</v>
      </c>
      <c r="J554" s="21">
        <f t="shared" si="68"/>
        <v>0</v>
      </c>
      <c r="K554" s="6">
        <f>VLOOKUP(B554,'GIÁ 1.4'!$D:$F,3,0)</f>
        <v>3222222</v>
      </c>
      <c r="L554" s="21">
        <f t="shared" si="69"/>
        <v>0</v>
      </c>
    </row>
    <row r="555" spans="1:12" ht="16.8" x14ac:dyDescent="0.3">
      <c r="A555" s="3">
        <v>18</v>
      </c>
      <c r="B555" s="30" t="s">
        <v>6077</v>
      </c>
      <c r="C555" s="3" t="s">
        <v>6</v>
      </c>
      <c r="D555" s="64">
        <v>494000</v>
      </c>
      <c r="E555" s="1">
        <f t="shared" ref="E555:E560" si="70">D555*1.08</f>
        <v>533520</v>
      </c>
      <c r="F555" s="64">
        <v>987963</v>
      </c>
      <c r="G555" s="1">
        <f t="shared" si="67"/>
        <v>1067000.04</v>
      </c>
      <c r="I555" s="6">
        <f>VLOOKUP(B555,'GIÁ 1.4'!$D:$F,2,0)</f>
        <v>494000</v>
      </c>
      <c r="J555" s="21">
        <f t="shared" si="68"/>
        <v>0</v>
      </c>
      <c r="K555" s="6">
        <f>VLOOKUP(B555,'GIÁ 1.4'!$D:$F,3,0)</f>
        <v>987963</v>
      </c>
      <c r="L555" s="21">
        <f t="shared" si="69"/>
        <v>0</v>
      </c>
    </row>
    <row r="556" spans="1:12" ht="16.8" x14ac:dyDescent="0.3">
      <c r="A556" s="3">
        <v>19</v>
      </c>
      <c r="B556" s="30" t="s">
        <v>4580</v>
      </c>
      <c r="C556" s="3" t="s">
        <v>6</v>
      </c>
      <c r="D556" s="64">
        <v>678000</v>
      </c>
      <c r="E556" s="1">
        <f t="shared" si="70"/>
        <v>732240</v>
      </c>
      <c r="F556" s="64">
        <v>1355556</v>
      </c>
      <c r="G556" s="1">
        <f t="shared" si="67"/>
        <v>1464000.48</v>
      </c>
      <c r="I556" s="6">
        <f>VLOOKUP(B556,'GIÁ 1.4'!$D:$F,2,0)</f>
        <v>678000</v>
      </c>
      <c r="J556" s="21">
        <f t="shared" si="68"/>
        <v>0</v>
      </c>
      <c r="K556" s="6">
        <f>VLOOKUP(B556,'GIÁ 1.4'!$D:$F,3,0)</f>
        <v>1355556</v>
      </c>
      <c r="L556" s="21">
        <f t="shared" si="69"/>
        <v>0</v>
      </c>
    </row>
    <row r="557" spans="1:12" ht="16.8" x14ac:dyDescent="0.3">
      <c r="A557" s="3">
        <v>20</v>
      </c>
      <c r="B557" s="30" t="s">
        <v>5813</v>
      </c>
      <c r="C557" s="3" t="s">
        <v>6</v>
      </c>
      <c r="D557" s="64">
        <v>697000</v>
      </c>
      <c r="E557" s="1">
        <f t="shared" si="70"/>
        <v>752760</v>
      </c>
      <c r="F557" s="64">
        <v>1394444</v>
      </c>
      <c r="G557" s="1">
        <f t="shared" si="67"/>
        <v>1505999.52</v>
      </c>
      <c r="I557" s="6">
        <f>VLOOKUP(B557,'GIÁ 1.4'!$D:$F,2,0)</f>
        <v>697000</v>
      </c>
      <c r="J557" s="21">
        <f t="shared" si="68"/>
        <v>0</v>
      </c>
      <c r="K557" s="6">
        <f>VLOOKUP(B557,'GIÁ 1.4'!$D:$F,3,0)</f>
        <v>1394444</v>
      </c>
      <c r="L557" s="21">
        <f t="shared" si="69"/>
        <v>0</v>
      </c>
    </row>
    <row r="558" spans="1:12" ht="16.8" x14ac:dyDescent="0.3">
      <c r="A558" s="3">
        <v>21</v>
      </c>
      <c r="B558" s="2" t="s">
        <v>9776</v>
      </c>
      <c r="C558" s="33" t="s">
        <v>6</v>
      </c>
      <c r="D558" s="66">
        <v>716000</v>
      </c>
      <c r="E558" s="5">
        <f t="shared" si="70"/>
        <v>773280</v>
      </c>
      <c r="F558" s="66">
        <v>1432407</v>
      </c>
      <c r="G558" s="5">
        <v>1598000</v>
      </c>
      <c r="I558" s="6">
        <f>VLOOKUP(B558,'GIÁ 1.4'!$D:$F,2,0)</f>
        <v>716000</v>
      </c>
      <c r="J558" s="21">
        <f t="shared" si="68"/>
        <v>0</v>
      </c>
      <c r="K558" s="6">
        <f>VLOOKUP(B558,'GIÁ 1.4'!$D:$F,3,0)</f>
        <v>1432407</v>
      </c>
      <c r="L558" s="21">
        <f t="shared" si="69"/>
        <v>0</v>
      </c>
    </row>
    <row r="559" spans="1:12" ht="16.8" x14ac:dyDescent="0.3">
      <c r="A559" s="3">
        <v>22</v>
      </c>
      <c r="B559" s="2" t="s">
        <v>11978</v>
      </c>
      <c r="C559" s="33" t="s">
        <v>6</v>
      </c>
      <c r="D559" s="66">
        <v>769000</v>
      </c>
      <c r="E559" s="5">
        <f t="shared" si="70"/>
        <v>830520</v>
      </c>
      <c r="F559" s="66">
        <v>1537963</v>
      </c>
      <c r="G559" s="5">
        <v>1717000</v>
      </c>
      <c r="I559" s="6">
        <f>VLOOKUP(B559,'GIÁ 1.4'!$D:$F,2,0)</f>
        <v>769000</v>
      </c>
      <c r="J559" s="21">
        <f t="shared" si="68"/>
        <v>0</v>
      </c>
      <c r="K559" s="6">
        <f>VLOOKUP(B559,'GIÁ 1.4'!$D:$F,3,0)</f>
        <v>1537963</v>
      </c>
      <c r="L559" s="21">
        <f t="shared" si="69"/>
        <v>0</v>
      </c>
    </row>
    <row r="560" spans="1:12" ht="16.8" x14ac:dyDescent="0.3">
      <c r="A560" s="3">
        <v>23</v>
      </c>
      <c r="B560" s="2" t="s">
        <v>11980</v>
      </c>
      <c r="C560" s="33" t="s">
        <v>6</v>
      </c>
      <c r="D560" s="66">
        <v>881000</v>
      </c>
      <c r="E560" s="5">
        <f t="shared" si="70"/>
        <v>951480.00000000012</v>
      </c>
      <c r="F560" s="66">
        <v>1762037</v>
      </c>
      <c r="G560" s="5">
        <v>1966000</v>
      </c>
      <c r="I560" s="6">
        <f>VLOOKUP(B560,'GIÁ 1.4'!$D:$F,2,0)</f>
        <v>881000</v>
      </c>
      <c r="J560" s="21">
        <f t="shared" si="68"/>
        <v>0</v>
      </c>
      <c r="K560" s="6">
        <f>VLOOKUP(B560,'GIÁ 1.4'!$D:$F,3,0)</f>
        <v>1762037</v>
      </c>
      <c r="L560" s="21">
        <f t="shared" si="69"/>
        <v>0</v>
      </c>
    </row>
    <row r="561" spans="1:12" ht="16.8" x14ac:dyDescent="0.3">
      <c r="A561" s="3">
        <v>24</v>
      </c>
      <c r="B561" s="2" t="s">
        <v>4222</v>
      </c>
      <c r="C561" s="33" t="s">
        <v>6</v>
      </c>
      <c r="D561" s="66">
        <v>0</v>
      </c>
      <c r="E561" s="5"/>
      <c r="F561" s="66">
        <v>1537037</v>
      </c>
      <c r="G561" s="5">
        <v>1660000</v>
      </c>
      <c r="I561" s="6">
        <f>VLOOKUP(B561,'GIÁ 1.4'!$D:$F,2,0)</f>
        <v>0</v>
      </c>
      <c r="J561" s="21">
        <f t="shared" si="68"/>
        <v>0</v>
      </c>
      <c r="K561" s="6">
        <f>VLOOKUP(B561,'GIÁ 1.4'!$D:$F,3,0)</f>
        <v>1537037</v>
      </c>
      <c r="L561" s="21">
        <f t="shared" si="69"/>
        <v>0</v>
      </c>
    </row>
    <row r="562" spans="1:12" ht="16.8" x14ac:dyDescent="0.3">
      <c r="A562" s="3">
        <v>25</v>
      </c>
      <c r="B562" s="2" t="s">
        <v>4626</v>
      </c>
      <c r="C562" s="33" t="s">
        <v>6</v>
      </c>
      <c r="D562" s="66">
        <v>0</v>
      </c>
      <c r="E562" s="5"/>
      <c r="F562" s="66">
        <v>1657407</v>
      </c>
      <c r="G562" s="5">
        <v>1790000</v>
      </c>
      <c r="I562" s="6">
        <f>VLOOKUP(B562,'GIÁ 1.4'!$D:$F,2,0)</f>
        <v>0</v>
      </c>
      <c r="J562" s="21">
        <f t="shared" si="68"/>
        <v>0</v>
      </c>
      <c r="K562" s="6">
        <f>VLOOKUP(B562,'GIÁ 1.4'!$D:$F,3,0)</f>
        <v>1657407</v>
      </c>
      <c r="L562" s="21">
        <f t="shared" si="69"/>
        <v>0</v>
      </c>
    </row>
    <row r="563" spans="1:12" ht="16.8" x14ac:dyDescent="0.3">
      <c r="A563" s="3">
        <v>26</v>
      </c>
      <c r="B563" s="2" t="s">
        <v>11962</v>
      </c>
      <c r="C563" s="33" t="s">
        <v>6</v>
      </c>
      <c r="D563" s="66">
        <v>0</v>
      </c>
      <c r="E563" s="5"/>
      <c r="F563" s="66">
        <v>1898148</v>
      </c>
      <c r="G563" s="5">
        <v>2050000</v>
      </c>
      <c r="I563" s="6">
        <f>VLOOKUP(B563,'GIÁ 1.4'!$D:$F,2,0)</f>
        <v>0</v>
      </c>
      <c r="J563" s="21">
        <f t="shared" si="68"/>
        <v>0</v>
      </c>
      <c r="K563" s="6">
        <f>VLOOKUP(B563,'GIÁ 1.4'!$D:$F,3,0)</f>
        <v>1898148</v>
      </c>
      <c r="L563" s="21">
        <f t="shared" si="69"/>
        <v>0</v>
      </c>
    </row>
    <row r="564" spans="1:12" ht="16.8" x14ac:dyDescent="0.3">
      <c r="A564" s="3">
        <v>27</v>
      </c>
      <c r="B564" s="2" t="s">
        <v>5197</v>
      </c>
      <c r="C564" s="33" t="s">
        <v>6</v>
      </c>
      <c r="D564" s="66">
        <v>3400000</v>
      </c>
      <c r="E564" s="5">
        <v>3672000.0000000005</v>
      </c>
      <c r="F564" s="66">
        <v>6800000</v>
      </c>
      <c r="G564" s="5">
        <v>7344000</v>
      </c>
      <c r="I564" s="6">
        <f>VLOOKUP(B564,'GIÁ 1.4'!$D:$F,2,0)</f>
        <v>3400000</v>
      </c>
      <c r="J564" s="21">
        <f t="shared" si="68"/>
        <v>0</v>
      </c>
      <c r="K564" s="6">
        <f>VLOOKUP(B564,'GIÁ 1.4'!$D:$F,3,0)</f>
        <v>6800000</v>
      </c>
      <c r="L564" s="21">
        <f t="shared" si="69"/>
        <v>0</v>
      </c>
    </row>
    <row r="565" spans="1:12" ht="16.8" x14ac:dyDescent="0.3">
      <c r="A565" s="3">
        <v>28</v>
      </c>
      <c r="B565" s="2" t="s">
        <v>4230</v>
      </c>
      <c r="C565" s="33" t="s">
        <v>6</v>
      </c>
      <c r="D565" s="66">
        <v>1820000</v>
      </c>
      <c r="E565" s="5">
        <v>1965600.0000000002</v>
      </c>
      <c r="F565" s="66">
        <v>3639815</v>
      </c>
      <c r="G565" s="5">
        <v>3931000</v>
      </c>
      <c r="I565" s="6">
        <f>VLOOKUP(B565,'GIÁ 1.4'!$D:$F,2,0)</f>
        <v>1820000</v>
      </c>
      <c r="J565" s="21">
        <f t="shared" si="68"/>
        <v>0</v>
      </c>
      <c r="K565" s="6">
        <f>VLOOKUP(B565,'GIÁ 1.4'!$D:$F,3,0)</f>
        <v>3639815</v>
      </c>
      <c r="L565" s="21">
        <f t="shared" si="69"/>
        <v>0</v>
      </c>
    </row>
    <row r="566" spans="1:12" ht="16.8" x14ac:dyDescent="0.3">
      <c r="A566" s="3"/>
      <c r="B566" s="36" t="s">
        <v>15598</v>
      </c>
      <c r="C566" s="3"/>
      <c r="D566" s="64"/>
      <c r="E566" s="1">
        <f t="shared" ref="E566:E597" si="71">D566*1.08</f>
        <v>0</v>
      </c>
      <c r="F566" s="64"/>
      <c r="G566" s="1">
        <f t="shared" ref="G566:G597" si="72">F566*1.08</f>
        <v>0</v>
      </c>
      <c r="J566" s="21"/>
      <c r="L566" s="21"/>
    </row>
    <row r="567" spans="1:12" ht="16.8" x14ac:dyDescent="0.3">
      <c r="A567" s="3">
        <v>1</v>
      </c>
      <c r="B567" s="30" t="s">
        <v>3880</v>
      </c>
      <c r="C567" s="3" t="s">
        <v>6</v>
      </c>
      <c r="D567" s="64">
        <v>125000</v>
      </c>
      <c r="E567" s="1">
        <f t="shared" si="71"/>
        <v>135000</v>
      </c>
      <c r="F567" s="64">
        <v>250000</v>
      </c>
      <c r="G567" s="1">
        <f t="shared" si="72"/>
        <v>270000</v>
      </c>
      <c r="I567" s="6">
        <f>VLOOKUP(B567,'GIÁ 1.4'!$D:$F,2,0)</f>
        <v>125000</v>
      </c>
      <c r="J567" s="21">
        <f t="shared" ref="J567:J609" si="73">D567-I567</f>
        <v>0</v>
      </c>
      <c r="K567" s="6">
        <f>VLOOKUP(B567,'GIÁ 1.4'!$D:$F,3,0)</f>
        <v>250000</v>
      </c>
      <c r="L567" s="21">
        <f t="shared" ref="L567:L609" si="74">F567-K567</f>
        <v>0</v>
      </c>
    </row>
    <row r="568" spans="1:12" ht="16.8" x14ac:dyDescent="0.3">
      <c r="A568" s="3">
        <v>2</v>
      </c>
      <c r="B568" s="30" t="s">
        <v>3350</v>
      </c>
      <c r="C568" s="3" t="s">
        <v>6</v>
      </c>
      <c r="D568" s="64">
        <v>493000</v>
      </c>
      <c r="E568" s="1">
        <f t="shared" si="71"/>
        <v>532440</v>
      </c>
      <c r="F568" s="64">
        <v>986111</v>
      </c>
      <c r="G568" s="1">
        <f t="shared" si="72"/>
        <v>1064999.8800000001</v>
      </c>
      <c r="I568" s="6">
        <f>VLOOKUP(B568,'GIÁ 1.4'!$D:$F,2,0)</f>
        <v>493000</v>
      </c>
      <c r="J568" s="21">
        <f t="shared" si="73"/>
        <v>0</v>
      </c>
      <c r="K568" s="6">
        <f>VLOOKUP(B568,'GIÁ 1.4'!$D:$F,3,0)</f>
        <v>986111</v>
      </c>
      <c r="L568" s="21">
        <f t="shared" si="74"/>
        <v>0</v>
      </c>
    </row>
    <row r="569" spans="1:12" ht="16.8" x14ac:dyDescent="0.3">
      <c r="A569" s="3">
        <v>3</v>
      </c>
      <c r="B569" s="30" t="s">
        <v>3858</v>
      </c>
      <c r="C569" s="3" t="s">
        <v>6</v>
      </c>
      <c r="D569" s="64">
        <v>1665000</v>
      </c>
      <c r="E569" s="1">
        <f t="shared" si="71"/>
        <v>1798200.0000000002</v>
      </c>
      <c r="F569" s="64">
        <v>3329630</v>
      </c>
      <c r="G569" s="1">
        <f t="shared" si="72"/>
        <v>3596000.4000000004</v>
      </c>
      <c r="I569" s="6">
        <f>VLOOKUP(B569,'GIÁ 1.4'!$D:$F,2,0)</f>
        <v>1665000</v>
      </c>
      <c r="J569" s="21">
        <f t="shared" si="73"/>
        <v>0</v>
      </c>
      <c r="K569" s="6">
        <f>VLOOKUP(B569,'GIÁ 1.4'!$D:$F,3,0)</f>
        <v>3329630</v>
      </c>
      <c r="L569" s="21">
        <f t="shared" si="74"/>
        <v>0</v>
      </c>
    </row>
    <row r="570" spans="1:12" ht="16.8" x14ac:dyDescent="0.3">
      <c r="A570" s="3">
        <v>4</v>
      </c>
      <c r="B570" s="30" t="s">
        <v>3348</v>
      </c>
      <c r="C570" s="3" t="s">
        <v>6</v>
      </c>
      <c r="D570" s="64">
        <v>1777000</v>
      </c>
      <c r="E570" s="1">
        <f t="shared" si="71"/>
        <v>1919160.0000000002</v>
      </c>
      <c r="F570" s="64">
        <v>3553704</v>
      </c>
      <c r="G570" s="1">
        <f t="shared" si="72"/>
        <v>3838000.3200000003</v>
      </c>
      <c r="I570" s="6">
        <f>VLOOKUP(B570,'GIÁ 1.4'!$D:$F,2,0)</f>
        <v>1777000</v>
      </c>
      <c r="J570" s="21">
        <f t="shared" si="73"/>
        <v>0</v>
      </c>
      <c r="K570" s="6">
        <f>VLOOKUP(B570,'GIÁ 1.4'!$D:$F,3,0)</f>
        <v>3553704</v>
      </c>
      <c r="L570" s="21">
        <f t="shared" si="74"/>
        <v>0</v>
      </c>
    </row>
    <row r="571" spans="1:12" ht="16.8" x14ac:dyDescent="0.3">
      <c r="A571" s="3">
        <v>5</v>
      </c>
      <c r="B571" s="30" t="s">
        <v>3860</v>
      </c>
      <c r="C571" s="3" t="s">
        <v>6</v>
      </c>
      <c r="D571" s="64">
        <v>2200000</v>
      </c>
      <c r="E571" s="1">
        <f t="shared" si="71"/>
        <v>2376000</v>
      </c>
      <c r="F571" s="64">
        <v>4400000</v>
      </c>
      <c r="G571" s="1">
        <f t="shared" si="72"/>
        <v>4752000</v>
      </c>
      <c r="I571" s="6">
        <f>VLOOKUP(B571,'GIÁ 1.4'!$D:$F,2,0)</f>
        <v>2200000</v>
      </c>
      <c r="J571" s="21">
        <f t="shared" si="73"/>
        <v>0</v>
      </c>
      <c r="K571" s="6">
        <f>VLOOKUP(B571,'GIÁ 1.4'!$D:$F,3,0)</f>
        <v>4400000</v>
      </c>
      <c r="L571" s="21">
        <f t="shared" si="74"/>
        <v>0</v>
      </c>
    </row>
    <row r="572" spans="1:12" ht="16.8" x14ac:dyDescent="0.3">
      <c r="A572" s="3">
        <v>6</v>
      </c>
      <c r="B572" s="30" t="s">
        <v>4103</v>
      </c>
      <c r="C572" s="3" t="s">
        <v>6</v>
      </c>
      <c r="D572" s="64">
        <v>2333000</v>
      </c>
      <c r="E572" s="1">
        <f t="shared" si="71"/>
        <v>2519640</v>
      </c>
      <c r="F572" s="64">
        <v>4665741</v>
      </c>
      <c r="G572" s="1">
        <f t="shared" si="72"/>
        <v>5039000.28</v>
      </c>
      <c r="I572" s="6">
        <f>VLOOKUP(B572,'GIÁ 1.4'!$D:$F,2,0)</f>
        <v>2333000</v>
      </c>
      <c r="J572" s="21">
        <f t="shared" si="73"/>
        <v>0</v>
      </c>
      <c r="K572" s="6">
        <f>VLOOKUP(B572,'GIÁ 1.4'!$D:$F,3,0)</f>
        <v>4665741</v>
      </c>
      <c r="L572" s="21">
        <f t="shared" si="74"/>
        <v>0</v>
      </c>
    </row>
    <row r="573" spans="1:12" ht="16.8" x14ac:dyDescent="0.3">
      <c r="A573" s="3">
        <v>7</v>
      </c>
      <c r="B573" s="30" t="s">
        <v>3590</v>
      </c>
      <c r="C573" s="3" t="s">
        <v>6</v>
      </c>
      <c r="D573" s="65">
        <v>3279000</v>
      </c>
      <c r="E573" s="1">
        <f t="shared" si="71"/>
        <v>3541320.0000000005</v>
      </c>
      <c r="F573" s="64">
        <v>6558333</v>
      </c>
      <c r="G573" s="1">
        <f t="shared" si="72"/>
        <v>7082999.6400000006</v>
      </c>
      <c r="I573" s="6">
        <f>VLOOKUP(B573,'GIÁ 1.4'!$D:$F,2,0)</f>
        <v>3279000</v>
      </c>
      <c r="J573" s="21">
        <f t="shared" si="73"/>
        <v>0</v>
      </c>
      <c r="K573" s="6">
        <f>VLOOKUP(B573,'GIÁ 1.4'!$D:$F,3,0)</f>
        <v>6558333</v>
      </c>
      <c r="L573" s="21">
        <f t="shared" si="74"/>
        <v>0</v>
      </c>
    </row>
    <row r="574" spans="1:12" ht="16.8" x14ac:dyDescent="0.3">
      <c r="A574" s="3">
        <v>8</v>
      </c>
      <c r="B574" s="30" t="s">
        <v>3872</v>
      </c>
      <c r="C574" s="3" t="s">
        <v>6</v>
      </c>
      <c r="D574" s="64">
        <v>3767000</v>
      </c>
      <c r="E574" s="1">
        <f t="shared" si="71"/>
        <v>4068360.0000000005</v>
      </c>
      <c r="F574" s="64">
        <v>7534259</v>
      </c>
      <c r="G574" s="1">
        <f t="shared" si="72"/>
        <v>8136999.7200000007</v>
      </c>
      <c r="I574" s="6">
        <f>VLOOKUP(B574,'GIÁ 1.4'!$D:$F,2,0)</f>
        <v>3767000</v>
      </c>
      <c r="J574" s="21">
        <f t="shared" si="73"/>
        <v>0</v>
      </c>
      <c r="K574" s="6">
        <f>VLOOKUP(B574,'GIÁ 1.4'!$D:$F,3,0)</f>
        <v>7534259</v>
      </c>
      <c r="L574" s="21">
        <f t="shared" si="74"/>
        <v>0</v>
      </c>
    </row>
    <row r="575" spans="1:12" ht="16.8" x14ac:dyDescent="0.3">
      <c r="A575" s="3">
        <v>9</v>
      </c>
      <c r="B575" s="30" t="s">
        <v>3886</v>
      </c>
      <c r="C575" s="3" t="s">
        <v>6</v>
      </c>
      <c r="D575" s="64">
        <v>0</v>
      </c>
      <c r="E575" s="1">
        <f t="shared" si="71"/>
        <v>0</v>
      </c>
      <c r="F575" s="64">
        <v>1100000</v>
      </c>
      <c r="G575" s="1">
        <f t="shared" si="72"/>
        <v>1188000</v>
      </c>
      <c r="I575" s="6">
        <f>VLOOKUP(B575,'GIÁ 1.4'!$D:$F,2,0)</f>
        <v>0</v>
      </c>
      <c r="J575" s="21">
        <f t="shared" si="73"/>
        <v>0</v>
      </c>
      <c r="K575" s="6">
        <f>VLOOKUP(B575,'GIÁ 1.4'!$D:$F,3,0)</f>
        <v>1100000</v>
      </c>
      <c r="L575" s="21">
        <f t="shared" si="74"/>
        <v>0</v>
      </c>
    </row>
    <row r="576" spans="1:12" ht="16.8" x14ac:dyDescent="0.3">
      <c r="A576" s="3">
        <v>10</v>
      </c>
      <c r="B576" s="30" t="s">
        <v>4410</v>
      </c>
      <c r="C576" s="3" t="s">
        <v>6</v>
      </c>
      <c r="D576" s="64">
        <v>0</v>
      </c>
      <c r="E576" s="1">
        <f t="shared" si="71"/>
        <v>0</v>
      </c>
      <c r="F576" s="64">
        <v>2970000</v>
      </c>
      <c r="G576" s="1">
        <f t="shared" si="72"/>
        <v>3207600</v>
      </c>
      <c r="I576" s="6">
        <f>VLOOKUP(B576,'GIÁ 1.4'!$D:$F,2,0)</f>
        <v>0</v>
      </c>
      <c r="J576" s="21">
        <f t="shared" si="73"/>
        <v>0</v>
      </c>
      <c r="K576" s="6">
        <f>VLOOKUP(B576,'GIÁ 1.4'!$D:$F,3,0)</f>
        <v>2970000</v>
      </c>
      <c r="L576" s="21">
        <f t="shared" si="74"/>
        <v>0</v>
      </c>
    </row>
    <row r="577" spans="1:12" ht="16.8" x14ac:dyDescent="0.3">
      <c r="A577" s="3">
        <v>11</v>
      </c>
      <c r="B577" s="30" t="s">
        <v>3202</v>
      </c>
      <c r="C577" s="3" t="s">
        <v>6</v>
      </c>
      <c r="D577" s="64">
        <v>0</v>
      </c>
      <c r="E577" s="1">
        <f t="shared" si="71"/>
        <v>0</v>
      </c>
      <c r="F577" s="64">
        <v>3190000</v>
      </c>
      <c r="G577" s="1">
        <f t="shared" si="72"/>
        <v>3445200</v>
      </c>
      <c r="I577" s="6">
        <f>VLOOKUP(B577,'GIÁ 1.4'!$D:$F,2,0)</f>
        <v>0</v>
      </c>
      <c r="J577" s="21">
        <f t="shared" si="73"/>
        <v>0</v>
      </c>
      <c r="K577" s="6">
        <f>VLOOKUP(B577,'GIÁ 1.4'!$D:$F,3,0)</f>
        <v>3190000</v>
      </c>
      <c r="L577" s="21">
        <f t="shared" si="74"/>
        <v>0</v>
      </c>
    </row>
    <row r="578" spans="1:12" ht="16.8" x14ac:dyDescent="0.3">
      <c r="A578" s="3">
        <v>12</v>
      </c>
      <c r="B578" s="30" t="s">
        <v>4540</v>
      </c>
      <c r="C578" s="3" t="s">
        <v>6</v>
      </c>
      <c r="D578" s="64">
        <v>0</v>
      </c>
      <c r="E578" s="1">
        <f t="shared" si="71"/>
        <v>0</v>
      </c>
      <c r="F578" s="64">
        <v>3300000</v>
      </c>
      <c r="G578" s="1">
        <f t="shared" si="72"/>
        <v>3564000.0000000005</v>
      </c>
      <c r="I578" s="6">
        <f>VLOOKUP(B578,'GIÁ 1.4'!$D:$F,2,0)</f>
        <v>0</v>
      </c>
      <c r="J578" s="21">
        <f t="shared" si="73"/>
        <v>0</v>
      </c>
      <c r="K578" s="6">
        <f>VLOOKUP(B578,'GIÁ 1.4'!$D:$F,3,0)</f>
        <v>3300000</v>
      </c>
      <c r="L578" s="21">
        <f t="shared" si="74"/>
        <v>0</v>
      </c>
    </row>
    <row r="579" spans="1:12" ht="16.8" x14ac:dyDescent="0.3">
      <c r="A579" s="3">
        <v>13</v>
      </c>
      <c r="B579" s="30" t="s">
        <v>3568</v>
      </c>
      <c r="C579" s="3" t="s">
        <v>6</v>
      </c>
      <c r="D579" s="64">
        <v>0</v>
      </c>
      <c r="E579" s="1">
        <f t="shared" si="71"/>
        <v>0</v>
      </c>
      <c r="F579" s="64">
        <v>3520000</v>
      </c>
      <c r="G579" s="1">
        <f t="shared" si="72"/>
        <v>3801600.0000000005</v>
      </c>
      <c r="I579" s="6">
        <f>VLOOKUP(B579,'GIÁ 1.4'!$D:$F,2,0)</f>
        <v>0</v>
      </c>
      <c r="J579" s="21">
        <f t="shared" si="73"/>
        <v>0</v>
      </c>
      <c r="K579" s="6">
        <f>VLOOKUP(B579,'GIÁ 1.4'!$D:$F,3,0)</f>
        <v>3520000</v>
      </c>
      <c r="L579" s="21">
        <f t="shared" si="74"/>
        <v>0</v>
      </c>
    </row>
    <row r="580" spans="1:12" ht="16.8" x14ac:dyDescent="0.3">
      <c r="A580" s="3">
        <v>14</v>
      </c>
      <c r="B580" s="30" t="s">
        <v>3812</v>
      </c>
      <c r="C580" s="3" t="s">
        <v>6</v>
      </c>
      <c r="D580" s="64">
        <v>0</v>
      </c>
      <c r="E580" s="1">
        <f t="shared" si="71"/>
        <v>0</v>
      </c>
      <c r="F580" s="64">
        <v>3740000</v>
      </c>
      <c r="G580" s="1">
        <f t="shared" si="72"/>
        <v>4039200.0000000005</v>
      </c>
      <c r="I580" s="6">
        <f>VLOOKUP(B580,'GIÁ 1.4'!$D:$F,2,0)</f>
        <v>0</v>
      </c>
      <c r="J580" s="21">
        <f t="shared" si="73"/>
        <v>0</v>
      </c>
      <c r="K580" s="6">
        <f>VLOOKUP(B580,'GIÁ 1.4'!$D:$F,3,0)</f>
        <v>3740000</v>
      </c>
      <c r="L580" s="21">
        <f t="shared" si="74"/>
        <v>0</v>
      </c>
    </row>
    <row r="581" spans="1:12" ht="16.8" x14ac:dyDescent="0.3">
      <c r="A581" s="3">
        <v>15</v>
      </c>
      <c r="B581" s="30" t="s">
        <v>6035</v>
      </c>
      <c r="C581" s="3" t="s">
        <v>6</v>
      </c>
      <c r="D581" s="64">
        <v>0</v>
      </c>
      <c r="E581" s="1">
        <f t="shared" si="71"/>
        <v>0</v>
      </c>
      <c r="F581" s="64">
        <v>7100000</v>
      </c>
      <c r="G581" s="1">
        <f t="shared" si="72"/>
        <v>7668000.0000000009</v>
      </c>
      <c r="I581" s="6">
        <f>VLOOKUP(B581,'GIÁ 1.4'!$D:$F,2,0)</f>
        <v>0</v>
      </c>
      <c r="J581" s="21">
        <f t="shared" si="73"/>
        <v>0</v>
      </c>
      <c r="K581" s="6">
        <f>VLOOKUP(B581,'GIÁ 1.4'!$D:$F,3,0)</f>
        <v>7100000</v>
      </c>
      <c r="L581" s="21">
        <f t="shared" si="74"/>
        <v>0</v>
      </c>
    </row>
    <row r="582" spans="1:12" ht="16.8" x14ac:dyDescent="0.3">
      <c r="A582" s="3">
        <v>16</v>
      </c>
      <c r="B582" s="30" t="s">
        <v>5767</v>
      </c>
      <c r="C582" s="3" t="s">
        <v>6</v>
      </c>
      <c r="D582" s="64">
        <v>0</v>
      </c>
      <c r="E582" s="1">
        <f t="shared" si="71"/>
        <v>0</v>
      </c>
      <c r="F582" s="64">
        <v>7700000</v>
      </c>
      <c r="G582" s="1">
        <f t="shared" si="72"/>
        <v>8316000.0000000009</v>
      </c>
      <c r="I582" s="6">
        <f>VLOOKUP(B582,'GIÁ 1.4'!$D:$F,2,0)</f>
        <v>0</v>
      </c>
      <c r="J582" s="21">
        <f t="shared" si="73"/>
        <v>0</v>
      </c>
      <c r="K582" s="6">
        <f>VLOOKUP(B582,'GIÁ 1.4'!$D:$F,3,0)</f>
        <v>7700000</v>
      </c>
      <c r="L582" s="21">
        <f t="shared" si="74"/>
        <v>0</v>
      </c>
    </row>
    <row r="583" spans="1:12" ht="16.8" x14ac:dyDescent="0.3">
      <c r="A583" s="3">
        <v>17</v>
      </c>
      <c r="B583" s="30" t="s">
        <v>9538</v>
      </c>
      <c r="C583" s="3" t="s">
        <v>6</v>
      </c>
      <c r="D583" s="64">
        <v>0</v>
      </c>
      <c r="E583" s="1">
        <f t="shared" si="71"/>
        <v>0</v>
      </c>
      <c r="F583" s="64">
        <v>8400000</v>
      </c>
      <c r="G583" s="1">
        <f t="shared" si="72"/>
        <v>9072000</v>
      </c>
      <c r="I583" s="6">
        <f>VLOOKUP(B583,'GIÁ 1.4'!$D:$F,2,0)</f>
        <v>0</v>
      </c>
      <c r="J583" s="21">
        <f t="shared" si="73"/>
        <v>0</v>
      </c>
      <c r="K583" s="6">
        <f>VLOOKUP(B583,'GIÁ 1.4'!$D:$F,3,0)</f>
        <v>8400000</v>
      </c>
      <c r="L583" s="21">
        <f t="shared" si="74"/>
        <v>0</v>
      </c>
    </row>
    <row r="584" spans="1:12" ht="16.8" x14ac:dyDescent="0.3">
      <c r="A584" s="3">
        <v>18</v>
      </c>
      <c r="B584" s="30" t="s">
        <v>3616</v>
      </c>
      <c r="C584" s="3" t="s">
        <v>6</v>
      </c>
      <c r="D584" s="64">
        <v>0</v>
      </c>
      <c r="E584" s="1">
        <f t="shared" si="71"/>
        <v>0</v>
      </c>
      <c r="F584" s="64">
        <v>5600000</v>
      </c>
      <c r="G584" s="1">
        <f t="shared" si="72"/>
        <v>6048000</v>
      </c>
      <c r="I584" s="6">
        <f>VLOOKUP(B584,'GIÁ 1.4'!$D:$F,2,0)</f>
        <v>0</v>
      </c>
      <c r="J584" s="21">
        <f t="shared" si="73"/>
        <v>0</v>
      </c>
      <c r="K584" s="6">
        <f>VLOOKUP(B584,'GIÁ 1.4'!$D:$F,3,0)</f>
        <v>5600000</v>
      </c>
      <c r="L584" s="21">
        <f t="shared" si="74"/>
        <v>0</v>
      </c>
    </row>
    <row r="585" spans="1:12" ht="16.8" x14ac:dyDescent="0.3">
      <c r="A585" s="3">
        <v>19</v>
      </c>
      <c r="B585" s="30" t="s">
        <v>3868</v>
      </c>
      <c r="C585" s="3" t="s">
        <v>6</v>
      </c>
      <c r="D585" s="64">
        <v>0</v>
      </c>
      <c r="E585" s="1">
        <f t="shared" si="71"/>
        <v>0</v>
      </c>
      <c r="F585" s="64">
        <v>6200000</v>
      </c>
      <c r="G585" s="1">
        <f t="shared" si="72"/>
        <v>6696000</v>
      </c>
      <c r="I585" s="6">
        <f>VLOOKUP(B585,'GIÁ 1.4'!$D:$F,2,0)</f>
        <v>0</v>
      </c>
      <c r="J585" s="21">
        <f t="shared" si="73"/>
        <v>0</v>
      </c>
      <c r="K585" s="6">
        <f>VLOOKUP(B585,'GIÁ 1.4'!$D:$F,3,0)</f>
        <v>6200000</v>
      </c>
      <c r="L585" s="21">
        <f t="shared" si="74"/>
        <v>0</v>
      </c>
    </row>
    <row r="586" spans="1:12" ht="16.8" x14ac:dyDescent="0.3">
      <c r="A586" s="3">
        <v>20</v>
      </c>
      <c r="B586" s="30" t="s">
        <v>3768</v>
      </c>
      <c r="C586" s="3" t="s">
        <v>6</v>
      </c>
      <c r="D586" s="64">
        <v>0</v>
      </c>
      <c r="E586" s="1">
        <f t="shared" si="71"/>
        <v>0</v>
      </c>
      <c r="F586" s="64">
        <v>6500000</v>
      </c>
      <c r="G586" s="1">
        <f t="shared" si="72"/>
        <v>7020000</v>
      </c>
      <c r="I586" s="6">
        <f>VLOOKUP(B586,'GIÁ 1.4'!$D:$F,2,0)</f>
        <v>0</v>
      </c>
      <c r="J586" s="21">
        <f t="shared" si="73"/>
        <v>0</v>
      </c>
      <c r="K586" s="6">
        <f>VLOOKUP(B586,'GIÁ 1.4'!$D:$F,3,0)</f>
        <v>6500000</v>
      </c>
      <c r="L586" s="21">
        <f t="shared" si="74"/>
        <v>0</v>
      </c>
    </row>
    <row r="587" spans="1:12" ht="16.8" x14ac:dyDescent="0.3">
      <c r="A587" s="3">
        <v>21</v>
      </c>
      <c r="B587" s="30" t="s">
        <v>5449</v>
      </c>
      <c r="C587" s="3" t="s">
        <v>6</v>
      </c>
      <c r="D587" s="64">
        <v>0</v>
      </c>
      <c r="E587" s="1">
        <f t="shared" si="71"/>
        <v>0</v>
      </c>
      <c r="F587" s="64">
        <v>6800000</v>
      </c>
      <c r="G587" s="1">
        <f t="shared" si="72"/>
        <v>7344000.0000000009</v>
      </c>
      <c r="I587" s="6">
        <f>VLOOKUP(B587,'GIÁ 1.4'!$D:$F,2,0)</f>
        <v>0</v>
      </c>
      <c r="J587" s="21">
        <f t="shared" si="73"/>
        <v>0</v>
      </c>
      <c r="K587" s="6">
        <f>VLOOKUP(B587,'GIÁ 1.4'!$D:$F,3,0)</f>
        <v>6800000</v>
      </c>
      <c r="L587" s="21">
        <f t="shared" si="74"/>
        <v>0</v>
      </c>
    </row>
    <row r="588" spans="1:12" ht="16.8" x14ac:dyDescent="0.3">
      <c r="A588" s="3">
        <v>22</v>
      </c>
      <c r="B588" s="30" t="s">
        <v>5285</v>
      </c>
      <c r="C588" s="3" t="s">
        <v>6</v>
      </c>
      <c r="D588" s="64">
        <v>0</v>
      </c>
      <c r="E588" s="1">
        <f t="shared" si="71"/>
        <v>0</v>
      </c>
      <c r="F588" s="64">
        <v>5595370</v>
      </c>
      <c r="G588" s="1">
        <f t="shared" si="72"/>
        <v>6042999.6000000006</v>
      </c>
      <c r="I588" s="6">
        <f>VLOOKUP(B588,'GIÁ 1.4'!$D:$F,2,0)</f>
        <v>0</v>
      </c>
      <c r="J588" s="21">
        <f t="shared" si="73"/>
        <v>0</v>
      </c>
      <c r="K588" s="6">
        <f>VLOOKUP(B588,'GIÁ 1.4'!$D:$F,3,0)</f>
        <v>5595370</v>
      </c>
      <c r="L588" s="21">
        <f t="shared" si="74"/>
        <v>0</v>
      </c>
    </row>
    <row r="589" spans="1:12" ht="16.8" x14ac:dyDescent="0.3">
      <c r="A589" s="3">
        <v>23</v>
      </c>
      <c r="B589" s="30" t="s">
        <v>4680</v>
      </c>
      <c r="C589" s="3" t="s">
        <v>6</v>
      </c>
      <c r="D589" s="64">
        <v>0</v>
      </c>
      <c r="E589" s="1">
        <f t="shared" si="71"/>
        <v>0</v>
      </c>
      <c r="F589" s="64">
        <v>6040741</v>
      </c>
      <c r="G589" s="1">
        <f t="shared" si="72"/>
        <v>6524000.2800000003</v>
      </c>
      <c r="I589" s="6">
        <f>VLOOKUP(B589,'GIÁ 1.4'!$D:$F,2,0)</f>
        <v>0</v>
      </c>
      <c r="J589" s="21">
        <f t="shared" si="73"/>
        <v>0</v>
      </c>
      <c r="K589" s="6">
        <f>VLOOKUP(B589,'GIÁ 1.4'!$D:$F,3,0)</f>
        <v>6040741</v>
      </c>
      <c r="L589" s="21">
        <f t="shared" si="74"/>
        <v>0</v>
      </c>
    </row>
    <row r="590" spans="1:12" ht="16.8" x14ac:dyDescent="0.3">
      <c r="A590" s="3">
        <v>24</v>
      </c>
      <c r="B590" s="30" t="s">
        <v>3510</v>
      </c>
      <c r="C590" s="3" t="s">
        <v>6</v>
      </c>
      <c r="D590" s="64">
        <v>0</v>
      </c>
      <c r="E590" s="1">
        <f t="shared" si="71"/>
        <v>0</v>
      </c>
      <c r="F590" s="64">
        <v>6489815</v>
      </c>
      <c r="G590" s="1">
        <f t="shared" si="72"/>
        <v>7009000.2000000002</v>
      </c>
      <c r="I590" s="6">
        <f>VLOOKUP(B590,'GIÁ 1.4'!$D:$F,2,0)</f>
        <v>0</v>
      </c>
      <c r="J590" s="21">
        <f t="shared" si="73"/>
        <v>0</v>
      </c>
      <c r="K590" s="6">
        <f>VLOOKUP(B590,'GIÁ 1.4'!$D:$F,3,0)</f>
        <v>6489815</v>
      </c>
      <c r="L590" s="21">
        <f t="shared" si="74"/>
        <v>0</v>
      </c>
    </row>
    <row r="591" spans="1:12" ht="16.8" x14ac:dyDescent="0.3">
      <c r="A591" s="3">
        <v>25</v>
      </c>
      <c r="B591" s="30" t="s">
        <v>6045</v>
      </c>
      <c r="C591" s="3" t="s">
        <v>6</v>
      </c>
      <c r="D591" s="64">
        <v>0</v>
      </c>
      <c r="E591" s="1">
        <f t="shared" si="71"/>
        <v>0</v>
      </c>
      <c r="F591" s="64">
        <v>6710185</v>
      </c>
      <c r="G591" s="1">
        <f t="shared" si="72"/>
        <v>7246999.8000000007</v>
      </c>
      <c r="I591" s="6">
        <f>VLOOKUP(B591,'GIÁ 1.4'!$D:$F,2,0)</f>
        <v>0</v>
      </c>
      <c r="J591" s="21">
        <f t="shared" si="73"/>
        <v>0</v>
      </c>
      <c r="K591" s="6">
        <f>VLOOKUP(B591,'GIÁ 1.4'!$D:$F,3,0)</f>
        <v>6710185</v>
      </c>
      <c r="L591" s="21">
        <f t="shared" si="74"/>
        <v>0</v>
      </c>
    </row>
    <row r="592" spans="1:12" ht="16.8" x14ac:dyDescent="0.3">
      <c r="A592" s="3">
        <v>26</v>
      </c>
      <c r="B592" s="30" t="s">
        <v>4254</v>
      </c>
      <c r="C592" s="3" t="s">
        <v>6</v>
      </c>
      <c r="D592" s="64">
        <v>2371000</v>
      </c>
      <c r="E592" s="1">
        <f t="shared" si="71"/>
        <v>2560680</v>
      </c>
      <c r="F592" s="64">
        <v>4741667</v>
      </c>
      <c r="G592" s="1">
        <f t="shared" si="72"/>
        <v>5121000.3600000003</v>
      </c>
      <c r="I592" s="6">
        <f>VLOOKUP(B592,'GIÁ 1.4'!$D:$F,2,0)</f>
        <v>2371000</v>
      </c>
      <c r="J592" s="21">
        <f t="shared" si="73"/>
        <v>0</v>
      </c>
      <c r="K592" s="6">
        <f>VLOOKUP(B592,'GIÁ 1.4'!$D:$F,3,0)</f>
        <v>4741667</v>
      </c>
      <c r="L592" s="21">
        <f t="shared" si="74"/>
        <v>0</v>
      </c>
    </row>
    <row r="593" spans="1:12" ht="16.8" x14ac:dyDescent="0.3">
      <c r="A593" s="3">
        <v>27</v>
      </c>
      <c r="B593" s="30" t="s">
        <v>4256</v>
      </c>
      <c r="C593" s="3" t="s">
        <v>6</v>
      </c>
      <c r="D593" s="64">
        <v>2952000</v>
      </c>
      <c r="E593" s="1">
        <f t="shared" si="71"/>
        <v>3188160</v>
      </c>
      <c r="F593" s="64">
        <v>5903704</v>
      </c>
      <c r="G593" s="1">
        <f t="shared" si="72"/>
        <v>6376000.3200000003</v>
      </c>
      <c r="I593" s="6">
        <f>VLOOKUP(B593,'GIÁ 1.4'!$D:$F,2,0)</f>
        <v>2952000</v>
      </c>
      <c r="J593" s="21">
        <f t="shared" si="73"/>
        <v>0</v>
      </c>
      <c r="K593" s="6">
        <f>VLOOKUP(B593,'GIÁ 1.4'!$D:$F,3,0)</f>
        <v>5903704</v>
      </c>
      <c r="L593" s="21">
        <f t="shared" si="74"/>
        <v>0</v>
      </c>
    </row>
    <row r="594" spans="1:12" ht="16.8" x14ac:dyDescent="0.3">
      <c r="A594" s="3">
        <v>28</v>
      </c>
      <c r="B594" s="30" t="s">
        <v>4428</v>
      </c>
      <c r="C594" s="3" t="s">
        <v>6</v>
      </c>
      <c r="D594" s="64">
        <v>3049000</v>
      </c>
      <c r="E594" s="1">
        <f t="shared" si="71"/>
        <v>3292920</v>
      </c>
      <c r="F594" s="64">
        <v>6098148</v>
      </c>
      <c r="G594" s="1">
        <f t="shared" si="72"/>
        <v>6585999.8400000008</v>
      </c>
      <c r="I594" s="6">
        <f>VLOOKUP(B594,'GIÁ 1.4'!$D:$F,2,0)</f>
        <v>3049000</v>
      </c>
      <c r="J594" s="21">
        <f t="shared" si="73"/>
        <v>0</v>
      </c>
      <c r="K594" s="6">
        <f>VLOOKUP(B594,'GIÁ 1.4'!$D:$F,3,0)</f>
        <v>6098148</v>
      </c>
      <c r="L594" s="21">
        <f t="shared" si="74"/>
        <v>0</v>
      </c>
    </row>
    <row r="595" spans="1:12" ht="16.8" x14ac:dyDescent="0.3">
      <c r="A595" s="3">
        <v>29</v>
      </c>
      <c r="B595" s="30" t="s">
        <v>4690</v>
      </c>
      <c r="C595" s="3" t="s">
        <v>6</v>
      </c>
      <c r="D595" s="64">
        <v>3146000</v>
      </c>
      <c r="E595" s="1">
        <f t="shared" si="71"/>
        <v>3397680</v>
      </c>
      <c r="F595" s="64">
        <v>6291667</v>
      </c>
      <c r="G595" s="1">
        <f t="shared" si="72"/>
        <v>6795000.3600000003</v>
      </c>
      <c r="I595" s="6">
        <f>VLOOKUP(B595,'GIÁ 1.4'!$D:$F,2,0)</f>
        <v>3146000</v>
      </c>
      <c r="J595" s="21">
        <f t="shared" si="73"/>
        <v>0</v>
      </c>
      <c r="K595" s="6">
        <f>VLOOKUP(B595,'GIÁ 1.4'!$D:$F,3,0)</f>
        <v>6291667</v>
      </c>
      <c r="L595" s="21">
        <f t="shared" si="74"/>
        <v>0</v>
      </c>
    </row>
    <row r="596" spans="1:12" ht="16.8" x14ac:dyDescent="0.3">
      <c r="A596" s="3">
        <v>30</v>
      </c>
      <c r="B596" s="30" t="s">
        <v>10612</v>
      </c>
      <c r="C596" s="3" t="s">
        <v>6</v>
      </c>
      <c r="D596" s="64">
        <v>3871000</v>
      </c>
      <c r="E596" s="1">
        <f t="shared" si="71"/>
        <v>4180680.0000000005</v>
      </c>
      <c r="F596" s="64">
        <v>7741667</v>
      </c>
      <c r="G596" s="1">
        <f t="shared" si="72"/>
        <v>8361000.3600000003</v>
      </c>
      <c r="I596" s="6">
        <f>VLOOKUP(B596,'GIÁ 1.4'!$D:$F,2,0)</f>
        <v>3871000</v>
      </c>
      <c r="J596" s="21">
        <f t="shared" si="73"/>
        <v>0</v>
      </c>
      <c r="K596" s="6">
        <f>VLOOKUP(B596,'GIÁ 1.4'!$D:$F,3,0)</f>
        <v>7741667</v>
      </c>
      <c r="L596" s="21">
        <f t="shared" si="74"/>
        <v>0</v>
      </c>
    </row>
    <row r="597" spans="1:12" ht="16.8" x14ac:dyDescent="0.3">
      <c r="A597" s="3">
        <v>31</v>
      </c>
      <c r="B597" s="30" t="s">
        <v>3570</v>
      </c>
      <c r="C597" s="3" t="s">
        <v>6</v>
      </c>
      <c r="D597" s="64">
        <v>0</v>
      </c>
      <c r="E597" s="1">
        <f t="shared" si="71"/>
        <v>0</v>
      </c>
      <c r="F597" s="64">
        <v>8800000</v>
      </c>
      <c r="G597" s="1">
        <f t="shared" si="72"/>
        <v>9504000</v>
      </c>
      <c r="I597" s="6">
        <f>VLOOKUP(B597,'GIÁ 1.4'!$D:$F,2,0)</f>
        <v>0</v>
      </c>
      <c r="J597" s="21">
        <f t="shared" si="73"/>
        <v>0</v>
      </c>
      <c r="K597" s="6">
        <f>VLOOKUP(B597,'GIÁ 1.4'!$D:$F,3,0)</f>
        <v>8800000</v>
      </c>
      <c r="L597" s="21">
        <f t="shared" si="74"/>
        <v>0</v>
      </c>
    </row>
    <row r="598" spans="1:12" ht="16.8" x14ac:dyDescent="0.3">
      <c r="A598" s="3">
        <v>32</v>
      </c>
      <c r="B598" s="30" t="s">
        <v>3900</v>
      </c>
      <c r="C598" s="3" t="s">
        <v>6</v>
      </c>
      <c r="D598" s="64">
        <v>0</v>
      </c>
      <c r="E598" s="1">
        <f t="shared" ref="E598:E610" si="75">D598*1.08</f>
        <v>0</v>
      </c>
      <c r="F598" s="64">
        <v>8800000</v>
      </c>
      <c r="G598" s="1">
        <f t="shared" ref="G598:G610" si="76">F598*1.08</f>
        <v>9504000</v>
      </c>
      <c r="I598" s="6">
        <f>VLOOKUP(B598,'GIÁ 1.4'!$D:$F,2,0)</f>
        <v>0</v>
      </c>
      <c r="J598" s="21">
        <f t="shared" si="73"/>
        <v>0</v>
      </c>
      <c r="K598" s="6">
        <f>VLOOKUP(B598,'GIÁ 1.4'!$D:$F,3,0)</f>
        <v>8800000</v>
      </c>
      <c r="L598" s="21">
        <f t="shared" si="74"/>
        <v>0</v>
      </c>
    </row>
    <row r="599" spans="1:12" ht="16.8" x14ac:dyDescent="0.3">
      <c r="A599" s="3">
        <v>33</v>
      </c>
      <c r="B599" s="30" t="s">
        <v>4023</v>
      </c>
      <c r="C599" s="3" t="s">
        <v>6</v>
      </c>
      <c r="D599" s="64">
        <v>0</v>
      </c>
      <c r="E599" s="1">
        <f t="shared" si="75"/>
        <v>0</v>
      </c>
      <c r="F599" s="64">
        <v>9500000</v>
      </c>
      <c r="G599" s="1">
        <f t="shared" si="76"/>
        <v>10260000</v>
      </c>
      <c r="I599" s="6">
        <f>VLOOKUP(B599,'GIÁ 1.4'!$D:$F,2,0)</f>
        <v>0</v>
      </c>
      <c r="J599" s="21">
        <f t="shared" si="73"/>
        <v>0</v>
      </c>
      <c r="K599" s="6">
        <f>VLOOKUP(B599,'GIÁ 1.4'!$D:$F,3,0)</f>
        <v>9500000</v>
      </c>
      <c r="L599" s="21">
        <f t="shared" si="74"/>
        <v>0</v>
      </c>
    </row>
    <row r="600" spans="1:12" ht="16.8" x14ac:dyDescent="0.3">
      <c r="A600" s="3">
        <v>34</v>
      </c>
      <c r="B600" s="30" t="s">
        <v>4564</v>
      </c>
      <c r="C600" s="3" t="s">
        <v>6</v>
      </c>
      <c r="D600" s="64">
        <v>0</v>
      </c>
      <c r="E600" s="1">
        <f t="shared" si="75"/>
        <v>0</v>
      </c>
      <c r="F600" s="64">
        <v>9500000</v>
      </c>
      <c r="G600" s="1">
        <f t="shared" si="76"/>
        <v>10260000</v>
      </c>
      <c r="I600" s="6">
        <f>VLOOKUP(B600,'GIÁ 1.4'!$D:$F,2,0)</f>
        <v>0</v>
      </c>
      <c r="J600" s="21">
        <f t="shared" si="73"/>
        <v>0</v>
      </c>
      <c r="K600" s="6">
        <f>VLOOKUP(B600,'GIÁ 1.4'!$D:$F,3,0)</f>
        <v>9500000</v>
      </c>
      <c r="L600" s="21">
        <f t="shared" si="74"/>
        <v>0</v>
      </c>
    </row>
    <row r="601" spans="1:12" ht="16.8" x14ac:dyDescent="0.3">
      <c r="A601" s="3">
        <v>35</v>
      </c>
      <c r="B601" s="30" t="s">
        <v>5809</v>
      </c>
      <c r="C601" s="3" t="s">
        <v>6</v>
      </c>
      <c r="D601" s="65">
        <v>402000</v>
      </c>
      <c r="E601" s="1">
        <f t="shared" si="75"/>
        <v>434160</v>
      </c>
      <c r="F601" s="64">
        <v>803704</v>
      </c>
      <c r="G601" s="1">
        <f t="shared" si="76"/>
        <v>868000.32000000007</v>
      </c>
      <c r="I601" s="6">
        <f>VLOOKUP(B601,'GIÁ 1.4'!$D:$F,2,0)</f>
        <v>402000</v>
      </c>
      <c r="J601" s="21">
        <f t="shared" si="73"/>
        <v>0</v>
      </c>
      <c r="K601" s="6">
        <f>VLOOKUP(B601,'GIÁ 1.4'!$D:$F,3,0)</f>
        <v>803704</v>
      </c>
      <c r="L601" s="21">
        <f t="shared" si="74"/>
        <v>0</v>
      </c>
    </row>
    <row r="602" spans="1:12" ht="16.8" x14ac:dyDescent="0.3">
      <c r="A602" s="3">
        <v>36</v>
      </c>
      <c r="B602" s="30" t="s">
        <v>4706</v>
      </c>
      <c r="C602" s="3" t="s">
        <v>6</v>
      </c>
      <c r="D602" s="65">
        <v>436000</v>
      </c>
      <c r="E602" s="1">
        <f t="shared" si="75"/>
        <v>470880.00000000006</v>
      </c>
      <c r="F602" s="64">
        <v>872222</v>
      </c>
      <c r="G602" s="1">
        <f t="shared" si="76"/>
        <v>941999.76</v>
      </c>
      <c r="I602" s="6">
        <f>VLOOKUP(B602,'GIÁ 1.4'!$D:$F,2,0)</f>
        <v>436000</v>
      </c>
      <c r="J602" s="21">
        <f t="shared" si="73"/>
        <v>0</v>
      </c>
      <c r="K602" s="6">
        <f>VLOOKUP(B602,'GIÁ 1.4'!$D:$F,3,0)</f>
        <v>872222</v>
      </c>
      <c r="L602" s="21">
        <f t="shared" si="74"/>
        <v>0</v>
      </c>
    </row>
    <row r="603" spans="1:12" ht="16.8" x14ac:dyDescent="0.3">
      <c r="A603" s="3">
        <v>37</v>
      </c>
      <c r="B603" s="2" t="s">
        <v>6265</v>
      </c>
      <c r="C603" s="3" t="s">
        <v>6</v>
      </c>
      <c r="D603" s="65">
        <v>2952000</v>
      </c>
      <c r="E603" s="1">
        <f t="shared" si="75"/>
        <v>3188160</v>
      </c>
      <c r="F603" s="64">
        <v>5903704</v>
      </c>
      <c r="G603" s="1">
        <f t="shared" si="76"/>
        <v>6376000.3200000003</v>
      </c>
      <c r="I603" s="6">
        <f>VLOOKUP(B603,'GIÁ 1.4'!$D:$F,2,0)</f>
        <v>2952000</v>
      </c>
      <c r="J603" s="21">
        <f t="shared" si="73"/>
        <v>0</v>
      </c>
      <c r="K603" s="6">
        <f>VLOOKUP(B603,'GIÁ 1.4'!$D:$F,3,0)</f>
        <v>5903704</v>
      </c>
      <c r="L603" s="21">
        <f t="shared" si="74"/>
        <v>0</v>
      </c>
    </row>
    <row r="604" spans="1:12" ht="16.8" x14ac:dyDescent="0.3">
      <c r="A604" s="3">
        <v>38</v>
      </c>
      <c r="B604" s="2" t="s">
        <v>8034</v>
      </c>
      <c r="C604" s="3" t="s">
        <v>6</v>
      </c>
      <c r="D604" s="65">
        <v>3146000</v>
      </c>
      <c r="E604" s="1">
        <f t="shared" si="75"/>
        <v>3397680</v>
      </c>
      <c r="F604" s="64">
        <v>6291667</v>
      </c>
      <c r="G604" s="1">
        <f t="shared" si="76"/>
        <v>6795000.3600000003</v>
      </c>
      <c r="I604" s="6">
        <f>VLOOKUP(B604,'GIÁ 1.4'!$D:$F,2,0)</f>
        <v>3146000</v>
      </c>
      <c r="J604" s="21">
        <f t="shared" si="73"/>
        <v>0</v>
      </c>
      <c r="K604" s="6">
        <f>VLOOKUP(B604,'GIÁ 1.4'!$D:$F,3,0)</f>
        <v>6291667</v>
      </c>
      <c r="L604" s="21">
        <f t="shared" si="74"/>
        <v>0</v>
      </c>
    </row>
    <row r="605" spans="1:12" ht="16.8" x14ac:dyDescent="0.3">
      <c r="A605" s="3">
        <v>39</v>
      </c>
      <c r="B605" s="2" t="s">
        <v>5337</v>
      </c>
      <c r="C605" s="3" t="s">
        <v>6</v>
      </c>
      <c r="D605" s="65">
        <v>3871000</v>
      </c>
      <c r="E605" s="1">
        <f t="shared" si="75"/>
        <v>4180680.0000000005</v>
      </c>
      <c r="F605" s="64">
        <v>7741667</v>
      </c>
      <c r="G605" s="1">
        <f t="shared" si="76"/>
        <v>8361000.3600000003</v>
      </c>
      <c r="I605" s="6">
        <f>VLOOKUP(B605,'GIÁ 1.4'!$D:$F,2,0)</f>
        <v>3871000</v>
      </c>
      <c r="J605" s="21">
        <f t="shared" si="73"/>
        <v>0</v>
      </c>
      <c r="K605" s="6">
        <f>VLOOKUP(B605,'GIÁ 1.4'!$D:$F,3,0)</f>
        <v>7741667</v>
      </c>
      <c r="L605" s="21">
        <f t="shared" si="74"/>
        <v>0</v>
      </c>
    </row>
    <row r="606" spans="1:12" ht="16.8" x14ac:dyDescent="0.3">
      <c r="A606" s="3">
        <v>40</v>
      </c>
      <c r="B606" s="2" t="s">
        <v>5837</v>
      </c>
      <c r="C606" s="3" t="s">
        <v>6</v>
      </c>
      <c r="D606" s="66">
        <v>1161000</v>
      </c>
      <c r="E606" s="1">
        <f t="shared" si="75"/>
        <v>1253880</v>
      </c>
      <c r="F606" s="66">
        <v>2322222</v>
      </c>
      <c r="G606" s="1">
        <f t="shared" si="76"/>
        <v>2507999.7600000002</v>
      </c>
      <c r="I606" s="6">
        <f>VLOOKUP(B606,'GIÁ 1.4'!$D:$F,2,0)</f>
        <v>1161000</v>
      </c>
      <c r="J606" s="21">
        <f t="shared" si="73"/>
        <v>0</v>
      </c>
      <c r="K606" s="6">
        <f>VLOOKUP(B606,'GIÁ 1.4'!$D:$F,3,0)</f>
        <v>2322222</v>
      </c>
      <c r="L606" s="21">
        <f t="shared" si="74"/>
        <v>0</v>
      </c>
    </row>
    <row r="607" spans="1:12" ht="16.8" x14ac:dyDescent="0.3">
      <c r="A607" s="3">
        <v>41</v>
      </c>
      <c r="B607" s="30" t="s">
        <v>9766</v>
      </c>
      <c r="C607" s="3" t="s">
        <v>6</v>
      </c>
      <c r="D607" s="64">
        <v>1210000</v>
      </c>
      <c r="E607" s="1">
        <f t="shared" si="75"/>
        <v>1306800</v>
      </c>
      <c r="F607" s="66">
        <v>2420370</v>
      </c>
      <c r="G607" s="1">
        <f t="shared" si="76"/>
        <v>2613999.6</v>
      </c>
      <c r="I607" s="6">
        <f>VLOOKUP(B607,'GIÁ 1.4'!$D:$F,2,0)</f>
        <v>1210000</v>
      </c>
      <c r="J607" s="21">
        <f t="shared" si="73"/>
        <v>0</v>
      </c>
      <c r="K607" s="6">
        <f>VLOOKUP(B607,'GIÁ 1.4'!$D:$F,3,0)</f>
        <v>2420370</v>
      </c>
      <c r="L607" s="21">
        <f t="shared" si="74"/>
        <v>0</v>
      </c>
    </row>
    <row r="608" spans="1:12" ht="16.8" x14ac:dyDescent="0.3">
      <c r="A608" s="3">
        <v>42</v>
      </c>
      <c r="B608" s="32" t="s">
        <v>4055</v>
      </c>
      <c r="C608" s="3" t="s">
        <v>6</v>
      </c>
      <c r="D608" s="64">
        <v>1258000</v>
      </c>
      <c r="E608" s="1">
        <f t="shared" si="75"/>
        <v>1358640</v>
      </c>
      <c r="F608" s="66">
        <v>2515741</v>
      </c>
      <c r="G608" s="1">
        <f t="shared" si="76"/>
        <v>2717000.2800000003</v>
      </c>
      <c r="I608" s="6">
        <f>VLOOKUP(B608,'GIÁ 1.4'!$D:$F,2,0)</f>
        <v>1258000</v>
      </c>
      <c r="J608" s="21">
        <f t="shared" si="73"/>
        <v>0</v>
      </c>
      <c r="K608" s="6">
        <f>VLOOKUP(B608,'GIÁ 1.4'!$D:$F,3,0)</f>
        <v>2515741</v>
      </c>
      <c r="L608" s="21">
        <f t="shared" si="74"/>
        <v>0</v>
      </c>
    </row>
    <row r="609" spans="1:12" ht="16.8" x14ac:dyDescent="0.3">
      <c r="A609" s="3">
        <v>43</v>
      </c>
      <c r="B609" s="2" t="s">
        <v>4975</v>
      </c>
      <c r="C609" s="3" t="s">
        <v>6</v>
      </c>
      <c r="D609" s="66">
        <v>1549000</v>
      </c>
      <c r="E609" s="1">
        <f t="shared" si="75"/>
        <v>1672920</v>
      </c>
      <c r="F609" s="66">
        <v>3098148</v>
      </c>
      <c r="G609" s="1">
        <f t="shared" si="76"/>
        <v>3345999.8400000003</v>
      </c>
      <c r="I609" s="6">
        <f>VLOOKUP(B609,'GIÁ 1.4'!$D:$F,2,0)</f>
        <v>1549000</v>
      </c>
      <c r="J609" s="21">
        <f t="shared" si="73"/>
        <v>0</v>
      </c>
      <c r="K609" s="6">
        <f>VLOOKUP(B609,'GIÁ 1.4'!$D:$F,3,0)</f>
        <v>3098148</v>
      </c>
      <c r="L609" s="21">
        <f t="shared" si="74"/>
        <v>0</v>
      </c>
    </row>
    <row r="610" spans="1:12" ht="16.8" x14ac:dyDescent="0.3">
      <c r="A610" s="3"/>
      <c r="B610" s="36" t="s">
        <v>15599</v>
      </c>
      <c r="C610" s="3"/>
      <c r="D610" s="64"/>
      <c r="E610" s="1">
        <f t="shared" si="75"/>
        <v>0</v>
      </c>
      <c r="F610" s="64">
        <v>0</v>
      </c>
      <c r="G610" s="1">
        <f t="shared" si="76"/>
        <v>0</v>
      </c>
      <c r="J610" s="21"/>
      <c r="L610" s="21"/>
    </row>
    <row r="611" spans="1:12" ht="16.8" x14ac:dyDescent="0.3">
      <c r="A611" s="3">
        <v>42</v>
      </c>
      <c r="B611" s="30" t="s">
        <v>9446</v>
      </c>
      <c r="C611" s="3" t="s">
        <v>6</v>
      </c>
      <c r="D611" s="64">
        <v>285000</v>
      </c>
      <c r="E611" s="1">
        <f t="shared" ref="E611:E618" si="77">D611*1.08</f>
        <v>307800</v>
      </c>
      <c r="F611" s="64">
        <v>570370</v>
      </c>
      <c r="G611" s="1">
        <f t="shared" ref="G611:G618" si="78">F611*1.08</f>
        <v>615999.60000000009</v>
      </c>
      <c r="I611" s="6">
        <f>VLOOKUP(B611,'GIÁ 1.4'!$D:$F,2,0)</f>
        <v>285000</v>
      </c>
      <c r="J611" s="21">
        <f t="shared" ref="J611:J612" si="79">D611-I611</f>
        <v>0</v>
      </c>
      <c r="K611" s="6">
        <f>VLOOKUP(B611,'GIÁ 1.4'!$D:$F,3,0)</f>
        <v>570370</v>
      </c>
      <c r="L611" s="21">
        <f t="shared" ref="L611:L612" si="80">F611-K611</f>
        <v>0</v>
      </c>
    </row>
    <row r="612" spans="1:12" ht="16.8" x14ac:dyDescent="0.3">
      <c r="A612" s="3">
        <v>43</v>
      </c>
      <c r="B612" s="30" t="s">
        <v>11476</v>
      </c>
      <c r="C612" s="3" t="s">
        <v>6</v>
      </c>
      <c r="D612" s="64">
        <v>285000</v>
      </c>
      <c r="E612" s="1">
        <f t="shared" si="77"/>
        <v>307800</v>
      </c>
      <c r="F612" s="64">
        <v>570370</v>
      </c>
      <c r="G612" s="1">
        <f t="shared" si="78"/>
        <v>615999.60000000009</v>
      </c>
      <c r="I612" s="6">
        <f>VLOOKUP(B612,'GIÁ 1.4'!$D:$F,2,0)</f>
        <v>285000</v>
      </c>
      <c r="J612" s="21">
        <f t="shared" si="79"/>
        <v>0</v>
      </c>
      <c r="K612" s="6">
        <f>VLOOKUP(B612,'GIÁ 1.4'!$D:$F,3,0)</f>
        <v>570370</v>
      </c>
      <c r="L612" s="21">
        <f t="shared" si="80"/>
        <v>0</v>
      </c>
    </row>
    <row r="613" spans="1:12" ht="16.8" x14ac:dyDescent="0.3">
      <c r="A613" s="3"/>
      <c r="B613" s="36" t="s">
        <v>15600</v>
      </c>
      <c r="C613" s="3"/>
      <c r="D613" s="64"/>
      <c r="E613" s="1">
        <f t="shared" si="77"/>
        <v>0</v>
      </c>
      <c r="F613" s="64">
        <v>0</v>
      </c>
      <c r="G613" s="1">
        <f t="shared" si="78"/>
        <v>0</v>
      </c>
      <c r="J613" s="21"/>
      <c r="L613" s="21"/>
    </row>
    <row r="614" spans="1:12" ht="16.8" x14ac:dyDescent="0.3">
      <c r="A614" s="3">
        <v>3</v>
      </c>
      <c r="B614" s="30" t="s">
        <v>10942</v>
      </c>
      <c r="C614" s="3" t="s">
        <v>6</v>
      </c>
      <c r="D614" s="64">
        <v>0</v>
      </c>
      <c r="E614" s="1">
        <f t="shared" si="77"/>
        <v>0</v>
      </c>
      <c r="F614" s="64">
        <v>1442727</v>
      </c>
      <c r="G614" s="1">
        <f t="shared" si="78"/>
        <v>1558145.1600000001</v>
      </c>
      <c r="I614" s="6">
        <f>VLOOKUP(B614,'GIÁ 1.4'!$D:$F,2,0)</f>
        <v>0</v>
      </c>
      <c r="J614" s="21">
        <f t="shared" ref="J614:J651" si="81">D614-I614</f>
        <v>0</v>
      </c>
      <c r="K614" s="6">
        <f>VLOOKUP(B614,'GIÁ 1.4'!$D:$F,3,0)</f>
        <v>1442727</v>
      </c>
      <c r="L614" s="21">
        <f t="shared" ref="L614:L651" si="82">F614-K614</f>
        <v>0</v>
      </c>
    </row>
    <row r="615" spans="1:12" ht="16.8" x14ac:dyDescent="0.3">
      <c r="A615" s="3">
        <v>4</v>
      </c>
      <c r="B615" s="30" t="s">
        <v>14959</v>
      </c>
      <c r="C615" s="3" t="s">
        <v>6</v>
      </c>
      <c r="D615" s="64">
        <v>97000</v>
      </c>
      <c r="E615" s="1">
        <f t="shared" si="77"/>
        <v>104760</v>
      </c>
      <c r="F615" s="64">
        <v>193636</v>
      </c>
      <c r="G615" s="1">
        <f t="shared" si="78"/>
        <v>209126.88</v>
      </c>
      <c r="I615" s="6">
        <f>VLOOKUP(B615,'GIÁ 1.4'!$D:$F,2,0)</f>
        <v>97000</v>
      </c>
      <c r="J615" s="21">
        <f t="shared" si="81"/>
        <v>0</v>
      </c>
      <c r="K615" s="6">
        <f>VLOOKUP(B615,'GIÁ 1.4'!$D:$F,3,0)</f>
        <v>193636</v>
      </c>
      <c r="L615" s="21">
        <f t="shared" si="82"/>
        <v>0</v>
      </c>
    </row>
    <row r="616" spans="1:12" ht="16.8" x14ac:dyDescent="0.3">
      <c r="A616" s="3">
        <v>5</v>
      </c>
      <c r="B616" s="30" t="s">
        <v>8166</v>
      </c>
      <c r="C616" s="3" t="s">
        <v>6</v>
      </c>
      <c r="D616" s="64">
        <v>97000</v>
      </c>
      <c r="E616" s="1">
        <f t="shared" si="77"/>
        <v>104760</v>
      </c>
      <c r="F616" s="64">
        <v>193519</v>
      </c>
      <c r="G616" s="1">
        <f t="shared" si="78"/>
        <v>209000.52000000002</v>
      </c>
      <c r="I616" s="6">
        <f>VLOOKUP(B616,'GIÁ 1.4'!$D:$F,2,0)</f>
        <v>97000</v>
      </c>
      <c r="J616" s="21">
        <f t="shared" si="81"/>
        <v>0</v>
      </c>
      <c r="K616" s="6">
        <f>VLOOKUP(B616,'GIÁ 1.4'!$D:$F,3,0)</f>
        <v>193519</v>
      </c>
      <c r="L616" s="21">
        <f t="shared" si="82"/>
        <v>0</v>
      </c>
    </row>
    <row r="617" spans="1:12" ht="16.8" x14ac:dyDescent="0.3">
      <c r="A617" s="3">
        <v>6</v>
      </c>
      <c r="B617" s="30" t="s">
        <v>11408</v>
      </c>
      <c r="C617" s="3" t="s">
        <v>6</v>
      </c>
      <c r="D617" s="64">
        <v>97000</v>
      </c>
      <c r="E617" s="1">
        <f t="shared" si="77"/>
        <v>104760</v>
      </c>
      <c r="F617" s="64">
        <v>193519</v>
      </c>
      <c r="G617" s="1">
        <f t="shared" si="78"/>
        <v>209000.52000000002</v>
      </c>
      <c r="I617" s="6">
        <f>VLOOKUP(B617,'GIÁ 1.4'!$D:$F,2,0)</f>
        <v>97000</v>
      </c>
      <c r="J617" s="21">
        <f t="shared" si="81"/>
        <v>0</v>
      </c>
      <c r="K617" s="6">
        <f>VLOOKUP(B617,'GIÁ 1.4'!$D:$F,3,0)</f>
        <v>193519</v>
      </c>
      <c r="L617" s="21">
        <f t="shared" si="82"/>
        <v>0</v>
      </c>
    </row>
    <row r="618" spans="1:12" ht="16.8" x14ac:dyDescent="0.3">
      <c r="A618" s="3">
        <v>7</v>
      </c>
      <c r="B618" s="30" t="s">
        <v>10332</v>
      </c>
      <c r="C618" s="3" t="s">
        <v>6</v>
      </c>
      <c r="D618" s="64">
        <v>66000</v>
      </c>
      <c r="E618" s="1">
        <f t="shared" si="77"/>
        <v>71280</v>
      </c>
      <c r="F618" s="64">
        <v>131481</v>
      </c>
      <c r="G618" s="1">
        <f t="shared" si="78"/>
        <v>141999.48000000001</v>
      </c>
      <c r="I618" s="6">
        <f>VLOOKUP(B618,'GIÁ 1.4'!$D:$F,2,0)</f>
        <v>66000</v>
      </c>
      <c r="J618" s="21">
        <f t="shared" si="81"/>
        <v>0</v>
      </c>
      <c r="K618" s="6">
        <f>VLOOKUP(B618,'GIÁ 1.4'!$D:$F,3,0)</f>
        <v>131481</v>
      </c>
      <c r="L618" s="21">
        <f t="shared" si="82"/>
        <v>0</v>
      </c>
    </row>
    <row r="619" spans="1:12" ht="16.8" x14ac:dyDescent="0.3">
      <c r="A619" s="3">
        <v>8</v>
      </c>
      <c r="B619" s="30" t="s">
        <v>10380</v>
      </c>
      <c r="C619" s="3" t="s">
        <v>6</v>
      </c>
      <c r="D619" s="64">
        <v>62000</v>
      </c>
      <c r="E619" s="1">
        <f t="shared" ref="E619:E650" si="83">D619*1.08</f>
        <v>66960</v>
      </c>
      <c r="F619" s="64">
        <v>124074</v>
      </c>
      <c r="G619" s="1">
        <f t="shared" ref="G619:G649" si="84">F619*1.08</f>
        <v>133999.92000000001</v>
      </c>
      <c r="I619" s="6">
        <f>VLOOKUP(B619,'GIÁ 1.4'!$D:$F,2,0)</f>
        <v>62000</v>
      </c>
      <c r="J619" s="21">
        <f t="shared" si="81"/>
        <v>0</v>
      </c>
      <c r="K619" s="6">
        <f>VLOOKUP(B619,'GIÁ 1.4'!$D:$F,3,0)</f>
        <v>124074</v>
      </c>
      <c r="L619" s="21">
        <f t="shared" si="82"/>
        <v>0</v>
      </c>
    </row>
    <row r="620" spans="1:12" ht="16.8" x14ac:dyDescent="0.3">
      <c r="A620" s="3">
        <v>9</v>
      </c>
      <c r="B620" s="30" t="s">
        <v>12311</v>
      </c>
      <c r="C620" s="3" t="s">
        <v>6</v>
      </c>
      <c r="D620" s="64">
        <v>55700</v>
      </c>
      <c r="E620" s="1">
        <f t="shared" si="83"/>
        <v>60156.000000000007</v>
      </c>
      <c r="F620" s="64">
        <v>111111</v>
      </c>
      <c r="G620" s="1">
        <f t="shared" si="84"/>
        <v>119999.88</v>
      </c>
      <c r="I620" s="6">
        <f>VLOOKUP(B620,'GIÁ 1.4'!$D:$F,2,0)</f>
        <v>55700</v>
      </c>
      <c r="J620" s="21">
        <f t="shared" si="81"/>
        <v>0</v>
      </c>
      <c r="K620" s="6">
        <f>VLOOKUP(B620,'GIÁ 1.4'!$D:$F,3,0)</f>
        <v>111111</v>
      </c>
      <c r="L620" s="21">
        <f t="shared" si="82"/>
        <v>0</v>
      </c>
    </row>
    <row r="621" spans="1:12" ht="16.8" x14ac:dyDescent="0.3">
      <c r="A621" s="3">
        <v>10</v>
      </c>
      <c r="B621" s="30" t="s">
        <v>11655</v>
      </c>
      <c r="C621" s="3" t="s">
        <v>6</v>
      </c>
      <c r="D621" s="64">
        <v>64000</v>
      </c>
      <c r="E621" s="1">
        <f t="shared" si="83"/>
        <v>69120</v>
      </c>
      <c r="F621" s="64">
        <v>127778</v>
      </c>
      <c r="G621" s="1">
        <f t="shared" si="84"/>
        <v>138000.24000000002</v>
      </c>
      <c r="I621" s="6">
        <f>VLOOKUP(B621,'GIÁ 1.4'!$D:$F,2,0)</f>
        <v>64000</v>
      </c>
      <c r="J621" s="21">
        <f t="shared" si="81"/>
        <v>0</v>
      </c>
      <c r="K621" s="6">
        <f>VLOOKUP(B621,'GIÁ 1.4'!$D:$F,3,0)</f>
        <v>127778</v>
      </c>
      <c r="L621" s="21">
        <f t="shared" si="82"/>
        <v>0</v>
      </c>
    </row>
    <row r="622" spans="1:12" ht="16.8" x14ac:dyDescent="0.3">
      <c r="A622" s="3">
        <v>11</v>
      </c>
      <c r="B622" s="30" t="s">
        <v>13767</v>
      </c>
      <c r="C622" s="3" t="s">
        <v>6</v>
      </c>
      <c r="D622" s="64">
        <v>100000</v>
      </c>
      <c r="E622" s="1">
        <f t="shared" si="83"/>
        <v>108000</v>
      </c>
      <c r="F622" s="64">
        <v>200000</v>
      </c>
      <c r="G622" s="1">
        <f t="shared" si="84"/>
        <v>216000</v>
      </c>
      <c r="I622" s="6">
        <f>VLOOKUP(B622,'GIÁ 1.4'!$D:$F,2,0)</f>
        <v>100000</v>
      </c>
      <c r="J622" s="21">
        <f t="shared" si="81"/>
        <v>0</v>
      </c>
      <c r="K622" s="6">
        <f>VLOOKUP(B622,'GIÁ 1.4'!$D:$F,3,0)</f>
        <v>200000</v>
      </c>
      <c r="L622" s="21">
        <f t="shared" si="82"/>
        <v>0</v>
      </c>
    </row>
    <row r="623" spans="1:12" ht="16.8" x14ac:dyDescent="0.3">
      <c r="A623" s="3">
        <v>12</v>
      </c>
      <c r="B623" s="30" t="s">
        <v>11708</v>
      </c>
      <c r="C623" s="3" t="s">
        <v>6</v>
      </c>
      <c r="D623" s="64">
        <v>115000</v>
      </c>
      <c r="E623" s="1">
        <f t="shared" si="83"/>
        <v>124200.00000000001</v>
      </c>
      <c r="F623" s="64">
        <v>229630</v>
      </c>
      <c r="G623" s="1">
        <f t="shared" si="84"/>
        <v>248000.40000000002</v>
      </c>
      <c r="I623" s="6">
        <f>VLOOKUP(B623,'GIÁ 1.4'!$D:$F,2,0)</f>
        <v>115000</v>
      </c>
      <c r="J623" s="21">
        <f t="shared" si="81"/>
        <v>0</v>
      </c>
      <c r="K623" s="6">
        <f>VLOOKUP(B623,'GIÁ 1.4'!$D:$F,3,0)</f>
        <v>229630</v>
      </c>
      <c r="L623" s="21">
        <f t="shared" si="82"/>
        <v>0</v>
      </c>
    </row>
    <row r="624" spans="1:12" ht="16.8" x14ac:dyDescent="0.3">
      <c r="A624" s="3">
        <v>13</v>
      </c>
      <c r="B624" s="30" t="s">
        <v>10703</v>
      </c>
      <c r="C624" s="3" t="s">
        <v>6</v>
      </c>
      <c r="D624" s="64">
        <v>140000</v>
      </c>
      <c r="E624" s="1">
        <f t="shared" si="83"/>
        <v>151200</v>
      </c>
      <c r="F624" s="64">
        <v>279630</v>
      </c>
      <c r="G624" s="1">
        <f t="shared" si="84"/>
        <v>302000.40000000002</v>
      </c>
      <c r="I624" s="6">
        <f>VLOOKUP(B624,'GIÁ 1.4'!$D:$F,2,0)</f>
        <v>140000</v>
      </c>
      <c r="J624" s="21">
        <f t="shared" si="81"/>
        <v>0</v>
      </c>
      <c r="K624" s="6">
        <f>VLOOKUP(B624,'GIÁ 1.4'!$D:$F,3,0)</f>
        <v>279630</v>
      </c>
      <c r="L624" s="21">
        <f t="shared" si="82"/>
        <v>0</v>
      </c>
    </row>
    <row r="625" spans="1:12" ht="16.8" x14ac:dyDescent="0.3">
      <c r="A625" s="3">
        <v>14</v>
      </c>
      <c r="B625" s="30" t="s">
        <v>14925</v>
      </c>
      <c r="C625" s="3" t="s">
        <v>6</v>
      </c>
      <c r="D625" s="64">
        <v>155000</v>
      </c>
      <c r="E625" s="1">
        <f t="shared" si="83"/>
        <v>167400</v>
      </c>
      <c r="F625" s="64">
        <v>310185</v>
      </c>
      <c r="G625" s="1">
        <f t="shared" si="84"/>
        <v>334999.80000000005</v>
      </c>
      <c r="I625" s="6">
        <f>VLOOKUP(B625,'GIÁ 1.4'!$D:$F,2,0)</f>
        <v>155000</v>
      </c>
      <c r="J625" s="21">
        <f t="shared" si="81"/>
        <v>0</v>
      </c>
      <c r="K625" s="6">
        <f>VLOOKUP(B625,'GIÁ 1.4'!$D:$F,3,0)</f>
        <v>310185</v>
      </c>
      <c r="L625" s="21">
        <f t="shared" si="82"/>
        <v>0</v>
      </c>
    </row>
    <row r="626" spans="1:12" ht="16.8" x14ac:dyDescent="0.3">
      <c r="A626" s="3">
        <v>15</v>
      </c>
      <c r="B626" s="30" t="s">
        <v>9618</v>
      </c>
      <c r="C626" s="3" t="s">
        <v>6</v>
      </c>
      <c r="D626" s="64">
        <v>250000</v>
      </c>
      <c r="E626" s="1">
        <f t="shared" si="83"/>
        <v>270000</v>
      </c>
      <c r="F626" s="64">
        <v>500000</v>
      </c>
      <c r="G626" s="1">
        <f t="shared" si="84"/>
        <v>540000</v>
      </c>
      <c r="I626" s="6">
        <f>VLOOKUP(B626,'GIÁ 1.4'!$D:$F,2,0)</f>
        <v>250000</v>
      </c>
      <c r="J626" s="21">
        <f t="shared" si="81"/>
        <v>0</v>
      </c>
      <c r="K626" s="6">
        <f>VLOOKUP(B626,'GIÁ 1.4'!$D:$F,3,0)</f>
        <v>500000</v>
      </c>
      <c r="L626" s="21">
        <f t="shared" si="82"/>
        <v>0</v>
      </c>
    </row>
    <row r="627" spans="1:12" ht="16.8" x14ac:dyDescent="0.3">
      <c r="A627" s="3">
        <v>16</v>
      </c>
      <c r="B627" s="30" t="s">
        <v>6115</v>
      </c>
      <c r="C627" s="3" t="s">
        <v>6</v>
      </c>
      <c r="D627" s="64">
        <v>250000</v>
      </c>
      <c r="E627" s="1">
        <f t="shared" si="83"/>
        <v>270000</v>
      </c>
      <c r="F627" s="64">
        <v>500000</v>
      </c>
      <c r="G627" s="1">
        <f t="shared" si="84"/>
        <v>540000</v>
      </c>
      <c r="I627" s="6">
        <f>VLOOKUP(B627,'GIÁ 1.4'!$D:$F,2,0)</f>
        <v>250000</v>
      </c>
      <c r="J627" s="21">
        <f t="shared" si="81"/>
        <v>0</v>
      </c>
      <c r="K627" s="6">
        <f>VLOOKUP(B627,'GIÁ 1.4'!$D:$F,3,0)</f>
        <v>500000</v>
      </c>
      <c r="L627" s="21">
        <f t="shared" si="82"/>
        <v>0</v>
      </c>
    </row>
    <row r="628" spans="1:12" ht="16.8" x14ac:dyDescent="0.3">
      <c r="A628" s="3">
        <v>17</v>
      </c>
      <c r="B628" s="30" t="s">
        <v>5571</v>
      </c>
      <c r="C628" s="3" t="s">
        <v>6</v>
      </c>
      <c r="D628" s="64">
        <v>485000</v>
      </c>
      <c r="E628" s="1">
        <f t="shared" si="83"/>
        <v>523800.00000000006</v>
      </c>
      <c r="F628" s="64">
        <v>970370</v>
      </c>
      <c r="G628" s="1">
        <f t="shared" si="84"/>
        <v>1047999.6000000001</v>
      </c>
      <c r="I628" s="6">
        <f>VLOOKUP(B628,'GIÁ 1.4'!$D:$F,2,0)</f>
        <v>485000</v>
      </c>
      <c r="J628" s="21">
        <f t="shared" si="81"/>
        <v>0</v>
      </c>
      <c r="K628" s="6">
        <f>VLOOKUP(B628,'GIÁ 1.4'!$D:$F,3,0)</f>
        <v>970370</v>
      </c>
      <c r="L628" s="21">
        <f t="shared" si="82"/>
        <v>0</v>
      </c>
    </row>
    <row r="629" spans="1:12" ht="16.8" x14ac:dyDescent="0.3">
      <c r="A629" s="3">
        <v>18</v>
      </c>
      <c r="B629" s="30" t="s">
        <v>4534</v>
      </c>
      <c r="C629" s="3" t="s">
        <v>6</v>
      </c>
      <c r="D629" s="64">
        <v>485000</v>
      </c>
      <c r="E629" s="1">
        <f t="shared" si="83"/>
        <v>523800.00000000006</v>
      </c>
      <c r="F629" s="64">
        <v>970370</v>
      </c>
      <c r="G629" s="1">
        <f t="shared" si="84"/>
        <v>1047999.6000000001</v>
      </c>
      <c r="I629" s="6">
        <f>VLOOKUP(B629,'GIÁ 1.4'!$D:$F,2,0)</f>
        <v>485000</v>
      </c>
      <c r="J629" s="21">
        <f t="shared" si="81"/>
        <v>0</v>
      </c>
      <c r="K629" s="6">
        <f>VLOOKUP(B629,'GIÁ 1.4'!$D:$F,3,0)</f>
        <v>970370</v>
      </c>
      <c r="L629" s="21">
        <f t="shared" si="82"/>
        <v>0</v>
      </c>
    </row>
    <row r="630" spans="1:12" ht="16.8" x14ac:dyDescent="0.3">
      <c r="A630" s="3">
        <v>19</v>
      </c>
      <c r="B630" s="30" t="s">
        <v>11502</v>
      </c>
      <c r="C630" s="3" t="s">
        <v>6</v>
      </c>
      <c r="D630" s="64">
        <v>133000</v>
      </c>
      <c r="E630" s="1">
        <f t="shared" si="83"/>
        <v>143640</v>
      </c>
      <c r="F630" s="64">
        <v>265741</v>
      </c>
      <c r="G630" s="1">
        <f t="shared" si="84"/>
        <v>287000.28000000003</v>
      </c>
      <c r="I630" s="6">
        <f>VLOOKUP(B630,'GIÁ 1.4'!$D:$F,2,0)</f>
        <v>133000</v>
      </c>
      <c r="J630" s="21">
        <f t="shared" si="81"/>
        <v>0</v>
      </c>
      <c r="K630" s="6">
        <f>VLOOKUP(B630,'GIÁ 1.4'!$D:$F,3,0)</f>
        <v>265741</v>
      </c>
      <c r="L630" s="21">
        <f t="shared" si="82"/>
        <v>0</v>
      </c>
    </row>
    <row r="631" spans="1:12" ht="16.8" x14ac:dyDescent="0.3">
      <c r="A631" s="3">
        <v>20</v>
      </c>
      <c r="B631" s="30" t="s">
        <v>10887</v>
      </c>
      <c r="C631" s="3" t="s">
        <v>6</v>
      </c>
      <c r="D631" s="64">
        <v>133000</v>
      </c>
      <c r="E631" s="1">
        <f t="shared" si="83"/>
        <v>143640</v>
      </c>
      <c r="F631" s="64">
        <v>265741</v>
      </c>
      <c r="G631" s="1">
        <f t="shared" si="84"/>
        <v>287000.28000000003</v>
      </c>
      <c r="I631" s="6">
        <f>VLOOKUP(B631,'GIÁ 1.4'!$D:$F,2,0)</f>
        <v>133000</v>
      </c>
      <c r="J631" s="21">
        <f t="shared" si="81"/>
        <v>0</v>
      </c>
      <c r="K631" s="6">
        <f>VLOOKUP(B631,'GIÁ 1.4'!$D:$F,3,0)</f>
        <v>265741</v>
      </c>
      <c r="L631" s="21">
        <f t="shared" si="82"/>
        <v>0</v>
      </c>
    </row>
    <row r="632" spans="1:12" ht="16.8" x14ac:dyDescent="0.3">
      <c r="A632" s="3">
        <v>21</v>
      </c>
      <c r="B632" s="30" t="s">
        <v>11418</v>
      </c>
      <c r="C632" s="3" t="s">
        <v>6</v>
      </c>
      <c r="D632" s="64">
        <v>162000</v>
      </c>
      <c r="E632" s="1">
        <f t="shared" si="83"/>
        <v>174960</v>
      </c>
      <c r="F632" s="64">
        <v>324074</v>
      </c>
      <c r="G632" s="1">
        <f t="shared" si="84"/>
        <v>349999.92000000004</v>
      </c>
      <c r="I632" s="6">
        <f>VLOOKUP(B632,'GIÁ 1.4'!$D:$F,2,0)</f>
        <v>162000</v>
      </c>
      <c r="J632" s="21">
        <f t="shared" si="81"/>
        <v>0</v>
      </c>
      <c r="K632" s="6">
        <f>VLOOKUP(B632,'GIÁ 1.4'!$D:$F,3,0)</f>
        <v>324074</v>
      </c>
      <c r="L632" s="21">
        <f t="shared" si="82"/>
        <v>0</v>
      </c>
    </row>
    <row r="633" spans="1:12" ht="16.8" x14ac:dyDescent="0.3">
      <c r="A633" s="3">
        <v>22</v>
      </c>
      <c r="B633" s="30" t="s">
        <v>8916</v>
      </c>
      <c r="C633" s="3" t="s">
        <v>6</v>
      </c>
      <c r="D633" s="64">
        <v>162000</v>
      </c>
      <c r="E633" s="1">
        <f t="shared" si="83"/>
        <v>174960</v>
      </c>
      <c r="F633" s="64">
        <v>324074</v>
      </c>
      <c r="G633" s="1">
        <f t="shared" si="84"/>
        <v>349999.92000000004</v>
      </c>
      <c r="I633" s="6">
        <f>VLOOKUP(B633,'GIÁ 1.4'!$D:$F,2,0)</f>
        <v>162000</v>
      </c>
      <c r="J633" s="21">
        <f t="shared" si="81"/>
        <v>0</v>
      </c>
      <c r="K633" s="6">
        <f>VLOOKUP(B633,'GIÁ 1.4'!$D:$F,3,0)</f>
        <v>324074</v>
      </c>
      <c r="L633" s="21">
        <f t="shared" si="82"/>
        <v>0</v>
      </c>
    </row>
    <row r="634" spans="1:12" ht="16.8" x14ac:dyDescent="0.3">
      <c r="A634" s="3">
        <v>23</v>
      </c>
      <c r="B634" s="30" t="s">
        <v>13371</v>
      </c>
      <c r="C634" s="3" t="s">
        <v>6</v>
      </c>
      <c r="D634" s="64">
        <v>210000</v>
      </c>
      <c r="E634" s="1">
        <f t="shared" si="83"/>
        <v>226800.00000000003</v>
      </c>
      <c r="F634" s="64">
        <v>420370</v>
      </c>
      <c r="G634" s="1">
        <f t="shared" si="84"/>
        <v>453999.60000000003</v>
      </c>
      <c r="I634" s="6">
        <f>VLOOKUP(B634,'GIÁ 1.4'!$D:$F,2,0)</f>
        <v>210000</v>
      </c>
      <c r="J634" s="21">
        <f t="shared" si="81"/>
        <v>0</v>
      </c>
      <c r="K634" s="6">
        <f>VLOOKUP(B634,'GIÁ 1.4'!$D:$F,3,0)</f>
        <v>420370</v>
      </c>
      <c r="L634" s="21">
        <f t="shared" si="82"/>
        <v>0</v>
      </c>
    </row>
    <row r="635" spans="1:12" ht="16.8" x14ac:dyDescent="0.3">
      <c r="A635" s="3">
        <v>24</v>
      </c>
      <c r="B635" s="30" t="s">
        <v>14610</v>
      </c>
      <c r="C635" s="3" t="s">
        <v>6</v>
      </c>
      <c r="D635" s="64">
        <v>260000</v>
      </c>
      <c r="E635" s="1">
        <f t="shared" si="83"/>
        <v>280800</v>
      </c>
      <c r="F635" s="64">
        <v>520370</v>
      </c>
      <c r="G635" s="1">
        <f t="shared" si="84"/>
        <v>561999.60000000009</v>
      </c>
      <c r="I635" s="6">
        <f>VLOOKUP(B635,'GIÁ 1.4'!$D:$F,2,0)</f>
        <v>260000</v>
      </c>
      <c r="J635" s="21">
        <f t="shared" si="81"/>
        <v>0</v>
      </c>
      <c r="K635" s="6">
        <f>VLOOKUP(B635,'GIÁ 1.4'!$D:$F,3,0)</f>
        <v>520370</v>
      </c>
      <c r="L635" s="21">
        <f t="shared" si="82"/>
        <v>0</v>
      </c>
    </row>
    <row r="636" spans="1:12" ht="16.8" x14ac:dyDescent="0.3">
      <c r="A636" s="3">
        <v>25</v>
      </c>
      <c r="B636" s="30" t="s">
        <v>8920</v>
      </c>
      <c r="C636" s="3" t="s">
        <v>6</v>
      </c>
      <c r="D636" s="64">
        <v>215000</v>
      </c>
      <c r="E636" s="1">
        <f t="shared" si="83"/>
        <v>232200.00000000003</v>
      </c>
      <c r="F636" s="64">
        <v>429630</v>
      </c>
      <c r="G636" s="1">
        <f t="shared" si="84"/>
        <v>464000.4</v>
      </c>
      <c r="I636" s="6">
        <f>VLOOKUP(B636,'GIÁ 1.4'!$D:$F,2,0)</f>
        <v>215000</v>
      </c>
      <c r="J636" s="21">
        <f t="shared" si="81"/>
        <v>0</v>
      </c>
      <c r="K636" s="6">
        <f>VLOOKUP(B636,'GIÁ 1.4'!$D:$F,3,0)</f>
        <v>429630</v>
      </c>
      <c r="L636" s="21">
        <f t="shared" si="82"/>
        <v>0</v>
      </c>
    </row>
    <row r="637" spans="1:12" ht="16.8" x14ac:dyDescent="0.3">
      <c r="A637" s="3">
        <v>26</v>
      </c>
      <c r="B637" s="30" t="s">
        <v>11514</v>
      </c>
      <c r="C637" s="3" t="s">
        <v>6</v>
      </c>
      <c r="D637" s="64">
        <v>160200</v>
      </c>
      <c r="E637" s="1">
        <f t="shared" si="83"/>
        <v>173016</v>
      </c>
      <c r="F637" s="64">
        <v>320370</v>
      </c>
      <c r="G637" s="1">
        <f t="shared" si="84"/>
        <v>345999.60000000003</v>
      </c>
      <c r="I637" s="6">
        <f>VLOOKUP(B637,'GIÁ 1.4'!$D:$F,2,0)</f>
        <v>160200</v>
      </c>
      <c r="J637" s="21">
        <f t="shared" si="81"/>
        <v>0</v>
      </c>
      <c r="K637" s="6">
        <f>VLOOKUP(B637,'GIÁ 1.4'!$D:$F,3,0)</f>
        <v>320370</v>
      </c>
      <c r="L637" s="21">
        <f t="shared" si="82"/>
        <v>0</v>
      </c>
    </row>
    <row r="638" spans="1:12" ht="16.8" x14ac:dyDescent="0.3">
      <c r="A638" s="3">
        <v>27</v>
      </c>
      <c r="B638" s="30" t="s">
        <v>14624</v>
      </c>
      <c r="C638" s="3" t="s">
        <v>6</v>
      </c>
      <c r="D638" s="64">
        <v>189900</v>
      </c>
      <c r="E638" s="1">
        <f t="shared" si="83"/>
        <v>205092</v>
      </c>
      <c r="F638" s="64">
        <v>379630</v>
      </c>
      <c r="G638" s="1">
        <f t="shared" si="84"/>
        <v>410000.4</v>
      </c>
      <c r="I638" s="6">
        <f>VLOOKUP(B638,'GIÁ 1.4'!$D:$F,2,0)</f>
        <v>189900</v>
      </c>
      <c r="J638" s="21">
        <f t="shared" si="81"/>
        <v>0</v>
      </c>
      <c r="K638" s="6">
        <f>VLOOKUP(B638,'GIÁ 1.4'!$D:$F,3,0)</f>
        <v>379630</v>
      </c>
      <c r="L638" s="21">
        <f t="shared" si="82"/>
        <v>0</v>
      </c>
    </row>
    <row r="639" spans="1:12" ht="16.8" x14ac:dyDescent="0.3">
      <c r="A639" s="3">
        <v>28</v>
      </c>
      <c r="B639" s="30" t="s">
        <v>9570</v>
      </c>
      <c r="C639" s="3" t="s">
        <v>6</v>
      </c>
      <c r="D639" s="64">
        <v>148200</v>
      </c>
      <c r="E639" s="1">
        <f t="shared" si="83"/>
        <v>160056</v>
      </c>
      <c r="F639" s="64">
        <v>296296</v>
      </c>
      <c r="G639" s="1">
        <f t="shared" si="84"/>
        <v>319999.68</v>
      </c>
      <c r="I639" s="6">
        <f>VLOOKUP(B639,'GIÁ 1.4'!$D:$F,2,0)</f>
        <v>148200</v>
      </c>
      <c r="J639" s="21">
        <f t="shared" si="81"/>
        <v>0</v>
      </c>
      <c r="K639" s="6">
        <f>VLOOKUP(B639,'GIÁ 1.4'!$D:$F,3,0)</f>
        <v>296296</v>
      </c>
      <c r="L639" s="21">
        <f t="shared" si="82"/>
        <v>0</v>
      </c>
    </row>
    <row r="640" spans="1:12" ht="16.8" x14ac:dyDescent="0.3">
      <c r="A640" s="3">
        <v>29</v>
      </c>
      <c r="B640" s="30" t="s">
        <v>14935</v>
      </c>
      <c r="C640" s="3" t="s">
        <v>6</v>
      </c>
      <c r="D640" s="64">
        <v>229700</v>
      </c>
      <c r="E640" s="1">
        <f t="shared" si="83"/>
        <v>248076.00000000003</v>
      </c>
      <c r="F640" s="64">
        <v>460185</v>
      </c>
      <c r="G640" s="1">
        <f t="shared" si="84"/>
        <v>496999.80000000005</v>
      </c>
      <c r="I640" s="6">
        <f>VLOOKUP(B640,'GIÁ 1.4'!$D:$F,2,0)</f>
        <v>229700</v>
      </c>
      <c r="J640" s="21">
        <f t="shared" si="81"/>
        <v>0</v>
      </c>
      <c r="K640" s="6">
        <f>VLOOKUP(B640,'GIÁ 1.4'!$D:$F,3,0)</f>
        <v>460185</v>
      </c>
      <c r="L640" s="21">
        <f t="shared" si="82"/>
        <v>0</v>
      </c>
    </row>
    <row r="641" spans="1:12" ht="16.8" x14ac:dyDescent="0.3">
      <c r="A641" s="3">
        <v>30</v>
      </c>
      <c r="B641" s="30" t="s">
        <v>11746</v>
      </c>
      <c r="C641" s="3" t="s">
        <v>6</v>
      </c>
      <c r="D641" s="64">
        <v>222300</v>
      </c>
      <c r="E641" s="1">
        <f t="shared" si="83"/>
        <v>240084.00000000003</v>
      </c>
      <c r="F641" s="64">
        <v>444444</v>
      </c>
      <c r="G641" s="1">
        <f t="shared" si="84"/>
        <v>479999.52</v>
      </c>
      <c r="I641" s="6">
        <f>VLOOKUP(B641,'GIÁ 1.4'!$D:$F,2,0)</f>
        <v>222300</v>
      </c>
      <c r="J641" s="21">
        <f t="shared" si="81"/>
        <v>0</v>
      </c>
      <c r="K641" s="6">
        <f>VLOOKUP(B641,'GIÁ 1.4'!$D:$F,3,0)</f>
        <v>444444</v>
      </c>
      <c r="L641" s="21">
        <f t="shared" si="82"/>
        <v>0</v>
      </c>
    </row>
    <row r="642" spans="1:12" ht="16.8" x14ac:dyDescent="0.3">
      <c r="A642" s="3">
        <v>31</v>
      </c>
      <c r="B642" s="30" t="s">
        <v>9194</v>
      </c>
      <c r="C642" s="3" t="s">
        <v>6</v>
      </c>
      <c r="D642" s="64">
        <v>240800</v>
      </c>
      <c r="E642" s="1">
        <f t="shared" si="83"/>
        <v>260064.00000000003</v>
      </c>
      <c r="F642" s="64">
        <v>481481</v>
      </c>
      <c r="G642" s="1">
        <f t="shared" si="84"/>
        <v>519999.48000000004</v>
      </c>
      <c r="I642" s="6">
        <f>VLOOKUP(B642,'GIÁ 1.4'!$D:$F,2,0)</f>
        <v>240800</v>
      </c>
      <c r="J642" s="21">
        <f t="shared" si="81"/>
        <v>0</v>
      </c>
      <c r="K642" s="6">
        <f>VLOOKUP(B642,'GIÁ 1.4'!$D:$F,3,0)</f>
        <v>481481</v>
      </c>
      <c r="L642" s="21">
        <f t="shared" si="82"/>
        <v>0</v>
      </c>
    </row>
    <row r="643" spans="1:12" ht="16.8" x14ac:dyDescent="0.3">
      <c r="A643" s="3">
        <v>32</v>
      </c>
      <c r="B643" s="30" t="s">
        <v>12231</v>
      </c>
      <c r="C643" s="3" t="s">
        <v>6</v>
      </c>
      <c r="D643" s="64">
        <v>150000</v>
      </c>
      <c r="E643" s="1">
        <f t="shared" si="83"/>
        <v>162000</v>
      </c>
      <c r="F643" s="64">
        <v>300000</v>
      </c>
      <c r="G643" s="1">
        <f t="shared" si="84"/>
        <v>324000</v>
      </c>
      <c r="I643" s="6">
        <f>VLOOKUP(B643,'GIÁ 1.4'!$D:$F,2,0)</f>
        <v>150000</v>
      </c>
      <c r="J643" s="21">
        <f t="shared" si="81"/>
        <v>0</v>
      </c>
      <c r="K643" s="6">
        <f>VLOOKUP(B643,'GIÁ 1.4'!$D:$F,3,0)</f>
        <v>300000</v>
      </c>
      <c r="L643" s="21">
        <f t="shared" si="82"/>
        <v>0</v>
      </c>
    </row>
    <row r="644" spans="1:12" ht="16.8" x14ac:dyDescent="0.3">
      <c r="A644" s="3">
        <v>33</v>
      </c>
      <c r="B644" s="2" t="s">
        <v>13897</v>
      </c>
      <c r="C644" s="3" t="s">
        <v>6</v>
      </c>
      <c r="D644" s="65">
        <v>65000</v>
      </c>
      <c r="E644" s="1">
        <f t="shared" si="83"/>
        <v>70200</v>
      </c>
      <c r="F644" s="64">
        <v>129630</v>
      </c>
      <c r="G644" s="1">
        <f t="shared" si="84"/>
        <v>140000.40000000002</v>
      </c>
      <c r="I644" s="6">
        <f>VLOOKUP(B644,'GIÁ 1.4'!$D:$F,2,0)</f>
        <v>65000</v>
      </c>
      <c r="J644" s="21">
        <f t="shared" si="81"/>
        <v>0</v>
      </c>
      <c r="K644" s="6">
        <f>VLOOKUP(B644,'GIÁ 1.4'!$D:$F,3,0)</f>
        <v>129630</v>
      </c>
      <c r="L644" s="21">
        <f t="shared" si="82"/>
        <v>0</v>
      </c>
    </row>
    <row r="645" spans="1:12" ht="16.8" x14ac:dyDescent="0.3">
      <c r="A645" s="3">
        <v>34</v>
      </c>
      <c r="B645" s="2" t="s">
        <v>13230</v>
      </c>
      <c r="C645" s="3" t="s">
        <v>6</v>
      </c>
      <c r="D645" s="65">
        <v>90000</v>
      </c>
      <c r="E645" s="1">
        <f t="shared" si="83"/>
        <v>97200</v>
      </c>
      <c r="F645" s="64">
        <v>179630</v>
      </c>
      <c r="G645" s="1">
        <f t="shared" si="84"/>
        <v>194000.40000000002</v>
      </c>
      <c r="I645" s="6">
        <f>VLOOKUP(B645,'GIÁ 1.4'!$D:$F,2,0)</f>
        <v>90000</v>
      </c>
      <c r="J645" s="21">
        <f t="shared" si="81"/>
        <v>0</v>
      </c>
      <c r="K645" s="6">
        <f>VLOOKUP(B645,'GIÁ 1.4'!$D:$F,3,0)</f>
        <v>179630</v>
      </c>
      <c r="L645" s="21">
        <f t="shared" si="82"/>
        <v>0</v>
      </c>
    </row>
    <row r="646" spans="1:12" ht="16.8" x14ac:dyDescent="0.3">
      <c r="A646" s="3">
        <v>35</v>
      </c>
      <c r="B646" s="2" t="s">
        <v>15361</v>
      </c>
      <c r="C646" s="3" t="s">
        <v>6</v>
      </c>
      <c r="D646" s="65">
        <v>80000</v>
      </c>
      <c r="E646" s="1">
        <f t="shared" si="83"/>
        <v>86400</v>
      </c>
      <c r="F646" s="64">
        <v>160185</v>
      </c>
      <c r="G646" s="1">
        <f t="shared" si="84"/>
        <v>172999.80000000002</v>
      </c>
      <c r="I646" s="6">
        <f>VLOOKUP(B646,'GIÁ 1.4'!$D:$F,2,0)</f>
        <v>80000</v>
      </c>
      <c r="J646" s="21">
        <f t="shared" si="81"/>
        <v>0</v>
      </c>
      <c r="K646" s="6">
        <f>VLOOKUP(B646,'GIÁ 1.4'!$D:$F,3,0)</f>
        <v>160185</v>
      </c>
      <c r="L646" s="21">
        <f t="shared" si="82"/>
        <v>0</v>
      </c>
    </row>
    <row r="647" spans="1:12" ht="16.8" x14ac:dyDescent="0.3">
      <c r="A647" s="3">
        <v>36</v>
      </c>
      <c r="B647" s="2" t="s">
        <v>13232</v>
      </c>
      <c r="C647" s="3" t="s">
        <v>6</v>
      </c>
      <c r="D647" s="65">
        <v>105000</v>
      </c>
      <c r="E647" s="1">
        <f t="shared" si="83"/>
        <v>113400.00000000001</v>
      </c>
      <c r="F647" s="64">
        <v>210185</v>
      </c>
      <c r="G647" s="1">
        <f t="shared" si="84"/>
        <v>226999.80000000002</v>
      </c>
      <c r="I647" s="6">
        <f>VLOOKUP(B647,'GIÁ 1.4'!$D:$F,2,0)</f>
        <v>105000</v>
      </c>
      <c r="J647" s="21">
        <f t="shared" si="81"/>
        <v>0</v>
      </c>
      <c r="K647" s="6">
        <f>VLOOKUP(B647,'GIÁ 1.4'!$D:$F,3,0)</f>
        <v>210185</v>
      </c>
      <c r="L647" s="21">
        <f t="shared" si="82"/>
        <v>0</v>
      </c>
    </row>
    <row r="648" spans="1:12" ht="16.8" x14ac:dyDescent="0.3">
      <c r="A648" s="3">
        <v>37</v>
      </c>
      <c r="B648" s="30" t="s">
        <v>11245</v>
      </c>
      <c r="C648" s="3" t="s">
        <v>6</v>
      </c>
      <c r="D648" s="64">
        <v>65000</v>
      </c>
      <c r="E648" s="1">
        <f t="shared" si="83"/>
        <v>70200</v>
      </c>
      <c r="F648" s="64">
        <v>129630</v>
      </c>
      <c r="G648" s="1">
        <f t="shared" si="84"/>
        <v>140000.40000000002</v>
      </c>
      <c r="I648" s="6">
        <f>VLOOKUP(B648,'GIÁ 1.4'!$D:$F,2,0)</f>
        <v>65000</v>
      </c>
      <c r="J648" s="21">
        <f t="shared" si="81"/>
        <v>0</v>
      </c>
      <c r="K648" s="6">
        <f>VLOOKUP(B648,'GIÁ 1.4'!$D:$F,3,0)</f>
        <v>129630</v>
      </c>
      <c r="L648" s="21">
        <f t="shared" si="82"/>
        <v>0</v>
      </c>
    </row>
    <row r="649" spans="1:12" ht="16.8" x14ac:dyDescent="0.3">
      <c r="A649" s="3">
        <v>38</v>
      </c>
      <c r="B649" s="30" t="s">
        <v>14880</v>
      </c>
      <c r="C649" s="3" t="s">
        <v>6</v>
      </c>
      <c r="D649" s="64">
        <v>90000</v>
      </c>
      <c r="E649" s="1">
        <f t="shared" si="83"/>
        <v>97200</v>
      </c>
      <c r="F649" s="64">
        <v>179630</v>
      </c>
      <c r="G649" s="1">
        <f t="shared" si="84"/>
        <v>194000.40000000002</v>
      </c>
      <c r="I649" s="6">
        <f>VLOOKUP(B649,'GIÁ 1.4'!$D:$F,2,0)</f>
        <v>90000</v>
      </c>
      <c r="J649" s="21">
        <f t="shared" si="81"/>
        <v>0</v>
      </c>
      <c r="K649" s="6">
        <f>VLOOKUP(B649,'GIÁ 1.4'!$D:$F,3,0)</f>
        <v>179630</v>
      </c>
      <c r="L649" s="21">
        <f t="shared" si="82"/>
        <v>0</v>
      </c>
    </row>
    <row r="650" spans="1:12" ht="16.8" x14ac:dyDescent="0.3">
      <c r="A650" s="3">
        <v>39</v>
      </c>
      <c r="B650" s="17" t="s">
        <v>14654</v>
      </c>
      <c r="C650" s="23" t="s">
        <v>6</v>
      </c>
      <c r="D650" s="68">
        <v>210000</v>
      </c>
      <c r="E650" s="19">
        <f t="shared" si="83"/>
        <v>226800.00000000003</v>
      </c>
      <c r="F650" s="68">
        <v>420370</v>
      </c>
      <c r="G650" s="19">
        <v>475000</v>
      </c>
      <c r="I650" s="6">
        <f>VLOOKUP(B650,'GIÁ 1.4'!$D:$F,2,0)</f>
        <v>210000</v>
      </c>
      <c r="J650" s="21">
        <f t="shared" si="81"/>
        <v>0</v>
      </c>
      <c r="K650" s="6">
        <f>VLOOKUP(B650,'GIÁ 1.4'!$D:$F,3,0)</f>
        <v>420370</v>
      </c>
      <c r="L650" s="21">
        <f t="shared" si="82"/>
        <v>0</v>
      </c>
    </row>
    <row r="651" spans="1:12" ht="16.8" x14ac:dyDescent="0.3">
      <c r="A651" s="3">
        <v>40</v>
      </c>
      <c r="B651" s="17" t="s">
        <v>8900</v>
      </c>
      <c r="C651" s="23" t="s">
        <v>6</v>
      </c>
      <c r="D651" s="68">
        <v>244000</v>
      </c>
      <c r="E651" s="19">
        <f t="shared" ref="E651:E652" si="85">D651*1.08</f>
        <v>263520</v>
      </c>
      <c r="F651" s="68">
        <v>487963</v>
      </c>
      <c r="G651" s="19">
        <v>553000</v>
      </c>
      <c r="I651" s="6">
        <f>VLOOKUP(B651,'GIÁ 1.4'!$D:$F,2,0)</f>
        <v>244000</v>
      </c>
      <c r="J651" s="21">
        <f t="shared" si="81"/>
        <v>0</v>
      </c>
      <c r="K651" s="6">
        <f>VLOOKUP(B651,'GIÁ 1.4'!$D:$F,3,0)</f>
        <v>487963</v>
      </c>
      <c r="L651" s="21">
        <f t="shared" si="82"/>
        <v>0</v>
      </c>
    </row>
    <row r="652" spans="1:12" ht="16.8" x14ac:dyDescent="0.3">
      <c r="A652" s="3"/>
      <c r="B652" s="36" t="s">
        <v>15602</v>
      </c>
      <c r="C652" s="3"/>
      <c r="D652" s="64"/>
      <c r="E652" s="1">
        <f t="shared" si="85"/>
        <v>0</v>
      </c>
      <c r="F652" s="64">
        <v>0</v>
      </c>
      <c r="G652" s="1">
        <f>F652*1.08</f>
        <v>0</v>
      </c>
      <c r="J652" s="21"/>
      <c r="L652" s="21"/>
    </row>
    <row r="653" spans="1:12" ht="16.8" x14ac:dyDescent="0.3">
      <c r="A653" s="3">
        <v>1</v>
      </c>
      <c r="B653" s="30" t="s">
        <v>4154</v>
      </c>
      <c r="C653" s="3" t="s">
        <v>6</v>
      </c>
      <c r="D653" s="64"/>
      <c r="E653" s="1">
        <f t="shared" ref="E653:E700" si="86">D653*1.08</f>
        <v>0</v>
      </c>
      <c r="F653" s="64">
        <v>132407</v>
      </c>
      <c r="G653" s="1">
        <f t="shared" ref="G653:G700" si="87">F653*1.08</f>
        <v>142999.56</v>
      </c>
      <c r="I653" s="6">
        <f>VLOOKUP(B653,'GIÁ 1.4'!$D:$F,2,0)</f>
        <v>0</v>
      </c>
      <c r="J653" s="21">
        <f t="shared" ref="J653:J670" si="88">D653-I653</f>
        <v>0</v>
      </c>
      <c r="K653" s="6">
        <f>VLOOKUP(B653,'GIÁ 1.4'!$D:$F,3,0)</f>
        <v>132407</v>
      </c>
      <c r="L653" s="21">
        <f t="shared" ref="L653:L670" si="89">F653-K653</f>
        <v>0</v>
      </c>
    </row>
    <row r="654" spans="1:12" ht="16.8" x14ac:dyDescent="0.3">
      <c r="A654" s="3">
        <v>2</v>
      </c>
      <c r="B654" s="30" t="s">
        <v>3254</v>
      </c>
      <c r="C654" s="3" t="s">
        <v>6</v>
      </c>
      <c r="D654" s="64"/>
      <c r="E654" s="1">
        <f t="shared" si="86"/>
        <v>0</v>
      </c>
      <c r="F654" s="64">
        <v>183333</v>
      </c>
      <c r="G654" s="1">
        <f t="shared" si="87"/>
        <v>197999.64</v>
      </c>
      <c r="I654" s="6">
        <f>VLOOKUP(B654,'GIÁ 1.4'!$D:$F,2,0)</f>
        <v>0</v>
      </c>
      <c r="J654" s="21">
        <f t="shared" si="88"/>
        <v>0</v>
      </c>
      <c r="K654" s="6">
        <f>VLOOKUP(B654,'GIÁ 1.4'!$D:$F,3,0)</f>
        <v>183333</v>
      </c>
      <c r="L654" s="21">
        <f t="shared" si="89"/>
        <v>0</v>
      </c>
    </row>
    <row r="655" spans="1:12" ht="16.8" x14ac:dyDescent="0.3">
      <c r="A655" s="3">
        <v>3</v>
      </c>
      <c r="B655" s="30" t="s">
        <v>3420</v>
      </c>
      <c r="C655" s="3" t="s">
        <v>6</v>
      </c>
      <c r="D655" s="64"/>
      <c r="E655" s="1">
        <f t="shared" si="86"/>
        <v>0</v>
      </c>
      <c r="F655" s="64">
        <v>189815</v>
      </c>
      <c r="G655" s="1">
        <f t="shared" si="87"/>
        <v>205000.2</v>
      </c>
      <c r="I655" s="6">
        <f>VLOOKUP(B655,'GIÁ 1.4'!$D:$F,2,0)</f>
        <v>0</v>
      </c>
      <c r="J655" s="21">
        <f t="shared" si="88"/>
        <v>0</v>
      </c>
      <c r="K655" s="6">
        <f>VLOOKUP(B655,'GIÁ 1.4'!$D:$F,3,0)</f>
        <v>189815</v>
      </c>
      <c r="L655" s="21">
        <f t="shared" si="89"/>
        <v>0</v>
      </c>
    </row>
    <row r="656" spans="1:12" ht="16.8" x14ac:dyDescent="0.3">
      <c r="A656" s="3">
        <v>4</v>
      </c>
      <c r="B656" s="30" t="s">
        <v>2874</v>
      </c>
      <c r="C656" s="3" t="s">
        <v>6</v>
      </c>
      <c r="D656" s="64"/>
      <c r="E656" s="1">
        <f t="shared" si="86"/>
        <v>0</v>
      </c>
      <c r="F656" s="64">
        <v>303704</v>
      </c>
      <c r="G656" s="1">
        <f t="shared" si="87"/>
        <v>328000.32</v>
      </c>
      <c r="I656" s="6">
        <f>VLOOKUP(B656,'GIÁ 1.4'!$D:$F,2,0)</f>
        <v>0</v>
      </c>
      <c r="J656" s="21">
        <f t="shared" si="88"/>
        <v>0</v>
      </c>
      <c r="K656" s="6">
        <f>VLOOKUP(B656,'GIÁ 1.4'!$D:$F,3,0)</f>
        <v>303704</v>
      </c>
      <c r="L656" s="21">
        <f t="shared" si="89"/>
        <v>0</v>
      </c>
    </row>
    <row r="657" spans="1:12" ht="16.8" x14ac:dyDescent="0.3">
      <c r="A657" s="3">
        <v>5</v>
      </c>
      <c r="B657" s="30" t="s">
        <v>2577</v>
      </c>
      <c r="C657" s="3" t="s">
        <v>6</v>
      </c>
      <c r="D657" s="64"/>
      <c r="E657" s="1">
        <f t="shared" si="86"/>
        <v>0</v>
      </c>
      <c r="F657" s="64">
        <v>333333</v>
      </c>
      <c r="G657" s="1">
        <f t="shared" si="87"/>
        <v>359999.64</v>
      </c>
      <c r="I657" s="6">
        <f>VLOOKUP(B657,'GIÁ 1.4'!$D:$F,2,0)</f>
        <v>0</v>
      </c>
      <c r="J657" s="21">
        <f t="shared" si="88"/>
        <v>0</v>
      </c>
      <c r="K657" s="6">
        <f>VLOOKUP(B657,'GIÁ 1.4'!$D:$F,3,0)</f>
        <v>333333</v>
      </c>
      <c r="L657" s="21">
        <f t="shared" si="89"/>
        <v>0</v>
      </c>
    </row>
    <row r="658" spans="1:12" ht="16.8" x14ac:dyDescent="0.3">
      <c r="A658" s="3">
        <v>6</v>
      </c>
      <c r="B658" s="30" t="s">
        <v>2579</v>
      </c>
      <c r="C658" s="3" t="s">
        <v>6</v>
      </c>
      <c r="D658" s="64"/>
      <c r="E658" s="1">
        <f t="shared" si="86"/>
        <v>0</v>
      </c>
      <c r="F658" s="64">
        <v>332407</v>
      </c>
      <c r="G658" s="1">
        <f t="shared" si="87"/>
        <v>358999.56</v>
      </c>
      <c r="I658" s="6">
        <f>VLOOKUP(B658,'GIÁ 1.4'!$D:$F,2,0)</f>
        <v>0</v>
      </c>
      <c r="J658" s="21">
        <f t="shared" si="88"/>
        <v>0</v>
      </c>
      <c r="K658" s="6">
        <f>VLOOKUP(B658,'GIÁ 1.4'!$D:$F,3,0)</f>
        <v>332407</v>
      </c>
      <c r="L658" s="21">
        <f t="shared" si="89"/>
        <v>0</v>
      </c>
    </row>
    <row r="659" spans="1:12" ht="16.8" x14ac:dyDescent="0.3">
      <c r="A659" s="3">
        <v>7</v>
      </c>
      <c r="B659" s="30" t="s">
        <v>2447</v>
      </c>
      <c r="C659" s="3" t="s">
        <v>6</v>
      </c>
      <c r="D659" s="64"/>
      <c r="E659" s="1">
        <f t="shared" si="86"/>
        <v>0</v>
      </c>
      <c r="F659" s="64">
        <v>362037</v>
      </c>
      <c r="G659" s="1">
        <f t="shared" si="87"/>
        <v>390999.96</v>
      </c>
      <c r="I659" s="6">
        <f>VLOOKUP(B659,'GIÁ 1.4'!$D:$F,2,0)</f>
        <v>0</v>
      </c>
      <c r="J659" s="21">
        <f t="shared" si="88"/>
        <v>0</v>
      </c>
      <c r="K659" s="6">
        <f>VLOOKUP(B659,'GIÁ 1.4'!$D:$F,3,0)</f>
        <v>362037</v>
      </c>
      <c r="L659" s="21">
        <f t="shared" si="89"/>
        <v>0</v>
      </c>
    </row>
    <row r="660" spans="1:12" ht="16.8" x14ac:dyDescent="0.3">
      <c r="A660" s="3">
        <v>8</v>
      </c>
      <c r="B660" s="30" t="s">
        <v>3818</v>
      </c>
      <c r="C660" s="3" t="s">
        <v>6</v>
      </c>
      <c r="D660" s="64"/>
      <c r="E660" s="1">
        <f t="shared" si="86"/>
        <v>0</v>
      </c>
      <c r="F660" s="64">
        <v>2849074</v>
      </c>
      <c r="G660" s="1">
        <f t="shared" si="87"/>
        <v>3076999.9200000004</v>
      </c>
      <c r="I660" s="6">
        <f>VLOOKUP(B660,'GIÁ 1.4'!$D:$F,2,0)</f>
        <v>0</v>
      </c>
      <c r="J660" s="21">
        <f t="shared" si="88"/>
        <v>0</v>
      </c>
      <c r="K660" s="6">
        <f>VLOOKUP(B660,'GIÁ 1.4'!$D:$F,3,0)</f>
        <v>2849074</v>
      </c>
      <c r="L660" s="21">
        <f t="shared" si="89"/>
        <v>0</v>
      </c>
    </row>
    <row r="661" spans="1:12" ht="16.8" x14ac:dyDescent="0.3">
      <c r="A661" s="3">
        <v>9</v>
      </c>
      <c r="B661" s="30" t="s">
        <v>2581</v>
      </c>
      <c r="C661" s="3" t="s">
        <v>6</v>
      </c>
      <c r="D661" s="64"/>
      <c r="E661" s="1">
        <f t="shared" si="86"/>
        <v>0</v>
      </c>
      <c r="F661" s="64">
        <v>2761111</v>
      </c>
      <c r="G661" s="1">
        <f t="shared" si="87"/>
        <v>2981999.8800000004</v>
      </c>
      <c r="I661" s="6">
        <f>VLOOKUP(B661,'GIÁ 1.4'!$D:$F,2,0)</f>
        <v>0</v>
      </c>
      <c r="J661" s="21">
        <f t="shared" si="88"/>
        <v>0</v>
      </c>
      <c r="K661" s="6">
        <f>VLOOKUP(B661,'GIÁ 1.4'!$D:$F,3,0)</f>
        <v>2761111</v>
      </c>
      <c r="L661" s="21">
        <f t="shared" si="89"/>
        <v>0</v>
      </c>
    </row>
    <row r="662" spans="1:12" ht="16.8" x14ac:dyDescent="0.3">
      <c r="A662" s="3">
        <v>10</v>
      </c>
      <c r="B662" s="30" t="s">
        <v>3458</v>
      </c>
      <c r="C662" s="3" t="s">
        <v>6</v>
      </c>
      <c r="D662" s="64"/>
      <c r="E662" s="1">
        <f t="shared" si="86"/>
        <v>0</v>
      </c>
      <c r="F662" s="64">
        <v>460185</v>
      </c>
      <c r="G662" s="1">
        <f t="shared" si="87"/>
        <v>496999.80000000005</v>
      </c>
      <c r="I662" s="6">
        <f>VLOOKUP(B662,'GIÁ 1.4'!$D:$F,2,0)</f>
        <v>0</v>
      </c>
      <c r="J662" s="21">
        <f t="shared" si="88"/>
        <v>0</v>
      </c>
      <c r="K662" s="6">
        <f>VLOOKUP(B662,'GIÁ 1.4'!$D:$F,3,0)</f>
        <v>460185</v>
      </c>
      <c r="L662" s="21">
        <f t="shared" si="89"/>
        <v>0</v>
      </c>
    </row>
    <row r="663" spans="1:12" ht="16.8" x14ac:dyDescent="0.3">
      <c r="A663" s="3">
        <v>11</v>
      </c>
      <c r="B663" s="30" t="s">
        <v>4017</v>
      </c>
      <c r="C663" s="3" t="s">
        <v>6</v>
      </c>
      <c r="D663" s="64"/>
      <c r="E663" s="1">
        <f t="shared" si="86"/>
        <v>0</v>
      </c>
      <c r="F663" s="64">
        <v>648148</v>
      </c>
      <c r="G663" s="1">
        <f t="shared" si="87"/>
        <v>699999.84000000008</v>
      </c>
      <c r="I663" s="6">
        <f>VLOOKUP(B663,'GIÁ 1.4'!$D:$F,2,0)</f>
        <v>0</v>
      </c>
      <c r="J663" s="21">
        <f t="shared" si="88"/>
        <v>0</v>
      </c>
      <c r="K663" s="6">
        <f>VLOOKUP(B663,'GIÁ 1.4'!$D:$F,3,0)</f>
        <v>648148</v>
      </c>
      <c r="L663" s="21">
        <f t="shared" si="89"/>
        <v>0</v>
      </c>
    </row>
    <row r="664" spans="1:12" ht="16.8" x14ac:dyDescent="0.3">
      <c r="A664" s="3">
        <v>12</v>
      </c>
      <c r="B664" s="30" t="s">
        <v>2870</v>
      </c>
      <c r="C664" s="3" t="s">
        <v>6</v>
      </c>
      <c r="D664" s="64"/>
      <c r="E664" s="1">
        <f t="shared" si="86"/>
        <v>0</v>
      </c>
      <c r="F664" s="64">
        <v>576364</v>
      </c>
      <c r="G664" s="1">
        <f t="shared" si="87"/>
        <v>622473.12</v>
      </c>
      <c r="I664" s="6">
        <f>VLOOKUP(B664,'GIÁ 1.4'!$D:$F,2,0)</f>
        <v>0</v>
      </c>
      <c r="J664" s="21">
        <f t="shared" si="88"/>
        <v>0</v>
      </c>
      <c r="K664" s="6">
        <f>VLOOKUP(B664,'GIÁ 1.4'!$D:$F,3,0)</f>
        <v>576364</v>
      </c>
      <c r="L664" s="21">
        <f t="shared" si="89"/>
        <v>0</v>
      </c>
    </row>
    <row r="665" spans="1:12" ht="16.8" x14ac:dyDescent="0.3">
      <c r="A665" s="3">
        <v>13</v>
      </c>
      <c r="B665" s="30" t="s">
        <v>2675</v>
      </c>
      <c r="C665" s="3" t="s">
        <v>6</v>
      </c>
      <c r="D665" s="64"/>
      <c r="E665" s="1">
        <f t="shared" si="86"/>
        <v>0</v>
      </c>
      <c r="F665" s="64">
        <v>537963</v>
      </c>
      <c r="G665" s="1">
        <f t="shared" si="87"/>
        <v>581000.04</v>
      </c>
      <c r="I665" s="6">
        <f>VLOOKUP(B665,'GIÁ 1.4'!$D:$F,2,0)</f>
        <v>0</v>
      </c>
      <c r="J665" s="21">
        <f t="shared" si="88"/>
        <v>0</v>
      </c>
      <c r="K665" s="6">
        <f>VLOOKUP(B665,'GIÁ 1.4'!$D:$F,3,0)</f>
        <v>537963</v>
      </c>
      <c r="L665" s="21">
        <f t="shared" si="89"/>
        <v>0</v>
      </c>
    </row>
    <row r="666" spans="1:12" ht="16.8" x14ac:dyDescent="0.3">
      <c r="A666" s="3">
        <v>14</v>
      </c>
      <c r="B666" s="30" t="s">
        <v>1298</v>
      </c>
      <c r="C666" s="3" t="s">
        <v>6</v>
      </c>
      <c r="D666" s="64"/>
      <c r="E666" s="1">
        <f t="shared" si="86"/>
        <v>0</v>
      </c>
      <c r="F666" s="64">
        <v>875926</v>
      </c>
      <c r="G666" s="1">
        <f t="shared" si="87"/>
        <v>946000.08000000007</v>
      </c>
      <c r="I666" s="6">
        <f>VLOOKUP(B666,'GIÁ 1.4'!$D:$F,2,0)</f>
        <v>0</v>
      </c>
      <c r="J666" s="21">
        <f t="shared" si="88"/>
        <v>0</v>
      </c>
      <c r="K666" s="6">
        <f>VLOOKUP(B666,'GIÁ 1.4'!$D:$F,3,0)</f>
        <v>875926</v>
      </c>
      <c r="L666" s="21">
        <f t="shared" si="89"/>
        <v>0</v>
      </c>
    </row>
    <row r="667" spans="1:12" ht="16.8" x14ac:dyDescent="0.3">
      <c r="A667" s="3">
        <v>15</v>
      </c>
      <c r="B667" s="30" t="s">
        <v>2771</v>
      </c>
      <c r="C667" s="3" t="s">
        <v>6</v>
      </c>
      <c r="D667" s="64"/>
      <c r="E667" s="1">
        <f t="shared" si="86"/>
        <v>0</v>
      </c>
      <c r="F667" s="64">
        <v>300000</v>
      </c>
      <c r="G667" s="1">
        <f t="shared" si="87"/>
        <v>324000</v>
      </c>
      <c r="I667" s="6">
        <f>VLOOKUP(B667,'GIÁ 1.4'!$D:$F,2,0)</f>
        <v>0</v>
      </c>
      <c r="J667" s="21">
        <f t="shared" si="88"/>
        <v>0</v>
      </c>
      <c r="K667" s="6">
        <f>VLOOKUP(B667,'GIÁ 1.4'!$D:$F,3,0)</f>
        <v>300000</v>
      </c>
      <c r="L667" s="21">
        <f t="shared" si="89"/>
        <v>0</v>
      </c>
    </row>
    <row r="668" spans="1:12" ht="16.8" x14ac:dyDescent="0.3">
      <c r="A668" s="3">
        <v>16</v>
      </c>
      <c r="B668" s="30" t="s">
        <v>2773</v>
      </c>
      <c r="C668" s="3" t="s">
        <v>6</v>
      </c>
      <c r="D668" s="64"/>
      <c r="E668" s="1">
        <f t="shared" si="86"/>
        <v>0</v>
      </c>
      <c r="F668" s="64">
        <v>663889</v>
      </c>
      <c r="G668" s="1">
        <f t="shared" si="87"/>
        <v>717000.12</v>
      </c>
      <c r="I668" s="6">
        <f>VLOOKUP(B668,'GIÁ 1.4'!$D:$F,2,0)</f>
        <v>0</v>
      </c>
      <c r="J668" s="21">
        <f t="shared" si="88"/>
        <v>0</v>
      </c>
      <c r="K668" s="6">
        <f>VLOOKUP(B668,'GIÁ 1.4'!$D:$F,3,0)</f>
        <v>663889</v>
      </c>
      <c r="L668" s="21">
        <f t="shared" si="89"/>
        <v>0</v>
      </c>
    </row>
    <row r="669" spans="1:12" ht="16.8" x14ac:dyDescent="0.3">
      <c r="A669" s="3">
        <v>17</v>
      </c>
      <c r="B669" s="30" t="s">
        <v>3342</v>
      </c>
      <c r="C669" s="3" t="s">
        <v>6</v>
      </c>
      <c r="D669" s="64"/>
      <c r="E669" s="1">
        <f t="shared" si="86"/>
        <v>0</v>
      </c>
      <c r="F669" s="64">
        <v>398148</v>
      </c>
      <c r="G669" s="1">
        <f t="shared" si="87"/>
        <v>429999.84</v>
      </c>
      <c r="I669" s="6">
        <f>VLOOKUP(B669,'GIÁ 1.4'!$D:$F,2,0)</f>
        <v>0</v>
      </c>
      <c r="J669" s="21">
        <f t="shared" si="88"/>
        <v>0</v>
      </c>
      <c r="K669" s="6">
        <f>VLOOKUP(B669,'GIÁ 1.4'!$D:$F,3,0)</f>
        <v>398148</v>
      </c>
      <c r="L669" s="21">
        <f t="shared" si="89"/>
        <v>0</v>
      </c>
    </row>
    <row r="670" spans="1:12" ht="16.8" x14ac:dyDescent="0.3">
      <c r="A670" s="3">
        <v>18</v>
      </c>
      <c r="B670" s="30" t="s">
        <v>3468</v>
      </c>
      <c r="C670" s="3" t="s">
        <v>6</v>
      </c>
      <c r="D670" s="64"/>
      <c r="E670" s="1">
        <f t="shared" si="86"/>
        <v>0</v>
      </c>
      <c r="F670" s="64">
        <v>314815</v>
      </c>
      <c r="G670" s="1">
        <f t="shared" si="87"/>
        <v>340000.2</v>
      </c>
      <c r="I670" s="6">
        <f>VLOOKUP(B670,'GIÁ 1.4'!$D:$F,2,0)</f>
        <v>0</v>
      </c>
      <c r="J670" s="21">
        <f t="shared" si="88"/>
        <v>0</v>
      </c>
      <c r="K670" s="6">
        <f>VLOOKUP(B670,'GIÁ 1.4'!$D:$F,3,0)</f>
        <v>314815</v>
      </c>
      <c r="L670" s="21">
        <f t="shared" si="89"/>
        <v>0</v>
      </c>
    </row>
    <row r="671" spans="1:12" ht="16.8" x14ac:dyDescent="0.3">
      <c r="A671" s="3"/>
      <c r="B671" s="42" t="s">
        <v>15603</v>
      </c>
      <c r="C671" s="3"/>
      <c r="D671" s="64"/>
      <c r="E671" s="1">
        <f t="shared" si="86"/>
        <v>0</v>
      </c>
      <c r="F671" s="64"/>
      <c r="G671" s="1">
        <f t="shared" si="87"/>
        <v>0</v>
      </c>
      <c r="J671" s="21"/>
      <c r="L671" s="21"/>
    </row>
    <row r="672" spans="1:12" ht="16.8" x14ac:dyDescent="0.3">
      <c r="A672" s="3">
        <v>1</v>
      </c>
      <c r="B672" s="30" t="s">
        <v>13375</v>
      </c>
      <c r="C672" s="3" t="s">
        <v>6</v>
      </c>
      <c r="D672" s="64">
        <v>690000</v>
      </c>
      <c r="E672" s="1">
        <f t="shared" si="86"/>
        <v>745200</v>
      </c>
      <c r="F672" s="64">
        <v>1379630</v>
      </c>
      <c r="G672" s="1">
        <f t="shared" si="87"/>
        <v>1490000.4000000001</v>
      </c>
      <c r="I672" s="6">
        <f>VLOOKUP(B672,'GIÁ 1.4'!$D:$F,2,0)</f>
        <v>690000</v>
      </c>
      <c r="J672" s="21">
        <f t="shared" ref="J672:J681" si="90">D672-I672</f>
        <v>0</v>
      </c>
      <c r="K672" s="6">
        <f>VLOOKUP(B672,'GIÁ 1.4'!$D:$F,3,0)</f>
        <v>1379630</v>
      </c>
      <c r="L672" s="21">
        <f t="shared" ref="L672:L681" si="91">F672-K672</f>
        <v>0</v>
      </c>
    </row>
    <row r="673" spans="1:12" ht="16.8" x14ac:dyDescent="0.3">
      <c r="A673" s="3">
        <v>2</v>
      </c>
      <c r="B673" s="30" t="s">
        <v>14616</v>
      </c>
      <c r="C673" s="3" t="s">
        <v>6</v>
      </c>
      <c r="D673" s="64">
        <v>850000</v>
      </c>
      <c r="E673" s="1">
        <f t="shared" si="86"/>
        <v>918000.00000000012</v>
      </c>
      <c r="F673" s="64">
        <v>1700000</v>
      </c>
      <c r="G673" s="1">
        <f t="shared" si="87"/>
        <v>1836000.0000000002</v>
      </c>
      <c r="I673" s="6">
        <f>VLOOKUP(B673,'GIÁ 1.4'!$D:$F,2,0)</f>
        <v>850000</v>
      </c>
      <c r="J673" s="21">
        <f t="shared" si="90"/>
        <v>0</v>
      </c>
      <c r="K673" s="6">
        <f>VLOOKUP(B673,'GIÁ 1.4'!$D:$F,3,0)</f>
        <v>1700000</v>
      </c>
      <c r="L673" s="21">
        <f t="shared" si="91"/>
        <v>0</v>
      </c>
    </row>
    <row r="674" spans="1:12" ht="16.8" x14ac:dyDescent="0.3">
      <c r="A674" s="3">
        <v>3</v>
      </c>
      <c r="B674" s="30" t="s">
        <v>14462</v>
      </c>
      <c r="C674" s="3" t="s">
        <v>6</v>
      </c>
      <c r="D674" s="64">
        <v>1050000</v>
      </c>
      <c r="E674" s="1">
        <f t="shared" si="86"/>
        <v>1134000</v>
      </c>
      <c r="F674" s="64">
        <v>2100000</v>
      </c>
      <c r="G674" s="1">
        <f t="shared" si="87"/>
        <v>2268000</v>
      </c>
      <c r="I674" s="6">
        <f>VLOOKUP(B674,'GIÁ 1.4'!$D:$F,2,0)</f>
        <v>1050000</v>
      </c>
      <c r="J674" s="21">
        <f t="shared" si="90"/>
        <v>0</v>
      </c>
      <c r="K674" s="6">
        <f>VLOOKUP(B674,'GIÁ 1.4'!$D:$F,3,0)</f>
        <v>2100000</v>
      </c>
      <c r="L674" s="21">
        <f t="shared" si="91"/>
        <v>0</v>
      </c>
    </row>
    <row r="675" spans="1:12" ht="16.8" x14ac:dyDescent="0.3">
      <c r="A675" s="3">
        <v>4</v>
      </c>
      <c r="B675" s="30" t="s">
        <v>11422</v>
      </c>
      <c r="C675" s="3" t="s">
        <v>6</v>
      </c>
      <c r="D675" s="64">
        <v>1240000</v>
      </c>
      <c r="E675" s="1">
        <f t="shared" si="86"/>
        <v>1339200</v>
      </c>
      <c r="F675" s="64">
        <v>2479630</v>
      </c>
      <c r="G675" s="1">
        <f t="shared" si="87"/>
        <v>2678000.4000000004</v>
      </c>
      <c r="I675" s="6">
        <f>VLOOKUP(B675,'GIÁ 1.4'!$D:$F,2,0)</f>
        <v>1240000</v>
      </c>
      <c r="J675" s="21">
        <f t="shared" si="90"/>
        <v>0</v>
      </c>
      <c r="K675" s="6">
        <f>VLOOKUP(B675,'GIÁ 1.4'!$D:$F,3,0)</f>
        <v>2479630</v>
      </c>
      <c r="L675" s="21">
        <f t="shared" si="91"/>
        <v>0</v>
      </c>
    </row>
    <row r="676" spans="1:12" ht="16.8" x14ac:dyDescent="0.3">
      <c r="A676" s="3">
        <v>5</v>
      </c>
      <c r="B676" s="30" t="s">
        <v>11506</v>
      </c>
      <c r="C676" s="3" t="s">
        <v>6</v>
      </c>
      <c r="D676" s="64">
        <v>315000</v>
      </c>
      <c r="E676" s="1">
        <f t="shared" si="86"/>
        <v>340200</v>
      </c>
      <c r="F676" s="64">
        <v>629630</v>
      </c>
      <c r="G676" s="1">
        <f t="shared" si="87"/>
        <v>680000.4</v>
      </c>
      <c r="I676" s="6">
        <f>VLOOKUP(B676,'GIÁ 1.4'!$D:$F,2,0)</f>
        <v>315000</v>
      </c>
      <c r="J676" s="21">
        <f t="shared" si="90"/>
        <v>0</v>
      </c>
      <c r="K676" s="6">
        <f>VLOOKUP(B676,'GIÁ 1.4'!$D:$F,3,0)</f>
        <v>629630</v>
      </c>
      <c r="L676" s="21">
        <f t="shared" si="91"/>
        <v>0</v>
      </c>
    </row>
    <row r="677" spans="1:12" ht="16.8" x14ac:dyDescent="0.3">
      <c r="A677" s="3">
        <v>6</v>
      </c>
      <c r="B677" s="30" t="s">
        <v>10958</v>
      </c>
      <c r="C677" s="3" t="s">
        <v>6</v>
      </c>
      <c r="D677" s="64">
        <v>365000</v>
      </c>
      <c r="E677" s="1">
        <f t="shared" si="86"/>
        <v>394200</v>
      </c>
      <c r="F677" s="64">
        <v>729630</v>
      </c>
      <c r="G677" s="1">
        <f t="shared" si="87"/>
        <v>788000.4</v>
      </c>
      <c r="I677" s="6">
        <f>VLOOKUP(B677,'GIÁ 1.4'!$D:$F,2,0)</f>
        <v>365000</v>
      </c>
      <c r="J677" s="21">
        <f t="shared" si="90"/>
        <v>0</v>
      </c>
      <c r="K677" s="6">
        <f>VLOOKUP(B677,'GIÁ 1.4'!$D:$F,3,0)</f>
        <v>729630</v>
      </c>
      <c r="L677" s="21">
        <f t="shared" si="91"/>
        <v>0</v>
      </c>
    </row>
    <row r="678" spans="1:12" ht="16.8" x14ac:dyDescent="0.3">
      <c r="A678" s="3">
        <v>7</v>
      </c>
      <c r="B678" s="30" t="s">
        <v>11508</v>
      </c>
      <c r="C678" s="3" t="s">
        <v>6</v>
      </c>
      <c r="D678" s="64">
        <v>440000</v>
      </c>
      <c r="E678" s="1">
        <f t="shared" si="86"/>
        <v>475200.00000000006</v>
      </c>
      <c r="F678" s="64">
        <v>879630</v>
      </c>
      <c r="G678" s="1">
        <f t="shared" si="87"/>
        <v>950000.4</v>
      </c>
      <c r="I678" s="6">
        <f>VLOOKUP(B678,'GIÁ 1.4'!$D:$F,2,0)</f>
        <v>440000</v>
      </c>
      <c r="J678" s="21">
        <f t="shared" si="90"/>
        <v>0</v>
      </c>
      <c r="K678" s="6">
        <f>VLOOKUP(B678,'GIÁ 1.4'!$D:$F,3,0)</f>
        <v>879630</v>
      </c>
      <c r="L678" s="21">
        <f t="shared" si="91"/>
        <v>0</v>
      </c>
    </row>
    <row r="679" spans="1:12" ht="16.8" x14ac:dyDescent="0.3">
      <c r="A679" s="3">
        <v>8</v>
      </c>
      <c r="B679" s="30" t="s">
        <v>2916</v>
      </c>
      <c r="C679" s="3" t="s">
        <v>6</v>
      </c>
      <c r="D679" s="64"/>
      <c r="E679" s="1">
        <f t="shared" si="86"/>
        <v>0</v>
      </c>
      <c r="F679" s="64">
        <v>560185</v>
      </c>
      <c r="G679" s="1">
        <f t="shared" si="87"/>
        <v>604999.80000000005</v>
      </c>
      <c r="I679" s="6">
        <f>VLOOKUP(B679,'GIÁ 1.4'!$D:$F,2,0)</f>
        <v>0</v>
      </c>
      <c r="J679" s="21">
        <f t="shared" si="90"/>
        <v>0</v>
      </c>
      <c r="K679" s="6">
        <f>VLOOKUP(B679,'GIÁ 1.4'!$D:$F,3,0)</f>
        <v>560185</v>
      </c>
      <c r="L679" s="21">
        <f t="shared" si="91"/>
        <v>0</v>
      </c>
    </row>
    <row r="680" spans="1:12" ht="16.8" x14ac:dyDescent="0.3">
      <c r="A680" s="3">
        <v>9</v>
      </c>
      <c r="B680" s="30" t="s">
        <v>2291</v>
      </c>
      <c r="C680" s="3" t="s">
        <v>6</v>
      </c>
      <c r="D680" s="64"/>
      <c r="E680" s="1">
        <f t="shared" si="86"/>
        <v>0</v>
      </c>
      <c r="F680" s="64">
        <v>360185</v>
      </c>
      <c r="G680" s="1">
        <f t="shared" si="87"/>
        <v>388999.80000000005</v>
      </c>
      <c r="I680" s="6">
        <f>VLOOKUP(B680,'GIÁ 1.4'!$D:$F,2,0)</f>
        <v>0</v>
      </c>
      <c r="J680" s="21">
        <f t="shared" si="90"/>
        <v>0</v>
      </c>
      <c r="K680" s="6">
        <f>VLOOKUP(B680,'GIÁ 1.4'!$D:$F,3,0)</f>
        <v>360185</v>
      </c>
      <c r="L680" s="21">
        <f t="shared" si="91"/>
        <v>0</v>
      </c>
    </row>
    <row r="681" spans="1:12" ht="16.8" x14ac:dyDescent="0.3">
      <c r="A681" s="3">
        <v>10</v>
      </c>
      <c r="B681" s="30" t="s">
        <v>2978</v>
      </c>
      <c r="C681" s="3" t="s">
        <v>6</v>
      </c>
      <c r="D681" s="64"/>
      <c r="E681" s="1">
        <f t="shared" si="86"/>
        <v>0</v>
      </c>
      <c r="F681" s="64">
        <v>260185</v>
      </c>
      <c r="G681" s="1">
        <f t="shared" si="87"/>
        <v>280999.80000000005</v>
      </c>
      <c r="I681" s="6">
        <f>VLOOKUP(B681,'GIÁ 1.4'!$D:$F,2,0)</f>
        <v>0</v>
      </c>
      <c r="J681" s="21">
        <f t="shared" si="90"/>
        <v>0</v>
      </c>
      <c r="K681" s="6">
        <f>VLOOKUP(B681,'GIÁ 1.4'!$D:$F,3,0)</f>
        <v>260185</v>
      </c>
      <c r="L681" s="21">
        <f t="shared" si="91"/>
        <v>0</v>
      </c>
    </row>
    <row r="682" spans="1:12" ht="16.8" x14ac:dyDescent="0.3">
      <c r="A682" s="3"/>
      <c r="B682" s="42" t="s">
        <v>15604</v>
      </c>
      <c r="C682" s="42"/>
      <c r="D682" s="69"/>
      <c r="E682" s="1">
        <f t="shared" si="86"/>
        <v>0</v>
      </c>
      <c r="F682" s="64">
        <v>0</v>
      </c>
      <c r="G682" s="1">
        <f t="shared" si="87"/>
        <v>0</v>
      </c>
      <c r="J682" s="21"/>
      <c r="L682" s="21"/>
    </row>
    <row r="683" spans="1:12" ht="16.8" x14ac:dyDescent="0.3">
      <c r="A683" s="3">
        <v>1</v>
      </c>
      <c r="B683" s="43" t="s">
        <v>156</v>
      </c>
      <c r="C683" s="3" t="s">
        <v>6</v>
      </c>
      <c r="D683" s="64"/>
      <c r="E683" s="1">
        <f t="shared" si="86"/>
        <v>0</v>
      </c>
      <c r="F683" s="64">
        <v>645370</v>
      </c>
      <c r="G683" s="1">
        <f t="shared" si="87"/>
        <v>696999.60000000009</v>
      </c>
      <c r="I683" s="6">
        <f>VLOOKUP(B683,'GIÁ 1.4'!$D:$F,2,0)</f>
        <v>0</v>
      </c>
      <c r="J683" s="21">
        <f t="shared" ref="J683:J699" si="92">D683-I683</f>
        <v>0</v>
      </c>
      <c r="K683" s="6">
        <f>VLOOKUP(B683,'GIÁ 1.4'!$D:$F,3,0)</f>
        <v>645370</v>
      </c>
      <c r="L683" s="21">
        <f t="shared" ref="L683:L699" si="93">F683-K683</f>
        <v>0</v>
      </c>
    </row>
    <row r="684" spans="1:12" ht="16.8" x14ac:dyDescent="0.3">
      <c r="A684" s="3">
        <v>2</v>
      </c>
      <c r="B684" s="43" t="s">
        <v>15605</v>
      </c>
      <c r="C684" s="3" t="s">
        <v>6</v>
      </c>
      <c r="D684" s="64"/>
      <c r="E684" s="1">
        <f t="shared" si="86"/>
        <v>0</v>
      </c>
      <c r="F684" s="64">
        <v>475000</v>
      </c>
      <c r="G684" s="1">
        <f t="shared" si="87"/>
        <v>513000.00000000006</v>
      </c>
      <c r="I684" s="6">
        <f>VLOOKUP(B684,'GIÁ 1.4'!$D:$F,2,0)</f>
        <v>0</v>
      </c>
      <c r="J684" s="21">
        <f t="shared" si="92"/>
        <v>0</v>
      </c>
      <c r="K684" s="6">
        <f>VLOOKUP(B684,'GIÁ 1.4'!$D:$F,3,0)</f>
        <v>475000</v>
      </c>
      <c r="L684" s="21">
        <f t="shared" si="93"/>
        <v>0</v>
      </c>
    </row>
    <row r="685" spans="1:12" ht="16.8" x14ac:dyDescent="0.3">
      <c r="A685" s="3">
        <v>3</v>
      </c>
      <c r="B685" s="43" t="s">
        <v>309</v>
      </c>
      <c r="C685" s="3" t="s">
        <v>6</v>
      </c>
      <c r="D685" s="64"/>
      <c r="E685" s="1">
        <f t="shared" si="86"/>
        <v>0</v>
      </c>
      <c r="F685" s="64">
        <v>660185</v>
      </c>
      <c r="G685" s="1">
        <f t="shared" si="87"/>
        <v>712999.8</v>
      </c>
      <c r="I685" s="6">
        <f>VLOOKUP(B685,'GIÁ 1.4'!$D:$F,2,0)</f>
        <v>0</v>
      </c>
      <c r="J685" s="21">
        <f t="shared" si="92"/>
        <v>0</v>
      </c>
      <c r="K685" s="6">
        <f>VLOOKUP(B685,'GIÁ 1.4'!$D:$F,3,0)</f>
        <v>660185</v>
      </c>
      <c r="L685" s="21">
        <f t="shared" si="93"/>
        <v>0</v>
      </c>
    </row>
    <row r="686" spans="1:12" ht="16.8" x14ac:dyDescent="0.3">
      <c r="A686" s="3">
        <v>4</v>
      </c>
      <c r="B686" s="43" t="s">
        <v>711</v>
      </c>
      <c r="C686" s="3" t="s">
        <v>6</v>
      </c>
      <c r="D686" s="64"/>
      <c r="E686" s="1">
        <f t="shared" si="86"/>
        <v>0</v>
      </c>
      <c r="F686" s="64">
        <v>1210185</v>
      </c>
      <c r="G686" s="1">
        <f t="shared" si="87"/>
        <v>1306999.8</v>
      </c>
      <c r="I686" s="6">
        <f>VLOOKUP(B686,'GIÁ 1.4'!$D:$F,2,0)</f>
        <v>0</v>
      </c>
      <c r="J686" s="21">
        <f t="shared" si="92"/>
        <v>0</v>
      </c>
      <c r="K686" s="6">
        <f>VLOOKUP(B686,'GIÁ 1.4'!$D:$F,3,0)</f>
        <v>1210185</v>
      </c>
      <c r="L686" s="21">
        <f t="shared" si="93"/>
        <v>0</v>
      </c>
    </row>
    <row r="687" spans="1:12" ht="16.8" x14ac:dyDescent="0.3">
      <c r="A687" s="3">
        <v>5</v>
      </c>
      <c r="B687" s="43" t="s">
        <v>663</v>
      </c>
      <c r="C687" s="3" t="s">
        <v>6</v>
      </c>
      <c r="D687" s="64"/>
      <c r="E687" s="1">
        <f t="shared" si="86"/>
        <v>0</v>
      </c>
      <c r="F687" s="64">
        <v>1539815</v>
      </c>
      <c r="G687" s="1">
        <f t="shared" si="87"/>
        <v>1663000.2000000002</v>
      </c>
      <c r="I687" s="6">
        <f>VLOOKUP(B687,'GIÁ 1.4'!$D:$F,2,0)</f>
        <v>0</v>
      </c>
      <c r="J687" s="21">
        <f t="shared" si="92"/>
        <v>0</v>
      </c>
      <c r="K687" s="6">
        <f>VLOOKUP(B687,'GIÁ 1.4'!$D:$F,3,0)</f>
        <v>1539815</v>
      </c>
      <c r="L687" s="21">
        <f t="shared" si="93"/>
        <v>0</v>
      </c>
    </row>
    <row r="688" spans="1:12" ht="16.8" x14ac:dyDescent="0.3">
      <c r="A688" s="3">
        <v>6</v>
      </c>
      <c r="B688" s="43" t="s">
        <v>833</v>
      </c>
      <c r="C688" s="3" t="s">
        <v>6</v>
      </c>
      <c r="D688" s="64">
        <v>365000</v>
      </c>
      <c r="E688" s="1">
        <f t="shared" si="86"/>
        <v>394200</v>
      </c>
      <c r="F688" s="64">
        <v>586111</v>
      </c>
      <c r="G688" s="1">
        <f t="shared" si="87"/>
        <v>632999.88</v>
      </c>
      <c r="I688" s="6">
        <f>VLOOKUP(B688,'GIÁ 1.4'!$D:$F,2,0)</f>
        <v>365000</v>
      </c>
      <c r="J688" s="21">
        <f t="shared" si="92"/>
        <v>0</v>
      </c>
      <c r="K688" s="6">
        <f>VLOOKUP(B688,'GIÁ 1.4'!$D:$F,3,0)</f>
        <v>586111</v>
      </c>
      <c r="L688" s="21">
        <f t="shared" si="93"/>
        <v>0</v>
      </c>
    </row>
    <row r="689" spans="1:12" ht="16.8" x14ac:dyDescent="0.3">
      <c r="A689" s="3">
        <v>7</v>
      </c>
      <c r="B689" s="43" t="s">
        <v>2145</v>
      </c>
      <c r="C689" s="3" t="s">
        <v>6</v>
      </c>
      <c r="D689" s="64">
        <v>365000</v>
      </c>
      <c r="E689" s="1">
        <f t="shared" si="86"/>
        <v>394200</v>
      </c>
      <c r="F689" s="64">
        <v>586111</v>
      </c>
      <c r="G689" s="1">
        <f t="shared" si="87"/>
        <v>632999.88</v>
      </c>
      <c r="I689" s="6">
        <f>VLOOKUP(B689,'GIÁ 1.4'!$D:$F,2,0)</f>
        <v>365000</v>
      </c>
      <c r="J689" s="21">
        <f t="shared" si="92"/>
        <v>0</v>
      </c>
      <c r="K689" s="6">
        <f>VLOOKUP(B689,'GIÁ 1.4'!$D:$F,3,0)</f>
        <v>586111</v>
      </c>
      <c r="L689" s="21">
        <f t="shared" si="93"/>
        <v>0</v>
      </c>
    </row>
    <row r="690" spans="1:12" ht="16.8" x14ac:dyDescent="0.3">
      <c r="A690" s="3">
        <v>8</v>
      </c>
      <c r="B690" s="43" t="s">
        <v>158</v>
      </c>
      <c r="C690" s="3" t="s">
        <v>6</v>
      </c>
      <c r="D690" s="64">
        <v>550000</v>
      </c>
      <c r="E690" s="1">
        <f t="shared" si="86"/>
        <v>594000</v>
      </c>
      <c r="F690" s="64">
        <v>882407</v>
      </c>
      <c r="G690" s="1">
        <f t="shared" si="87"/>
        <v>952999.56</v>
      </c>
      <c r="I690" s="6">
        <f>VLOOKUP(B690,'GIÁ 1.4'!$D:$F,2,0)</f>
        <v>550000</v>
      </c>
      <c r="J690" s="21">
        <f t="shared" si="92"/>
        <v>0</v>
      </c>
      <c r="K690" s="6">
        <f>VLOOKUP(B690,'GIÁ 1.4'!$D:$F,3,0)</f>
        <v>882407</v>
      </c>
      <c r="L690" s="21">
        <f t="shared" si="93"/>
        <v>0</v>
      </c>
    </row>
    <row r="691" spans="1:12" ht="16.8" x14ac:dyDescent="0.3">
      <c r="A691" s="3">
        <v>9</v>
      </c>
      <c r="B691" s="43" t="s">
        <v>369</v>
      </c>
      <c r="C691" s="3" t="s">
        <v>6</v>
      </c>
      <c r="D691" s="64">
        <v>314000</v>
      </c>
      <c r="E691" s="1">
        <f t="shared" si="86"/>
        <v>339120</v>
      </c>
      <c r="F691" s="64">
        <v>504630</v>
      </c>
      <c r="G691" s="1">
        <f t="shared" si="87"/>
        <v>545000.4</v>
      </c>
      <c r="I691" s="6">
        <f>VLOOKUP(B691,'GIÁ 1.4'!$D:$F,2,0)</f>
        <v>314000</v>
      </c>
      <c r="J691" s="21">
        <f t="shared" si="92"/>
        <v>0</v>
      </c>
      <c r="K691" s="6">
        <f>VLOOKUP(B691,'GIÁ 1.4'!$D:$F,3,0)</f>
        <v>504630</v>
      </c>
      <c r="L691" s="21">
        <f t="shared" si="93"/>
        <v>0</v>
      </c>
    </row>
    <row r="692" spans="1:12" ht="16.8" x14ac:dyDescent="0.3">
      <c r="A692" s="3">
        <v>10</v>
      </c>
      <c r="B692" s="43" t="s">
        <v>917</v>
      </c>
      <c r="C692" s="3" t="s">
        <v>6</v>
      </c>
      <c r="D692" s="64">
        <v>314000</v>
      </c>
      <c r="E692" s="1">
        <f t="shared" si="86"/>
        <v>339120</v>
      </c>
      <c r="F692" s="64">
        <v>504630</v>
      </c>
      <c r="G692" s="1">
        <f t="shared" si="87"/>
        <v>545000.4</v>
      </c>
      <c r="I692" s="6">
        <f>VLOOKUP(B692,'GIÁ 1.4'!$D:$F,2,0)</f>
        <v>314000</v>
      </c>
      <c r="J692" s="21">
        <f t="shared" si="92"/>
        <v>0</v>
      </c>
      <c r="K692" s="6">
        <f>VLOOKUP(B692,'GIÁ 1.4'!$D:$F,3,0)</f>
        <v>504630</v>
      </c>
      <c r="L692" s="21">
        <f t="shared" si="93"/>
        <v>0</v>
      </c>
    </row>
    <row r="693" spans="1:12" ht="16.8" x14ac:dyDescent="0.3">
      <c r="A693" s="3">
        <v>11</v>
      </c>
      <c r="B693" s="43" t="s">
        <v>176</v>
      </c>
      <c r="C693" s="3" t="s">
        <v>6</v>
      </c>
      <c r="D693" s="64">
        <v>442000</v>
      </c>
      <c r="E693" s="1">
        <f t="shared" si="86"/>
        <v>477360.00000000006</v>
      </c>
      <c r="F693" s="64">
        <v>710185</v>
      </c>
      <c r="G693" s="1">
        <f t="shared" si="87"/>
        <v>766999.8</v>
      </c>
      <c r="I693" s="6">
        <f>VLOOKUP(B693,'GIÁ 1.4'!$D:$F,2,0)</f>
        <v>442000</v>
      </c>
      <c r="J693" s="21">
        <f t="shared" si="92"/>
        <v>0</v>
      </c>
      <c r="K693" s="6">
        <f>VLOOKUP(B693,'GIÁ 1.4'!$D:$F,3,0)</f>
        <v>710185</v>
      </c>
      <c r="L693" s="21">
        <f t="shared" si="93"/>
        <v>0</v>
      </c>
    </row>
    <row r="694" spans="1:12" ht="16.8" x14ac:dyDescent="0.3">
      <c r="A694" s="3">
        <v>12</v>
      </c>
      <c r="B694" s="30" t="s">
        <v>479</v>
      </c>
      <c r="C694" s="3" t="s">
        <v>6</v>
      </c>
      <c r="D694" s="64"/>
      <c r="E694" s="1">
        <f t="shared" si="86"/>
        <v>0</v>
      </c>
      <c r="F694" s="64">
        <v>1210185</v>
      </c>
      <c r="G694" s="1">
        <f t="shared" si="87"/>
        <v>1306999.8</v>
      </c>
      <c r="I694" s="6">
        <f>VLOOKUP(B694,'GIÁ 1.4'!$D:$F,2,0)</f>
        <v>0</v>
      </c>
      <c r="J694" s="21">
        <f t="shared" si="92"/>
        <v>0</v>
      </c>
      <c r="K694" s="6">
        <f>VLOOKUP(B694,'GIÁ 1.4'!$D:$F,3,0)</f>
        <v>1210185</v>
      </c>
      <c r="L694" s="21">
        <f t="shared" si="93"/>
        <v>0</v>
      </c>
    </row>
    <row r="695" spans="1:12" ht="16.8" x14ac:dyDescent="0.3">
      <c r="A695" s="3">
        <v>13</v>
      </c>
      <c r="B695" s="2" t="s">
        <v>1858</v>
      </c>
      <c r="C695" s="4" t="s">
        <v>6</v>
      </c>
      <c r="D695" s="66">
        <v>530000</v>
      </c>
      <c r="E695" s="5">
        <f t="shared" si="86"/>
        <v>572400</v>
      </c>
      <c r="F695" s="66">
        <v>1060185</v>
      </c>
      <c r="G695" s="5">
        <f t="shared" si="87"/>
        <v>1144999.8</v>
      </c>
      <c r="I695" s="6">
        <f>VLOOKUP(B695,'GIÁ 1.4'!$D:$F,2,0)</f>
        <v>530000</v>
      </c>
      <c r="J695" s="21">
        <f t="shared" si="92"/>
        <v>0</v>
      </c>
      <c r="K695" s="6">
        <f>VLOOKUP(B695,'GIÁ 1.4'!$D:$F,3,0)</f>
        <v>1060185</v>
      </c>
      <c r="L695" s="21">
        <f t="shared" si="93"/>
        <v>0</v>
      </c>
    </row>
    <row r="696" spans="1:12" ht="16.8" x14ac:dyDescent="0.3">
      <c r="A696" s="3">
        <v>14</v>
      </c>
      <c r="B696" s="2" t="s">
        <v>1559</v>
      </c>
      <c r="C696" s="4" t="s">
        <v>6</v>
      </c>
      <c r="D696" s="66">
        <v>650000</v>
      </c>
      <c r="E696" s="5">
        <f t="shared" si="86"/>
        <v>702000</v>
      </c>
      <c r="F696" s="66">
        <v>1300000</v>
      </c>
      <c r="G696" s="5">
        <f t="shared" si="87"/>
        <v>1404000</v>
      </c>
      <c r="I696" s="6">
        <f>VLOOKUP(B696,'GIÁ 1.4'!$D:$F,2,0)</f>
        <v>650000</v>
      </c>
      <c r="J696" s="21">
        <f t="shared" si="92"/>
        <v>0</v>
      </c>
      <c r="K696" s="6">
        <f>VLOOKUP(B696,'GIÁ 1.4'!$D:$F,3,0)</f>
        <v>1300000</v>
      </c>
      <c r="L696" s="21">
        <f t="shared" si="93"/>
        <v>0</v>
      </c>
    </row>
    <row r="697" spans="1:12" ht="16.8" x14ac:dyDescent="0.3">
      <c r="A697" s="3">
        <v>15</v>
      </c>
      <c r="B697" s="2" t="s">
        <v>925</v>
      </c>
      <c r="C697" s="4" t="s">
        <v>6</v>
      </c>
      <c r="D697" s="66">
        <v>480000</v>
      </c>
      <c r="E697" s="5">
        <f t="shared" si="86"/>
        <v>518400.00000000006</v>
      </c>
      <c r="F697" s="66">
        <v>960185</v>
      </c>
      <c r="G697" s="5">
        <f t="shared" si="87"/>
        <v>1036999.8</v>
      </c>
      <c r="I697" s="6">
        <f>VLOOKUP(B697,'GIÁ 1.4'!$D:$F,2,0)</f>
        <v>480000</v>
      </c>
      <c r="J697" s="21">
        <f t="shared" si="92"/>
        <v>0</v>
      </c>
      <c r="K697" s="6">
        <f>VLOOKUP(B697,'GIÁ 1.4'!$D:$F,3,0)</f>
        <v>960185</v>
      </c>
      <c r="L697" s="21">
        <f t="shared" si="93"/>
        <v>0</v>
      </c>
    </row>
    <row r="698" spans="1:12" ht="16.8" x14ac:dyDescent="0.3">
      <c r="A698" s="3">
        <v>16</v>
      </c>
      <c r="B698" s="2" t="s">
        <v>2011</v>
      </c>
      <c r="C698" s="4" t="s">
        <v>6</v>
      </c>
      <c r="D698" s="66">
        <v>510000</v>
      </c>
      <c r="E698" s="5">
        <f t="shared" si="86"/>
        <v>550800</v>
      </c>
      <c r="F698" s="66">
        <v>1020370</v>
      </c>
      <c r="G698" s="5">
        <f t="shared" si="87"/>
        <v>1101999.6000000001</v>
      </c>
      <c r="I698" s="6">
        <f>VLOOKUP(B698,'GIÁ 1.4'!$D:$F,2,0)</f>
        <v>510000</v>
      </c>
      <c r="J698" s="21">
        <f t="shared" si="92"/>
        <v>0</v>
      </c>
      <c r="K698" s="6">
        <f>VLOOKUP(B698,'GIÁ 1.4'!$D:$F,3,0)</f>
        <v>1020370</v>
      </c>
      <c r="L698" s="21">
        <f t="shared" si="93"/>
        <v>0</v>
      </c>
    </row>
    <row r="699" spans="1:12" ht="16.8" x14ac:dyDescent="0.3">
      <c r="A699" s="3">
        <v>17</v>
      </c>
      <c r="B699" s="2" t="s">
        <v>1720</v>
      </c>
      <c r="C699" s="4" t="s">
        <v>6</v>
      </c>
      <c r="D699" s="66"/>
      <c r="E699" s="5">
        <v>0</v>
      </c>
      <c r="F699" s="66">
        <v>1101851.8518518517</v>
      </c>
      <c r="G699" s="5">
        <v>1190000</v>
      </c>
      <c r="I699" s="6">
        <f>VLOOKUP(B699,'GIÁ 1.4'!$D:$F,2,0)</f>
        <v>0</v>
      </c>
      <c r="J699" s="21">
        <f t="shared" si="92"/>
        <v>0</v>
      </c>
      <c r="K699" s="6">
        <f>VLOOKUP(B699,'GIÁ 1.4'!$D:$F,3,0)</f>
        <v>0</v>
      </c>
      <c r="L699" s="21">
        <f t="shared" si="93"/>
        <v>1101851.8518518517</v>
      </c>
    </row>
    <row r="700" spans="1:12" ht="16.8" x14ac:dyDescent="0.3">
      <c r="A700" s="3"/>
      <c r="B700" s="36" t="s">
        <v>15606</v>
      </c>
      <c r="C700" s="3"/>
      <c r="D700" s="64"/>
      <c r="E700" s="1">
        <f t="shared" si="86"/>
        <v>0</v>
      </c>
      <c r="F700" s="64"/>
      <c r="G700" s="1">
        <f t="shared" si="87"/>
        <v>0</v>
      </c>
      <c r="J700" s="21"/>
      <c r="L700" s="21"/>
    </row>
    <row r="701" spans="1:12" ht="16.8" x14ac:dyDescent="0.3">
      <c r="A701" s="3">
        <v>1</v>
      </c>
      <c r="B701" s="17" t="s">
        <v>2174</v>
      </c>
      <c r="C701" s="33" t="s">
        <v>6</v>
      </c>
      <c r="D701" s="68">
        <v>130000</v>
      </c>
      <c r="E701" s="1">
        <f>D701*1.08</f>
        <v>140400</v>
      </c>
      <c r="F701" s="68">
        <v>259999.99999999997</v>
      </c>
      <c r="G701" s="1">
        <f>F701*1.08</f>
        <v>280800</v>
      </c>
      <c r="I701" s="6">
        <f>VLOOKUP(B701,'GIÁ 1.4'!$D:$F,2,0)</f>
        <v>130000</v>
      </c>
      <c r="J701" s="21">
        <f t="shared" ref="J701:J725" si="94">D701-I701</f>
        <v>0</v>
      </c>
      <c r="K701" s="6">
        <f>VLOOKUP(B701,'GIÁ 1.4'!$D:$F,3,0)</f>
        <v>260000</v>
      </c>
      <c r="L701" s="21">
        <f t="shared" ref="L701:L725" si="95">F701-K701</f>
        <v>0</v>
      </c>
    </row>
    <row r="702" spans="1:12" ht="16.8" x14ac:dyDescent="0.3">
      <c r="A702" s="3">
        <v>2</v>
      </c>
      <c r="B702" s="43" t="s">
        <v>13433</v>
      </c>
      <c r="C702" s="3" t="s">
        <v>6</v>
      </c>
      <c r="D702" s="64">
        <v>895000</v>
      </c>
      <c r="E702" s="1">
        <f t="shared" ref="E702:E754" si="96">D702*1.08</f>
        <v>966600.00000000012</v>
      </c>
      <c r="F702" s="64">
        <v>1496296</v>
      </c>
      <c r="G702" s="1">
        <f t="shared" ref="G702:G754" si="97">F702*1.08</f>
        <v>1615999.6800000002</v>
      </c>
      <c r="I702" s="6">
        <f>VLOOKUP(B702,'GIÁ 1.4'!$D:$F,2,0)</f>
        <v>895000</v>
      </c>
      <c r="J702" s="21">
        <f t="shared" si="94"/>
        <v>0</v>
      </c>
      <c r="K702" s="6">
        <f>VLOOKUP(B702,'GIÁ 1.4'!$D:$F,3,0)</f>
        <v>1496296</v>
      </c>
      <c r="L702" s="21">
        <f t="shared" si="95"/>
        <v>0</v>
      </c>
    </row>
    <row r="703" spans="1:12" ht="16.8" x14ac:dyDescent="0.3">
      <c r="A703" s="3">
        <v>3</v>
      </c>
      <c r="B703" s="31" t="s">
        <v>15019</v>
      </c>
      <c r="C703" s="4" t="s">
        <v>6</v>
      </c>
      <c r="D703" s="65">
        <v>215000</v>
      </c>
      <c r="E703" s="1">
        <f t="shared" si="96"/>
        <v>232200.00000000003</v>
      </c>
      <c r="F703" s="65">
        <v>429630</v>
      </c>
      <c r="G703" s="1">
        <f t="shared" si="97"/>
        <v>464000.4</v>
      </c>
      <c r="I703" s="6">
        <f>VLOOKUP(B703,'GIÁ 1.4'!$D:$F,2,0)</f>
        <v>215000</v>
      </c>
      <c r="J703" s="21">
        <f t="shared" si="94"/>
        <v>0</v>
      </c>
      <c r="K703" s="6">
        <f>VLOOKUP(B703,'GIÁ 1.4'!$D:$F,3,0)</f>
        <v>429630</v>
      </c>
      <c r="L703" s="21">
        <f t="shared" si="95"/>
        <v>0</v>
      </c>
    </row>
    <row r="704" spans="1:12" ht="16.8" x14ac:dyDescent="0.3">
      <c r="A704" s="3">
        <v>4</v>
      </c>
      <c r="B704" s="31" t="s">
        <v>1478</v>
      </c>
      <c r="C704" s="4" t="s">
        <v>6</v>
      </c>
      <c r="D704" s="65">
        <v>50000</v>
      </c>
      <c r="E704" s="1">
        <f t="shared" si="96"/>
        <v>54000</v>
      </c>
      <c r="F704" s="65">
        <v>100000</v>
      </c>
      <c r="G704" s="1">
        <f t="shared" si="97"/>
        <v>108000</v>
      </c>
      <c r="I704" s="6">
        <f>VLOOKUP(B704,'GIÁ 1.4'!$D:$F,2,0)</f>
        <v>50000</v>
      </c>
      <c r="J704" s="21">
        <f t="shared" si="94"/>
        <v>0</v>
      </c>
      <c r="K704" s="6">
        <f>VLOOKUP(B704,'GIÁ 1.4'!$D:$F,3,0)</f>
        <v>100000</v>
      </c>
      <c r="L704" s="21">
        <f t="shared" si="95"/>
        <v>0</v>
      </c>
    </row>
    <row r="705" spans="1:12" ht="16.8" x14ac:dyDescent="0.3">
      <c r="A705" s="3">
        <v>5</v>
      </c>
      <c r="B705" s="43" t="s">
        <v>15607</v>
      </c>
      <c r="C705" s="3" t="s">
        <v>6</v>
      </c>
      <c r="D705" s="64">
        <v>60000</v>
      </c>
      <c r="E705" s="1">
        <f t="shared" si="96"/>
        <v>64800.000000000007</v>
      </c>
      <c r="F705" s="64">
        <v>120370</v>
      </c>
      <c r="G705" s="1">
        <f t="shared" si="97"/>
        <v>129999.6</v>
      </c>
      <c r="I705" s="6">
        <f>VLOOKUP(B705,'GIÁ 1.4'!$D:$F,2,0)</f>
        <v>60000</v>
      </c>
      <c r="J705" s="21">
        <f t="shared" si="94"/>
        <v>0</v>
      </c>
      <c r="K705" s="6">
        <f>VLOOKUP(B705,'GIÁ 1.4'!$D:$F,3,0)</f>
        <v>120370</v>
      </c>
      <c r="L705" s="21">
        <f t="shared" si="95"/>
        <v>0</v>
      </c>
    </row>
    <row r="706" spans="1:12" ht="16.8" x14ac:dyDescent="0.3">
      <c r="A706" s="3">
        <v>6</v>
      </c>
      <c r="B706" s="43" t="s">
        <v>2023</v>
      </c>
      <c r="C706" s="3" t="s">
        <v>6</v>
      </c>
      <c r="D706" s="64">
        <v>90000</v>
      </c>
      <c r="E706" s="1">
        <f t="shared" si="96"/>
        <v>97200</v>
      </c>
      <c r="F706" s="64">
        <v>179630</v>
      </c>
      <c r="G706" s="1">
        <f t="shared" si="97"/>
        <v>194000.40000000002</v>
      </c>
      <c r="I706" s="6">
        <f>VLOOKUP(B706,'GIÁ 1.4'!$D:$F,2,0)</f>
        <v>90000</v>
      </c>
      <c r="J706" s="21">
        <f t="shared" si="94"/>
        <v>0</v>
      </c>
      <c r="K706" s="6">
        <f>VLOOKUP(B706,'GIÁ 1.4'!$D:$F,3,0)</f>
        <v>179630</v>
      </c>
      <c r="L706" s="21">
        <f t="shared" si="95"/>
        <v>0</v>
      </c>
    </row>
    <row r="707" spans="1:12" ht="16.8" x14ac:dyDescent="0.3">
      <c r="A707" s="3">
        <v>7</v>
      </c>
      <c r="B707" s="43" t="s">
        <v>15608</v>
      </c>
      <c r="C707" s="3" t="s">
        <v>6</v>
      </c>
      <c r="D707" s="64">
        <v>75000</v>
      </c>
      <c r="E707" s="1">
        <f t="shared" si="96"/>
        <v>81000</v>
      </c>
      <c r="F707" s="64">
        <v>150000</v>
      </c>
      <c r="G707" s="1">
        <f t="shared" si="97"/>
        <v>162000</v>
      </c>
      <c r="I707" s="6">
        <f>VLOOKUP(B707,'GIÁ 1.4'!$D:$F,2,0)</f>
        <v>75000</v>
      </c>
      <c r="J707" s="21">
        <f t="shared" si="94"/>
        <v>0</v>
      </c>
      <c r="K707" s="6">
        <f>VLOOKUP(B707,'GIÁ 1.4'!$D:$F,3,0)</f>
        <v>150000</v>
      </c>
      <c r="L707" s="21">
        <f t="shared" si="95"/>
        <v>0</v>
      </c>
    </row>
    <row r="708" spans="1:12" ht="16.8" x14ac:dyDescent="0.3">
      <c r="A708" s="3">
        <v>8</v>
      </c>
      <c r="B708" s="43" t="s">
        <v>1230</v>
      </c>
      <c r="C708" s="3" t="s">
        <v>6</v>
      </c>
      <c r="D708" s="64">
        <v>125000</v>
      </c>
      <c r="E708" s="1">
        <f t="shared" si="96"/>
        <v>135000</v>
      </c>
      <c r="F708" s="64">
        <v>250000</v>
      </c>
      <c r="G708" s="1">
        <f t="shared" si="97"/>
        <v>270000</v>
      </c>
      <c r="I708" s="6">
        <f>VLOOKUP(B708,'GIÁ 1.4'!$D:$F,2,0)</f>
        <v>125000</v>
      </c>
      <c r="J708" s="21">
        <f t="shared" si="94"/>
        <v>0</v>
      </c>
      <c r="K708" s="6">
        <f>VLOOKUP(B708,'GIÁ 1.4'!$D:$F,3,0)</f>
        <v>250000</v>
      </c>
      <c r="L708" s="21">
        <f t="shared" si="95"/>
        <v>0</v>
      </c>
    </row>
    <row r="709" spans="1:12" ht="16.8" x14ac:dyDescent="0.3">
      <c r="A709" s="3">
        <v>16</v>
      </c>
      <c r="B709" s="43" t="s">
        <v>10960</v>
      </c>
      <c r="C709" s="3" t="s">
        <v>6</v>
      </c>
      <c r="D709" s="64">
        <v>2753000</v>
      </c>
      <c r="E709" s="1">
        <f t="shared" si="96"/>
        <v>2973240</v>
      </c>
      <c r="F709" s="64">
        <v>4600000</v>
      </c>
      <c r="G709" s="1">
        <f t="shared" si="97"/>
        <v>4968000</v>
      </c>
      <c r="I709" s="6">
        <f>VLOOKUP(B709,'GIÁ 1.4'!$D:$F,2,0)</f>
        <v>2753000</v>
      </c>
      <c r="J709" s="21">
        <f t="shared" si="94"/>
        <v>0</v>
      </c>
      <c r="K709" s="6">
        <f>VLOOKUP(B709,'GIÁ 1.4'!$D:$F,3,0)</f>
        <v>4600000</v>
      </c>
      <c r="L709" s="21">
        <f t="shared" si="95"/>
        <v>0</v>
      </c>
    </row>
    <row r="710" spans="1:12" ht="16.8" x14ac:dyDescent="0.3">
      <c r="A710" s="3">
        <v>17</v>
      </c>
      <c r="B710" s="2" t="s">
        <v>11528</v>
      </c>
      <c r="C710" s="3" t="s">
        <v>6</v>
      </c>
      <c r="D710" s="64">
        <v>4189000</v>
      </c>
      <c r="E710" s="1">
        <f t="shared" si="96"/>
        <v>4524120</v>
      </c>
      <c r="F710" s="64">
        <v>7000000</v>
      </c>
      <c r="G710" s="1">
        <f t="shared" si="97"/>
        <v>7560000.0000000009</v>
      </c>
      <c r="I710" s="6">
        <f>VLOOKUP(B710,'GIÁ 1.4'!$D:$F,2,0)</f>
        <v>4189000</v>
      </c>
      <c r="J710" s="21">
        <f t="shared" si="94"/>
        <v>0</v>
      </c>
      <c r="K710" s="6">
        <f>VLOOKUP(B710,'GIÁ 1.4'!$D:$F,3,0)</f>
        <v>7000000</v>
      </c>
      <c r="L710" s="21">
        <f t="shared" si="95"/>
        <v>0</v>
      </c>
    </row>
    <row r="711" spans="1:12" ht="16.8" x14ac:dyDescent="0.3">
      <c r="A711" s="3">
        <v>18</v>
      </c>
      <c r="B711" s="2" t="s">
        <v>14634</v>
      </c>
      <c r="C711" s="3" t="s">
        <v>6</v>
      </c>
      <c r="D711" s="64">
        <v>4189000</v>
      </c>
      <c r="E711" s="1">
        <f t="shared" si="96"/>
        <v>4524120</v>
      </c>
      <c r="F711" s="64">
        <v>7000000</v>
      </c>
      <c r="G711" s="1">
        <f t="shared" si="97"/>
        <v>7560000.0000000009</v>
      </c>
      <c r="I711" s="6">
        <f>VLOOKUP(B711,'GIÁ 1.4'!$D:$F,2,0)</f>
        <v>4189000</v>
      </c>
      <c r="J711" s="21">
        <f t="shared" si="94"/>
        <v>0</v>
      </c>
      <c r="K711" s="6">
        <f>VLOOKUP(B711,'GIÁ 1.4'!$D:$F,3,0)</f>
        <v>7000000</v>
      </c>
      <c r="L711" s="21">
        <f t="shared" si="95"/>
        <v>0</v>
      </c>
    </row>
    <row r="712" spans="1:12" ht="16.8" x14ac:dyDescent="0.3">
      <c r="A712" s="3">
        <v>19</v>
      </c>
      <c r="B712" s="43" t="s">
        <v>8698</v>
      </c>
      <c r="C712" s="3" t="s">
        <v>6</v>
      </c>
      <c r="D712" s="64">
        <v>1149000</v>
      </c>
      <c r="E712" s="1">
        <f t="shared" si="96"/>
        <v>1240920</v>
      </c>
      <c r="F712" s="64">
        <v>1920370</v>
      </c>
      <c r="G712" s="1">
        <f t="shared" si="97"/>
        <v>2073999.6</v>
      </c>
      <c r="I712" s="6">
        <f>VLOOKUP(B712,'GIÁ 1.4'!$D:$F,2,0)</f>
        <v>1149000</v>
      </c>
      <c r="J712" s="21">
        <f t="shared" si="94"/>
        <v>0</v>
      </c>
      <c r="K712" s="6">
        <f>VLOOKUP(B712,'GIÁ 1.4'!$D:$F,3,0)</f>
        <v>1920370</v>
      </c>
      <c r="L712" s="21">
        <f t="shared" si="95"/>
        <v>0</v>
      </c>
    </row>
    <row r="713" spans="1:12" ht="16.8" x14ac:dyDescent="0.3">
      <c r="A713" s="3">
        <v>20</v>
      </c>
      <c r="B713" s="48" t="s">
        <v>13401</v>
      </c>
      <c r="C713" s="3" t="s">
        <v>6</v>
      </c>
      <c r="D713" s="70">
        <v>1676000</v>
      </c>
      <c r="E713" s="1">
        <f t="shared" si="96"/>
        <v>1810080.0000000002</v>
      </c>
      <c r="F713" s="64">
        <v>2800000</v>
      </c>
      <c r="G713" s="1">
        <f t="shared" si="97"/>
        <v>3024000</v>
      </c>
      <c r="I713" s="6">
        <f>VLOOKUP(B713,'GIÁ 1.4'!$D:$F,2,0)</f>
        <v>1676000</v>
      </c>
      <c r="J713" s="21">
        <f t="shared" si="94"/>
        <v>0</v>
      </c>
      <c r="K713" s="6">
        <f>VLOOKUP(B713,'GIÁ 1.4'!$D:$F,3,0)</f>
        <v>2800000</v>
      </c>
      <c r="L713" s="21">
        <f t="shared" si="95"/>
        <v>0</v>
      </c>
    </row>
    <row r="714" spans="1:12" ht="16.8" x14ac:dyDescent="0.3">
      <c r="A714" s="3">
        <v>21</v>
      </c>
      <c r="B714" s="32" t="s">
        <v>14470</v>
      </c>
      <c r="C714" s="44" t="s">
        <v>6</v>
      </c>
      <c r="D714" s="64">
        <v>1385200</v>
      </c>
      <c r="E714" s="1">
        <f t="shared" si="96"/>
        <v>1496016</v>
      </c>
      <c r="F714" s="77">
        <v>2314815</v>
      </c>
      <c r="G714" s="1">
        <f t="shared" si="97"/>
        <v>2500000.2000000002</v>
      </c>
      <c r="I714" s="6">
        <f>VLOOKUP(B714,'GIÁ 1.4'!$D:$F,2,0)</f>
        <v>1385200</v>
      </c>
      <c r="J714" s="21">
        <f t="shared" si="94"/>
        <v>0</v>
      </c>
      <c r="K714" s="6">
        <f>VLOOKUP(B714,'GIÁ 1.4'!$D:$F,3,0)</f>
        <v>2314815</v>
      </c>
      <c r="L714" s="21">
        <f t="shared" si="95"/>
        <v>0</v>
      </c>
    </row>
    <row r="715" spans="1:12" ht="16.8" x14ac:dyDescent="0.3">
      <c r="A715" s="3">
        <v>22</v>
      </c>
      <c r="B715" s="43" t="s">
        <v>11750</v>
      </c>
      <c r="C715" s="44" t="s">
        <v>6</v>
      </c>
      <c r="D715" s="64">
        <v>1532000</v>
      </c>
      <c r="E715" s="1">
        <f t="shared" si="96"/>
        <v>1654560</v>
      </c>
      <c r="F715" s="77">
        <v>2560185</v>
      </c>
      <c r="G715" s="1">
        <f t="shared" si="97"/>
        <v>2764999.8000000003</v>
      </c>
      <c r="I715" s="6">
        <f>VLOOKUP(B715,'GIÁ 1.4'!$D:$F,2,0)</f>
        <v>1532000</v>
      </c>
      <c r="J715" s="21">
        <f t="shared" si="94"/>
        <v>0</v>
      </c>
      <c r="K715" s="6">
        <f>VLOOKUP(B715,'GIÁ 1.4'!$D:$F,3,0)</f>
        <v>2560185</v>
      </c>
      <c r="L715" s="21">
        <f t="shared" si="95"/>
        <v>0</v>
      </c>
    </row>
    <row r="716" spans="1:12" ht="16.8" x14ac:dyDescent="0.3">
      <c r="A716" s="3">
        <v>23</v>
      </c>
      <c r="B716" s="2" t="s">
        <v>14476</v>
      </c>
      <c r="C716" s="44" t="s">
        <v>6</v>
      </c>
      <c r="D716" s="64">
        <v>2094000</v>
      </c>
      <c r="E716" s="1">
        <f t="shared" si="96"/>
        <v>2261520</v>
      </c>
      <c r="F716" s="77">
        <v>3500000</v>
      </c>
      <c r="G716" s="1">
        <f t="shared" si="97"/>
        <v>3780000.0000000005</v>
      </c>
      <c r="I716" s="6">
        <f>VLOOKUP(B716,'GIÁ 1.4'!$D:$F,2,0)</f>
        <v>2094000</v>
      </c>
      <c r="J716" s="21">
        <f t="shared" si="94"/>
        <v>0</v>
      </c>
      <c r="K716" s="6">
        <f>VLOOKUP(B716,'GIÁ 1.4'!$D:$F,3,0)</f>
        <v>3500000</v>
      </c>
      <c r="L716" s="21">
        <f t="shared" si="95"/>
        <v>0</v>
      </c>
    </row>
    <row r="717" spans="1:12" ht="16.8" x14ac:dyDescent="0.3">
      <c r="A717" s="3">
        <v>24</v>
      </c>
      <c r="B717" s="43" t="s">
        <v>8702</v>
      </c>
      <c r="C717" s="44" t="s">
        <v>6</v>
      </c>
      <c r="D717" s="64">
        <v>2214000</v>
      </c>
      <c r="E717" s="1">
        <f t="shared" si="96"/>
        <v>2391120</v>
      </c>
      <c r="F717" s="77">
        <v>3700000</v>
      </c>
      <c r="G717" s="1">
        <f t="shared" si="97"/>
        <v>3996000.0000000005</v>
      </c>
      <c r="I717" s="6">
        <f>VLOOKUP(B717,'GIÁ 1.4'!$D:$F,2,0)</f>
        <v>2214000</v>
      </c>
      <c r="J717" s="21">
        <f t="shared" si="94"/>
        <v>0</v>
      </c>
      <c r="K717" s="6">
        <f>VLOOKUP(B717,'GIÁ 1.4'!$D:$F,3,0)</f>
        <v>3700000</v>
      </c>
      <c r="L717" s="21">
        <f t="shared" si="95"/>
        <v>0</v>
      </c>
    </row>
    <row r="718" spans="1:12" ht="16.8" x14ac:dyDescent="0.3">
      <c r="A718" s="3">
        <v>25</v>
      </c>
      <c r="B718" s="43" t="s">
        <v>4576</v>
      </c>
      <c r="C718" s="3" t="s">
        <v>6</v>
      </c>
      <c r="D718" s="64">
        <v>1008400</v>
      </c>
      <c r="E718" s="1">
        <f t="shared" si="96"/>
        <v>1089072</v>
      </c>
      <c r="F718" s="64">
        <v>1685185</v>
      </c>
      <c r="G718" s="1">
        <f t="shared" si="97"/>
        <v>1819999.8</v>
      </c>
      <c r="I718" s="6">
        <f>VLOOKUP(B718,'GIÁ 1.4'!$D:$F,2,0)</f>
        <v>1008400</v>
      </c>
      <c r="J718" s="21">
        <f t="shared" si="94"/>
        <v>0</v>
      </c>
      <c r="K718" s="6">
        <f>VLOOKUP(B718,'GIÁ 1.4'!$D:$F,3,0)</f>
        <v>1685185</v>
      </c>
      <c r="L718" s="21">
        <f t="shared" si="95"/>
        <v>0</v>
      </c>
    </row>
    <row r="719" spans="1:12" ht="16.8" x14ac:dyDescent="0.3">
      <c r="A719" s="3">
        <v>26</v>
      </c>
      <c r="B719" s="43" t="s">
        <v>5717</v>
      </c>
      <c r="C719" s="3" t="s">
        <v>6</v>
      </c>
      <c r="D719" s="64">
        <v>1385200</v>
      </c>
      <c r="E719" s="1">
        <f t="shared" si="96"/>
        <v>1496016</v>
      </c>
      <c r="F719" s="64">
        <v>2314815</v>
      </c>
      <c r="G719" s="1">
        <f t="shared" si="97"/>
        <v>2500000.2000000002</v>
      </c>
      <c r="I719" s="6">
        <f>VLOOKUP(B719,'GIÁ 1.4'!$D:$F,2,0)</f>
        <v>1385200</v>
      </c>
      <c r="J719" s="21">
        <f t="shared" si="94"/>
        <v>0</v>
      </c>
      <c r="K719" s="6">
        <f>VLOOKUP(B719,'GIÁ 1.4'!$D:$F,3,0)</f>
        <v>2314815</v>
      </c>
      <c r="L719" s="21">
        <f t="shared" si="95"/>
        <v>0</v>
      </c>
    </row>
    <row r="720" spans="1:12" ht="16.8" x14ac:dyDescent="0.3">
      <c r="A720" s="3">
        <v>27</v>
      </c>
      <c r="B720" s="2" t="s">
        <v>4278</v>
      </c>
      <c r="C720" s="44" t="s">
        <v>6</v>
      </c>
      <c r="D720" s="64">
        <v>620000</v>
      </c>
      <c r="E720" s="1">
        <f t="shared" si="96"/>
        <v>669600</v>
      </c>
      <c r="F720" s="64">
        <v>1239815</v>
      </c>
      <c r="G720" s="1">
        <f t="shared" si="97"/>
        <v>1339000.2000000002</v>
      </c>
      <c r="I720" s="6">
        <f>VLOOKUP(B720,'GIÁ 1.4'!$D:$F,2,0)</f>
        <v>620000</v>
      </c>
      <c r="J720" s="21">
        <f t="shared" si="94"/>
        <v>0</v>
      </c>
      <c r="K720" s="6">
        <f>VLOOKUP(B720,'GIÁ 1.4'!$D:$F,3,0)</f>
        <v>1239815</v>
      </c>
      <c r="L720" s="21">
        <f t="shared" si="95"/>
        <v>0</v>
      </c>
    </row>
    <row r="721" spans="1:12" ht="16.8" x14ac:dyDescent="0.3">
      <c r="A721" s="3">
        <v>28</v>
      </c>
      <c r="B721" s="31" t="s">
        <v>3924</v>
      </c>
      <c r="C721" s="49" t="s">
        <v>6</v>
      </c>
      <c r="D721" s="65">
        <v>835000</v>
      </c>
      <c r="E721" s="1">
        <f t="shared" si="96"/>
        <v>901800.00000000012</v>
      </c>
      <c r="F721" s="65">
        <v>1670370</v>
      </c>
      <c r="G721" s="1">
        <f t="shared" si="97"/>
        <v>1803999.6</v>
      </c>
      <c r="I721" s="6">
        <f>VLOOKUP(B721,'GIÁ 1.4'!$D:$F,2,0)</f>
        <v>835000</v>
      </c>
      <c r="J721" s="21">
        <f t="shared" si="94"/>
        <v>0</v>
      </c>
      <c r="K721" s="6">
        <f>VLOOKUP(B721,'GIÁ 1.4'!$D:$F,3,0)</f>
        <v>1670370</v>
      </c>
      <c r="L721" s="21">
        <f t="shared" si="95"/>
        <v>0</v>
      </c>
    </row>
    <row r="722" spans="1:12" ht="16.8" x14ac:dyDescent="0.3">
      <c r="A722" s="3">
        <v>29</v>
      </c>
      <c r="B722" s="31" t="s">
        <v>3926</v>
      </c>
      <c r="C722" s="4" t="s">
        <v>6</v>
      </c>
      <c r="D722" s="65">
        <v>1141000</v>
      </c>
      <c r="E722" s="1">
        <f t="shared" si="96"/>
        <v>1232280</v>
      </c>
      <c r="F722" s="65">
        <v>2282407</v>
      </c>
      <c r="G722" s="1">
        <f t="shared" si="97"/>
        <v>2464999.56</v>
      </c>
      <c r="I722" s="6">
        <f>VLOOKUP(B722,'GIÁ 1.4'!$D:$F,2,0)</f>
        <v>1141000</v>
      </c>
      <c r="J722" s="21">
        <f t="shared" si="94"/>
        <v>0</v>
      </c>
      <c r="K722" s="6">
        <f>VLOOKUP(B722,'GIÁ 1.4'!$D:$F,3,0)</f>
        <v>2282407</v>
      </c>
      <c r="L722" s="21">
        <f t="shared" si="95"/>
        <v>0</v>
      </c>
    </row>
    <row r="723" spans="1:12" ht="16.8" x14ac:dyDescent="0.3">
      <c r="A723" s="3">
        <v>30</v>
      </c>
      <c r="B723" s="43" t="s">
        <v>3658</v>
      </c>
      <c r="C723" s="3" t="s">
        <v>6</v>
      </c>
      <c r="D723" s="64">
        <v>1452000</v>
      </c>
      <c r="E723" s="1">
        <f t="shared" si="96"/>
        <v>1568160</v>
      </c>
      <c r="F723" s="64">
        <v>2903704</v>
      </c>
      <c r="G723" s="1">
        <f t="shared" si="97"/>
        <v>3136000.3200000003</v>
      </c>
      <c r="I723" s="6">
        <f>VLOOKUP(B723,'GIÁ 1.4'!$D:$F,2,0)</f>
        <v>1452000</v>
      </c>
      <c r="J723" s="21">
        <f t="shared" si="94"/>
        <v>0</v>
      </c>
      <c r="K723" s="6">
        <f>VLOOKUP(B723,'GIÁ 1.4'!$D:$F,3,0)</f>
        <v>2903704</v>
      </c>
      <c r="L723" s="21">
        <f t="shared" si="95"/>
        <v>0</v>
      </c>
    </row>
    <row r="724" spans="1:12" ht="16.8" x14ac:dyDescent="0.3">
      <c r="A724" s="3">
        <v>31</v>
      </c>
      <c r="B724" s="43" t="s">
        <v>4025</v>
      </c>
      <c r="C724" s="3" t="s">
        <v>6</v>
      </c>
      <c r="D724" s="64">
        <v>2842000</v>
      </c>
      <c r="E724" s="1">
        <f t="shared" si="96"/>
        <v>3069360</v>
      </c>
      <c r="F724" s="64">
        <v>4750000</v>
      </c>
      <c r="G724" s="1">
        <f t="shared" si="97"/>
        <v>5130000</v>
      </c>
      <c r="I724" s="6">
        <f>VLOOKUP(B724,'GIÁ 1.4'!$D:$F,2,0)</f>
        <v>2842000</v>
      </c>
      <c r="J724" s="21">
        <f t="shared" si="94"/>
        <v>0</v>
      </c>
      <c r="K724" s="6">
        <f>VLOOKUP(B724,'GIÁ 1.4'!$D:$F,3,0)</f>
        <v>4750000</v>
      </c>
      <c r="L724" s="21">
        <f t="shared" si="95"/>
        <v>0</v>
      </c>
    </row>
    <row r="725" spans="1:12" ht="16.8" x14ac:dyDescent="0.3">
      <c r="A725" s="3">
        <v>32</v>
      </c>
      <c r="B725" s="43" t="s">
        <v>4374</v>
      </c>
      <c r="C725" s="3" t="s">
        <v>6</v>
      </c>
      <c r="D725" s="64">
        <v>2094000</v>
      </c>
      <c r="E725" s="1">
        <f t="shared" si="96"/>
        <v>2261520</v>
      </c>
      <c r="F725" s="64">
        <v>3500000</v>
      </c>
      <c r="G725" s="1">
        <f t="shared" si="97"/>
        <v>3780000.0000000005</v>
      </c>
      <c r="I725" s="6">
        <f>VLOOKUP(B725,'GIÁ 1.4'!$D:$F,2,0)</f>
        <v>2094000</v>
      </c>
      <c r="J725" s="21">
        <f t="shared" si="94"/>
        <v>0</v>
      </c>
      <c r="K725" s="6">
        <f>VLOOKUP(B725,'GIÁ 1.4'!$D:$F,3,0)</f>
        <v>3500000</v>
      </c>
      <c r="L725" s="21">
        <f t="shared" si="95"/>
        <v>0</v>
      </c>
    </row>
    <row r="726" spans="1:12" ht="16.8" x14ac:dyDescent="0.3">
      <c r="A726" s="3">
        <v>33</v>
      </c>
      <c r="B726" s="43" t="s">
        <v>6137</v>
      </c>
      <c r="C726" s="3" t="s">
        <v>6</v>
      </c>
      <c r="D726" s="64">
        <v>3949000</v>
      </c>
      <c r="E726" s="1">
        <f t="shared" si="96"/>
        <v>4264920</v>
      </c>
      <c r="F726" s="64">
        <v>6600000</v>
      </c>
      <c r="G726" s="1">
        <f t="shared" si="97"/>
        <v>7128000.0000000009</v>
      </c>
      <c r="I726" s="6">
        <f>VLOOKUP(B726,'GIÁ 1.4'!$D:$F,2,0)</f>
        <v>3949000</v>
      </c>
      <c r="J726" s="21">
        <f t="shared" ref="J726:J754" si="98">D726-I726</f>
        <v>0</v>
      </c>
      <c r="K726" s="6">
        <f>VLOOKUP(B726,'GIÁ 1.4'!$D:$F,3,0)</f>
        <v>6600000</v>
      </c>
      <c r="L726" s="21">
        <f t="shared" ref="L726:L754" si="99">F726-K726</f>
        <v>0</v>
      </c>
    </row>
    <row r="727" spans="1:12" ht="16.8" x14ac:dyDescent="0.3">
      <c r="A727" s="3">
        <v>34</v>
      </c>
      <c r="B727" s="43" t="s">
        <v>4354</v>
      </c>
      <c r="C727" s="3" t="s">
        <v>6</v>
      </c>
      <c r="D727" s="64">
        <v>7304000</v>
      </c>
      <c r="E727" s="1">
        <f t="shared" si="96"/>
        <v>7888320.0000000009</v>
      </c>
      <c r="F727" s="64">
        <v>14608000</v>
      </c>
      <c r="G727" s="1">
        <f t="shared" si="97"/>
        <v>15776640.000000002</v>
      </c>
      <c r="I727" s="6">
        <f>VLOOKUP(B727,'GIÁ 1.4'!$D:$F,2,0)</f>
        <v>7304000</v>
      </c>
      <c r="J727" s="21">
        <f t="shared" si="98"/>
        <v>0</v>
      </c>
      <c r="K727" s="6">
        <f>VLOOKUP(B727,'GIÁ 1.4'!$D:$F,3,0)</f>
        <v>14608000</v>
      </c>
      <c r="L727" s="21">
        <f t="shared" si="99"/>
        <v>0</v>
      </c>
    </row>
    <row r="728" spans="1:12" ht="16.8" x14ac:dyDescent="0.3">
      <c r="A728" s="3">
        <v>35</v>
      </c>
      <c r="B728" s="43" t="s">
        <v>4350</v>
      </c>
      <c r="C728" s="3" t="s">
        <v>6</v>
      </c>
      <c r="D728" s="64">
        <v>2370000</v>
      </c>
      <c r="E728" s="1">
        <f t="shared" si="96"/>
        <v>2559600</v>
      </c>
      <c r="F728" s="64">
        <v>3960185</v>
      </c>
      <c r="G728" s="1">
        <f t="shared" si="97"/>
        <v>4276999.8000000007</v>
      </c>
      <c r="I728" s="6">
        <f>VLOOKUP(B728,'GIÁ 1.4'!$D:$F,2,0)</f>
        <v>2370000</v>
      </c>
      <c r="J728" s="21">
        <f t="shared" si="98"/>
        <v>0</v>
      </c>
      <c r="K728" s="6">
        <f>VLOOKUP(B728,'GIÁ 1.4'!$D:$F,3,0)</f>
        <v>3960185</v>
      </c>
      <c r="L728" s="21">
        <f t="shared" si="99"/>
        <v>0</v>
      </c>
    </row>
    <row r="729" spans="1:12" ht="16.8" x14ac:dyDescent="0.3">
      <c r="A729" s="3">
        <v>36</v>
      </c>
      <c r="B729" s="43" t="s">
        <v>4804</v>
      </c>
      <c r="C729" s="3" t="s">
        <v>6</v>
      </c>
      <c r="D729" s="64">
        <v>3291000</v>
      </c>
      <c r="E729" s="1">
        <f t="shared" si="96"/>
        <v>3554280.0000000005</v>
      </c>
      <c r="F729" s="64">
        <v>5500000</v>
      </c>
      <c r="G729" s="1">
        <f t="shared" si="97"/>
        <v>5940000</v>
      </c>
      <c r="I729" s="6">
        <f>VLOOKUP(B729,'GIÁ 1.4'!$D:$F,2,0)</f>
        <v>3291000</v>
      </c>
      <c r="J729" s="21">
        <f t="shared" si="98"/>
        <v>0</v>
      </c>
      <c r="K729" s="6">
        <f>VLOOKUP(B729,'GIÁ 1.4'!$D:$F,3,0)</f>
        <v>5500000</v>
      </c>
      <c r="L729" s="21">
        <f t="shared" si="99"/>
        <v>0</v>
      </c>
    </row>
    <row r="730" spans="1:12" ht="16.8" x14ac:dyDescent="0.3">
      <c r="A730" s="3">
        <v>37</v>
      </c>
      <c r="B730" s="43" t="s">
        <v>3370</v>
      </c>
      <c r="C730" s="3" t="s">
        <v>6</v>
      </c>
      <c r="D730" s="64">
        <v>5643000</v>
      </c>
      <c r="E730" s="1">
        <f t="shared" si="96"/>
        <v>6094440</v>
      </c>
      <c r="F730" s="64">
        <v>11286000</v>
      </c>
      <c r="G730" s="1">
        <f t="shared" si="97"/>
        <v>12188880</v>
      </c>
      <c r="I730" s="6">
        <f>VLOOKUP(B730,'GIÁ 1.4'!$D:$F,2,0)</f>
        <v>5643000</v>
      </c>
      <c r="J730" s="21">
        <f t="shared" si="98"/>
        <v>0</v>
      </c>
      <c r="K730" s="6">
        <f>VLOOKUP(B730,'GIÁ 1.4'!$D:$F,3,0)</f>
        <v>11286000</v>
      </c>
      <c r="L730" s="21">
        <f t="shared" si="99"/>
        <v>0</v>
      </c>
    </row>
    <row r="731" spans="1:12" ht="16.8" x14ac:dyDescent="0.3">
      <c r="A731" s="3">
        <v>38</v>
      </c>
      <c r="B731" s="43" t="s">
        <v>3896</v>
      </c>
      <c r="C731" s="3" t="s">
        <v>6</v>
      </c>
      <c r="D731" s="64">
        <v>13775000</v>
      </c>
      <c r="E731" s="1">
        <f t="shared" si="96"/>
        <v>14877000.000000002</v>
      </c>
      <c r="F731" s="64">
        <v>23020370</v>
      </c>
      <c r="G731" s="1">
        <f t="shared" si="97"/>
        <v>24861999.600000001</v>
      </c>
      <c r="I731" s="6">
        <f>VLOOKUP(B731,'GIÁ 1.4'!$D:$F,2,0)</f>
        <v>13775000</v>
      </c>
      <c r="J731" s="21">
        <f t="shared" si="98"/>
        <v>0</v>
      </c>
      <c r="K731" s="6">
        <f>VLOOKUP(B731,'GIÁ 1.4'!$D:$F,3,0)</f>
        <v>23020370</v>
      </c>
      <c r="L731" s="21">
        <f t="shared" si="99"/>
        <v>0</v>
      </c>
    </row>
    <row r="732" spans="1:12" ht="16.8" x14ac:dyDescent="0.3">
      <c r="A732" s="3">
        <v>39</v>
      </c>
      <c r="B732" s="45" t="s">
        <v>4424</v>
      </c>
      <c r="C732" s="41" t="s">
        <v>6</v>
      </c>
      <c r="D732" s="72">
        <v>15660000</v>
      </c>
      <c r="E732" s="46">
        <f t="shared" si="96"/>
        <v>16912800</v>
      </c>
      <c r="F732" s="64">
        <v>26170370</v>
      </c>
      <c r="G732" s="46">
        <f t="shared" si="97"/>
        <v>28263999.600000001</v>
      </c>
      <c r="H732" s="7"/>
      <c r="I732" s="7">
        <f>VLOOKUP(B732,'GIÁ 1.4'!$D:$F,2,0)</f>
        <v>12497000</v>
      </c>
      <c r="J732" s="47">
        <f t="shared" si="98"/>
        <v>3163000</v>
      </c>
      <c r="K732" s="7">
        <f>VLOOKUP(B732,'GIÁ 1.4'!$D:$F,3,0)</f>
        <v>24994444</v>
      </c>
      <c r="L732" s="47">
        <f t="shared" si="99"/>
        <v>1175926</v>
      </c>
    </row>
    <row r="733" spans="1:12" ht="16.8" x14ac:dyDescent="0.3">
      <c r="A733" s="3">
        <v>40</v>
      </c>
      <c r="B733" s="43" t="s">
        <v>3638</v>
      </c>
      <c r="C733" s="3" t="s">
        <v>6</v>
      </c>
      <c r="D733" s="64">
        <v>11214000</v>
      </c>
      <c r="E733" s="1">
        <f t="shared" si="96"/>
        <v>12111120</v>
      </c>
      <c r="F733" s="64">
        <v>18739815</v>
      </c>
      <c r="G733" s="1">
        <f t="shared" si="97"/>
        <v>20239000.200000003</v>
      </c>
      <c r="I733" s="6">
        <f>VLOOKUP(B733,'GIÁ 1.4'!$D:$F,2,0)</f>
        <v>11214000</v>
      </c>
      <c r="J733" s="21">
        <f t="shared" si="98"/>
        <v>0</v>
      </c>
      <c r="K733" s="6">
        <f>VLOOKUP(B733,'GIÁ 1.4'!$D:$F,3,0)</f>
        <v>18739815</v>
      </c>
      <c r="L733" s="21">
        <f t="shared" si="99"/>
        <v>0</v>
      </c>
    </row>
    <row r="734" spans="1:12" ht="16.8" x14ac:dyDescent="0.3">
      <c r="A734" s="3">
        <v>41</v>
      </c>
      <c r="B734" s="43" t="s">
        <v>4272</v>
      </c>
      <c r="C734" s="3" t="s">
        <v>6</v>
      </c>
      <c r="D734" s="64">
        <v>3047300</v>
      </c>
      <c r="E734" s="1">
        <f t="shared" si="96"/>
        <v>3291084</v>
      </c>
      <c r="F734" s="64">
        <v>5092593</v>
      </c>
      <c r="G734" s="1">
        <f t="shared" si="97"/>
        <v>5500000.4400000004</v>
      </c>
      <c r="I734" s="6">
        <f>VLOOKUP(B734,'GIÁ 1.4'!$D:$F,2,0)</f>
        <v>3047300</v>
      </c>
      <c r="J734" s="21">
        <f t="shared" si="98"/>
        <v>0</v>
      </c>
      <c r="K734" s="6">
        <f>VLOOKUP(B734,'GIÁ 1.4'!$D:$F,3,0)</f>
        <v>5092593</v>
      </c>
      <c r="L734" s="21">
        <f t="shared" si="99"/>
        <v>0</v>
      </c>
    </row>
    <row r="735" spans="1:12" ht="16.8" x14ac:dyDescent="0.3">
      <c r="A735" s="3">
        <v>42</v>
      </c>
      <c r="B735" s="32" t="s">
        <v>5791</v>
      </c>
      <c r="C735" s="3" t="s">
        <v>6</v>
      </c>
      <c r="D735" s="64">
        <v>1769000</v>
      </c>
      <c r="E735" s="1">
        <f t="shared" si="96"/>
        <v>1910520.0000000002</v>
      </c>
      <c r="F735" s="64">
        <v>3537963</v>
      </c>
      <c r="G735" s="1">
        <f t="shared" si="97"/>
        <v>3821000.04</v>
      </c>
      <c r="I735" s="6">
        <f>VLOOKUP(B735,'GIÁ 1.4'!$D:$F,2,0)</f>
        <v>1769000</v>
      </c>
      <c r="J735" s="21">
        <f t="shared" si="98"/>
        <v>0</v>
      </c>
      <c r="K735" s="6">
        <f>VLOOKUP(B735,'GIÁ 1.4'!$D:$F,3,0)</f>
        <v>3537963</v>
      </c>
      <c r="L735" s="21">
        <f t="shared" si="99"/>
        <v>0</v>
      </c>
    </row>
    <row r="736" spans="1:12" ht="16.8" x14ac:dyDescent="0.3">
      <c r="A736" s="3">
        <v>43</v>
      </c>
      <c r="B736" s="43" t="s">
        <v>5453</v>
      </c>
      <c r="C736" s="3" t="s">
        <v>6</v>
      </c>
      <c r="D736" s="64">
        <v>737000</v>
      </c>
      <c r="E736" s="1">
        <f t="shared" si="96"/>
        <v>795960</v>
      </c>
      <c r="F736" s="64">
        <v>1232407</v>
      </c>
      <c r="G736" s="1">
        <f t="shared" si="97"/>
        <v>1330999.56</v>
      </c>
      <c r="I736" s="6">
        <f>VLOOKUP(B736,'GIÁ 1.4'!$D:$F,2,0)</f>
        <v>737000</v>
      </c>
      <c r="J736" s="21">
        <f t="shared" si="98"/>
        <v>0</v>
      </c>
      <c r="K736" s="6">
        <f>VLOOKUP(B736,'GIÁ 1.4'!$D:$F,3,0)</f>
        <v>1232407</v>
      </c>
      <c r="L736" s="21">
        <f t="shared" si="99"/>
        <v>0</v>
      </c>
    </row>
    <row r="737" spans="1:12" ht="16.8" x14ac:dyDescent="0.3">
      <c r="A737" s="3">
        <v>44</v>
      </c>
      <c r="B737" s="2" t="s">
        <v>5745</v>
      </c>
      <c r="C737" s="33" t="s">
        <v>6</v>
      </c>
      <c r="D737" s="66">
        <v>1137000</v>
      </c>
      <c r="E737" s="1">
        <f t="shared" si="96"/>
        <v>1227960</v>
      </c>
      <c r="F737" s="66">
        <v>2274074</v>
      </c>
      <c r="G737" s="1">
        <f t="shared" si="97"/>
        <v>2455999.9200000004</v>
      </c>
      <c r="I737" s="6">
        <f>VLOOKUP(B737,'GIÁ 1.4'!$D:$F,2,0)</f>
        <v>1137000</v>
      </c>
      <c r="J737" s="21">
        <f t="shared" si="98"/>
        <v>0</v>
      </c>
      <c r="K737" s="6">
        <f>VLOOKUP(B737,'GIÁ 1.4'!$D:$F,3,0)</f>
        <v>2274074</v>
      </c>
      <c r="L737" s="21">
        <f t="shared" si="99"/>
        <v>0</v>
      </c>
    </row>
    <row r="738" spans="1:12" ht="16.8" x14ac:dyDescent="0.3">
      <c r="A738" s="3">
        <v>45</v>
      </c>
      <c r="B738" s="31" t="s">
        <v>4969</v>
      </c>
      <c r="C738" s="4" t="s">
        <v>6</v>
      </c>
      <c r="D738" s="65">
        <v>1414000</v>
      </c>
      <c r="E738" s="1">
        <f t="shared" si="96"/>
        <v>1527120</v>
      </c>
      <c r="F738" s="65">
        <v>2827778</v>
      </c>
      <c r="G738" s="1">
        <f t="shared" si="97"/>
        <v>3054000.24</v>
      </c>
      <c r="I738" s="6">
        <f>VLOOKUP(B738,'GIÁ 1.4'!$D:$F,2,0)</f>
        <v>1414000</v>
      </c>
      <c r="J738" s="21">
        <f t="shared" si="98"/>
        <v>0</v>
      </c>
      <c r="K738" s="6">
        <f>VLOOKUP(B738,'GIÁ 1.4'!$D:$F,3,0)</f>
        <v>2827778</v>
      </c>
      <c r="L738" s="21">
        <f t="shared" si="99"/>
        <v>0</v>
      </c>
    </row>
    <row r="739" spans="1:12" ht="16.8" x14ac:dyDescent="0.3">
      <c r="A739" s="3">
        <v>46</v>
      </c>
      <c r="B739" s="2" t="s">
        <v>8038</v>
      </c>
      <c r="C739" s="3" t="s">
        <v>6</v>
      </c>
      <c r="D739" s="64">
        <v>1414000</v>
      </c>
      <c r="E739" s="1">
        <f t="shared" si="96"/>
        <v>1527120</v>
      </c>
      <c r="F739" s="64">
        <v>2827778</v>
      </c>
      <c r="G739" s="1">
        <f t="shared" si="97"/>
        <v>3054000.24</v>
      </c>
      <c r="I739" s="6">
        <f>VLOOKUP(B739,'GIÁ 1.4'!$D:$F,2,0)</f>
        <v>1414000</v>
      </c>
      <c r="J739" s="21">
        <f t="shared" si="98"/>
        <v>0</v>
      </c>
      <c r="K739" s="6">
        <f>VLOOKUP(B739,'GIÁ 1.4'!$D:$F,3,0)</f>
        <v>2827778</v>
      </c>
      <c r="L739" s="21">
        <f t="shared" si="99"/>
        <v>0</v>
      </c>
    </row>
    <row r="740" spans="1:12" ht="16.8" x14ac:dyDescent="0.3">
      <c r="A740" s="3">
        <v>47</v>
      </c>
      <c r="B740" s="31" t="s">
        <v>5343</v>
      </c>
      <c r="C740" s="4" t="s">
        <v>6</v>
      </c>
      <c r="D740" s="65">
        <v>1528000</v>
      </c>
      <c r="E740" s="1">
        <f t="shared" si="96"/>
        <v>1650240</v>
      </c>
      <c r="F740" s="65">
        <v>3055556</v>
      </c>
      <c r="G740" s="1">
        <f t="shared" si="97"/>
        <v>3300000.4800000004</v>
      </c>
      <c r="I740" s="6">
        <f>VLOOKUP(B740,'GIÁ 1.4'!$D:$F,2,0)</f>
        <v>1528000</v>
      </c>
      <c r="J740" s="21">
        <f t="shared" si="98"/>
        <v>0</v>
      </c>
      <c r="K740" s="6">
        <f>VLOOKUP(B740,'GIÁ 1.4'!$D:$F,3,0)</f>
        <v>3055556</v>
      </c>
      <c r="L740" s="21">
        <f t="shared" si="99"/>
        <v>0</v>
      </c>
    </row>
    <row r="741" spans="1:12" ht="16.8" x14ac:dyDescent="0.3">
      <c r="A741" s="3">
        <v>48</v>
      </c>
      <c r="B741" s="2" t="s">
        <v>3940</v>
      </c>
      <c r="C741" s="3" t="s">
        <v>6</v>
      </c>
      <c r="D741" s="64">
        <v>1528000</v>
      </c>
      <c r="E741" s="1">
        <f t="shared" si="96"/>
        <v>1650240</v>
      </c>
      <c r="F741" s="64">
        <v>3055556</v>
      </c>
      <c r="G741" s="1">
        <f t="shared" si="97"/>
        <v>3300000.4800000004</v>
      </c>
      <c r="I741" s="6">
        <f>VLOOKUP(B741,'GIÁ 1.4'!$D:$F,2,0)</f>
        <v>1528000</v>
      </c>
      <c r="J741" s="21">
        <f t="shared" si="98"/>
        <v>0</v>
      </c>
      <c r="K741" s="6">
        <f>VLOOKUP(B741,'GIÁ 1.4'!$D:$F,3,0)</f>
        <v>3055556</v>
      </c>
      <c r="L741" s="21">
        <f t="shared" si="99"/>
        <v>0</v>
      </c>
    </row>
    <row r="742" spans="1:12" ht="16.8" x14ac:dyDescent="0.3">
      <c r="A742" s="3">
        <v>49</v>
      </c>
      <c r="B742" s="2" t="s">
        <v>4292</v>
      </c>
      <c r="C742" s="33" t="s">
        <v>6</v>
      </c>
      <c r="D742" s="66">
        <v>2464000</v>
      </c>
      <c r="E742" s="1">
        <f t="shared" si="96"/>
        <v>2661120</v>
      </c>
      <c r="F742" s="66">
        <v>4927778</v>
      </c>
      <c r="G742" s="1">
        <f t="shared" si="97"/>
        <v>5322000.24</v>
      </c>
      <c r="I742" s="6">
        <f>VLOOKUP(B742,'GIÁ 1.4'!$D:$F,2,0)</f>
        <v>2464000</v>
      </c>
      <c r="J742" s="21">
        <f t="shared" si="98"/>
        <v>0</v>
      </c>
      <c r="K742" s="6">
        <f>VLOOKUP(B742,'GIÁ 1.4'!$D:$F,3,0)</f>
        <v>4927778</v>
      </c>
      <c r="L742" s="21">
        <f t="shared" si="99"/>
        <v>0</v>
      </c>
    </row>
    <row r="743" spans="1:12" ht="16.8" x14ac:dyDescent="0.3">
      <c r="A743" s="3">
        <v>50</v>
      </c>
      <c r="B743" s="2" t="s">
        <v>9762</v>
      </c>
      <c r="C743" s="3" t="s">
        <v>6</v>
      </c>
      <c r="D743" s="64">
        <v>2980000</v>
      </c>
      <c r="E743" s="1">
        <f t="shared" si="96"/>
        <v>3218400</v>
      </c>
      <c r="F743" s="64">
        <v>5960185</v>
      </c>
      <c r="G743" s="1">
        <f t="shared" si="97"/>
        <v>6436999.8000000007</v>
      </c>
      <c r="I743" s="6">
        <f>VLOOKUP(B743,'GIÁ 1.4'!$D:$F,2,0)</f>
        <v>2980000</v>
      </c>
      <c r="J743" s="21">
        <f t="shared" si="98"/>
        <v>0</v>
      </c>
      <c r="K743" s="6">
        <f>VLOOKUP(B743,'GIÁ 1.4'!$D:$F,3,0)</f>
        <v>5960185</v>
      </c>
      <c r="L743" s="21">
        <f t="shared" si="99"/>
        <v>0</v>
      </c>
    </row>
    <row r="744" spans="1:12" ht="16.8" x14ac:dyDescent="0.3">
      <c r="A744" s="3">
        <v>51</v>
      </c>
      <c r="B744" s="2" t="s">
        <v>4979</v>
      </c>
      <c r="C744" s="33" t="s">
        <v>6</v>
      </c>
      <c r="D744" s="66">
        <v>2980000</v>
      </c>
      <c r="E744" s="1">
        <f t="shared" si="96"/>
        <v>3218400</v>
      </c>
      <c r="F744" s="66">
        <v>5960185</v>
      </c>
      <c r="G744" s="1">
        <f t="shared" si="97"/>
        <v>6436999.8000000007</v>
      </c>
      <c r="I744" s="6">
        <f>VLOOKUP(B744,'GIÁ 1.4'!$D:$F,2,0)</f>
        <v>2980000</v>
      </c>
      <c r="J744" s="21">
        <f t="shared" si="98"/>
        <v>0</v>
      </c>
      <c r="K744" s="6">
        <f>VLOOKUP(B744,'GIÁ 1.4'!$D:$F,3,0)</f>
        <v>5960185</v>
      </c>
      <c r="L744" s="21">
        <f t="shared" si="99"/>
        <v>0</v>
      </c>
    </row>
    <row r="745" spans="1:12" ht="16.8" x14ac:dyDescent="0.3">
      <c r="A745" s="3">
        <v>52</v>
      </c>
      <c r="B745" s="2" t="s">
        <v>5301</v>
      </c>
      <c r="C745" s="33" t="s">
        <v>6</v>
      </c>
      <c r="D745" s="66">
        <v>1090000</v>
      </c>
      <c r="E745" s="1">
        <f t="shared" si="96"/>
        <v>1177200</v>
      </c>
      <c r="F745" s="66">
        <v>2179630</v>
      </c>
      <c r="G745" s="1">
        <f t="shared" si="97"/>
        <v>2354000.4000000004</v>
      </c>
      <c r="I745" s="6">
        <f>VLOOKUP(B745,'GIÁ 1.4'!$D:$F,2,0)</f>
        <v>1090000</v>
      </c>
      <c r="J745" s="21">
        <f t="shared" si="98"/>
        <v>0</v>
      </c>
      <c r="K745" s="6">
        <f>VLOOKUP(B745,'GIÁ 1.4'!$D:$F,3,0)</f>
        <v>2179630</v>
      </c>
      <c r="L745" s="21">
        <f t="shared" si="99"/>
        <v>0</v>
      </c>
    </row>
    <row r="746" spans="1:12" ht="16.8" x14ac:dyDescent="0.3">
      <c r="A746" s="3">
        <v>53</v>
      </c>
      <c r="B746" s="2" t="s">
        <v>4893</v>
      </c>
      <c r="C746" s="33" t="s">
        <v>6</v>
      </c>
      <c r="D746" s="66">
        <v>1390000</v>
      </c>
      <c r="E746" s="1">
        <f t="shared" si="96"/>
        <v>1501200</v>
      </c>
      <c r="F746" s="66">
        <v>2779630</v>
      </c>
      <c r="G746" s="1">
        <f t="shared" si="97"/>
        <v>3002000.4000000004</v>
      </c>
      <c r="I746" s="6">
        <f>VLOOKUP(B746,'GIÁ 1.4'!$D:$F,2,0)</f>
        <v>1390000</v>
      </c>
      <c r="J746" s="21">
        <f t="shared" si="98"/>
        <v>0</v>
      </c>
      <c r="K746" s="6">
        <f>VLOOKUP(B746,'GIÁ 1.4'!$D:$F,3,0)</f>
        <v>2779630</v>
      </c>
      <c r="L746" s="21">
        <f t="shared" si="99"/>
        <v>0</v>
      </c>
    </row>
    <row r="747" spans="1:12" ht="16.8" x14ac:dyDescent="0.3">
      <c r="A747" s="3">
        <v>54</v>
      </c>
      <c r="B747" s="31" t="s">
        <v>11772</v>
      </c>
      <c r="C747" s="4" t="s">
        <v>6</v>
      </c>
      <c r="D747" s="65">
        <v>1316000</v>
      </c>
      <c r="E747" s="1">
        <f t="shared" si="96"/>
        <v>1421280</v>
      </c>
      <c r="F747" s="65">
        <v>2200000</v>
      </c>
      <c r="G747" s="1">
        <f t="shared" si="97"/>
        <v>2376000</v>
      </c>
      <c r="I747" s="6">
        <f>VLOOKUP(B747,'GIÁ 1.4'!$D:$F,2,0)</f>
        <v>1316000</v>
      </c>
      <c r="J747" s="21">
        <f t="shared" si="98"/>
        <v>0</v>
      </c>
      <c r="K747" s="6">
        <f>VLOOKUP(B747,'GIÁ 1.4'!$D:$F,3,0)</f>
        <v>2200000</v>
      </c>
      <c r="L747" s="21">
        <f t="shared" si="99"/>
        <v>0</v>
      </c>
    </row>
    <row r="748" spans="1:12" ht="16.8" x14ac:dyDescent="0.3">
      <c r="A748" s="3">
        <v>55</v>
      </c>
      <c r="B748" s="43" t="s">
        <v>10272</v>
      </c>
      <c r="C748" s="3" t="s">
        <v>6</v>
      </c>
      <c r="D748" s="64">
        <v>825000</v>
      </c>
      <c r="E748" s="1">
        <f t="shared" si="96"/>
        <v>891000.00000000012</v>
      </c>
      <c r="F748" s="64">
        <v>1650000</v>
      </c>
      <c r="G748" s="1">
        <f t="shared" si="97"/>
        <v>1782000.0000000002</v>
      </c>
      <c r="I748" s="6">
        <f>VLOOKUP(B748,'GIÁ 1.4'!$D:$F,2,0)</f>
        <v>825000</v>
      </c>
      <c r="J748" s="21">
        <f t="shared" si="98"/>
        <v>0</v>
      </c>
      <c r="K748" s="6">
        <f>VLOOKUP(B748,'GIÁ 1.4'!$D:$F,3,0)</f>
        <v>1650000</v>
      </c>
      <c r="L748" s="21">
        <f t="shared" si="99"/>
        <v>0</v>
      </c>
    </row>
    <row r="749" spans="1:12" ht="16.8" x14ac:dyDescent="0.3">
      <c r="A749" s="3">
        <v>56</v>
      </c>
      <c r="B749" s="2" t="s">
        <v>9238</v>
      </c>
      <c r="C749" s="3" t="s">
        <v>6</v>
      </c>
      <c r="D749" s="64">
        <v>831500</v>
      </c>
      <c r="E749" s="1">
        <f t="shared" si="96"/>
        <v>898020.00000000012</v>
      </c>
      <c r="F749" s="64">
        <v>1388889</v>
      </c>
      <c r="G749" s="1">
        <f t="shared" si="97"/>
        <v>1500000.12</v>
      </c>
      <c r="I749" s="6">
        <f>VLOOKUP(B749,'GIÁ 1.4'!$D:$F,2,0)</f>
        <v>831500</v>
      </c>
      <c r="J749" s="21">
        <f t="shared" si="98"/>
        <v>0</v>
      </c>
      <c r="K749" s="6">
        <f>VLOOKUP(B749,'GIÁ 1.4'!$D:$F,3,0)</f>
        <v>1388889</v>
      </c>
      <c r="L749" s="21">
        <f t="shared" si="99"/>
        <v>0</v>
      </c>
    </row>
    <row r="750" spans="1:12" ht="16.8" x14ac:dyDescent="0.3">
      <c r="A750" s="3">
        <v>57</v>
      </c>
      <c r="B750" s="2" t="s">
        <v>9240</v>
      </c>
      <c r="C750" s="3" t="s">
        <v>6</v>
      </c>
      <c r="D750" s="64">
        <v>831500</v>
      </c>
      <c r="E750" s="1">
        <f t="shared" si="96"/>
        <v>898020.00000000012</v>
      </c>
      <c r="F750" s="64">
        <v>1388889</v>
      </c>
      <c r="G750" s="1">
        <f t="shared" si="97"/>
        <v>1500000.12</v>
      </c>
      <c r="I750" s="6">
        <f>VLOOKUP(B750,'GIÁ 1.4'!$D:$F,2,0)</f>
        <v>831500</v>
      </c>
      <c r="J750" s="21">
        <f t="shared" si="98"/>
        <v>0</v>
      </c>
      <c r="K750" s="6">
        <f>VLOOKUP(B750,'GIÁ 1.4'!$D:$F,3,0)</f>
        <v>1388889</v>
      </c>
      <c r="L750" s="21">
        <f t="shared" si="99"/>
        <v>0</v>
      </c>
    </row>
    <row r="751" spans="1:12" ht="16.8" x14ac:dyDescent="0.3">
      <c r="A751" s="3">
        <v>58</v>
      </c>
      <c r="B751" s="2" t="s">
        <v>4438</v>
      </c>
      <c r="C751" s="3" t="s">
        <v>6</v>
      </c>
      <c r="D751" s="64">
        <v>2383400</v>
      </c>
      <c r="E751" s="1">
        <f t="shared" si="96"/>
        <v>2574072</v>
      </c>
      <c r="F751" s="64">
        <v>3981481</v>
      </c>
      <c r="G751" s="1">
        <f t="shared" si="97"/>
        <v>4299999.4800000004</v>
      </c>
      <c r="I751" s="6">
        <f>VLOOKUP(B751,'GIÁ 1.4'!$D:$F,2,0)</f>
        <v>2383400</v>
      </c>
      <c r="J751" s="21">
        <f t="shared" si="98"/>
        <v>0</v>
      </c>
      <c r="K751" s="6">
        <f>VLOOKUP(B751,'GIÁ 1.4'!$D:$F,3,0)</f>
        <v>3981481</v>
      </c>
      <c r="L751" s="21">
        <f t="shared" si="99"/>
        <v>0</v>
      </c>
    </row>
    <row r="752" spans="1:12" ht="16.8" x14ac:dyDescent="0.3">
      <c r="A752" s="3">
        <v>59</v>
      </c>
      <c r="B752" s="43" t="s">
        <v>13405</v>
      </c>
      <c r="C752" s="3" t="s">
        <v>6</v>
      </c>
      <c r="D752" s="64">
        <v>2383333</v>
      </c>
      <c r="E752" s="1">
        <f t="shared" si="96"/>
        <v>2573999.64</v>
      </c>
      <c r="F752" s="64">
        <v>3981481.4814814813</v>
      </c>
      <c r="G752" s="1">
        <f t="shared" si="97"/>
        <v>4300000</v>
      </c>
      <c r="I752" s="6">
        <f>VLOOKUP(B752,'GIÁ 1.4'!$D:$F,2,0)</f>
        <v>0</v>
      </c>
      <c r="J752" s="21">
        <f t="shared" si="98"/>
        <v>2383333</v>
      </c>
      <c r="K752" s="6">
        <f>VLOOKUP(B752,'GIÁ 1.4'!$D:$F,3,0)</f>
        <v>0</v>
      </c>
      <c r="L752" s="21">
        <f t="shared" si="99"/>
        <v>3981481.4814814813</v>
      </c>
    </row>
    <row r="753" spans="1:12" ht="16.8" x14ac:dyDescent="0.3">
      <c r="A753" s="3">
        <v>60</v>
      </c>
      <c r="B753" s="31" t="s">
        <v>10218</v>
      </c>
      <c r="C753" s="4" t="s">
        <v>6</v>
      </c>
      <c r="D753" s="65">
        <v>1376000</v>
      </c>
      <c r="E753" s="1">
        <f t="shared" si="96"/>
        <v>1486080</v>
      </c>
      <c r="F753" s="65">
        <v>2300000</v>
      </c>
      <c r="G753" s="1">
        <f t="shared" si="97"/>
        <v>2484000</v>
      </c>
      <c r="I753" s="6">
        <f>VLOOKUP(B753,'GIÁ 1.4'!$D:$F,2,0)</f>
        <v>1376000</v>
      </c>
      <c r="J753" s="21">
        <f t="shared" si="98"/>
        <v>0</v>
      </c>
      <c r="K753" s="6">
        <f>VLOOKUP(B753,'GIÁ 1.4'!$D:$F,3,0)</f>
        <v>2300000</v>
      </c>
      <c r="L753" s="21">
        <f t="shared" si="99"/>
        <v>0</v>
      </c>
    </row>
    <row r="754" spans="1:12" ht="16.8" x14ac:dyDescent="0.3">
      <c r="A754" s="3">
        <v>61</v>
      </c>
      <c r="B754" s="31" t="s">
        <v>12233</v>
      </c>
      <c r="C754" s="4" t="s">
        <v>6</v>
      </c>
      <c r="D754" s="65">
        <v>1293000</v>
      </c>
      <c r="E754" s="1">
        <f t="shared" si="96"/>
        <v>1396440</v>
      </c>
      <c r="F754" s="65">
        <v>2160185</v>
      </c>
      <c r="G754" s="1">
        <f t="shared" si="97"/>
        <v>2332999.8000000003</v>
      </c>
      <c r="I754" s="6">
        <f>VLOOKUP(B754,'GIÁ 1.4'!$D:$F,2,0)</f>
        <v>1293000</v>
      </c>
      <c r="J754" s="21">
        <f t="shared" si="98"/>
        <v>0</v>
      </c>
      <c r="K754" s="6">
        <f>VLOOKUP(B754,'GIÁ 1.4'!$D:$F,3,0)</f>
        <v>2160185</v>
      </c>
      <c r="L754" s="21">
        <f t="shared" si="99"/>
        <v>0</v>
      </c>
    </row>
    <row r="755" spans="1:12" ht="16.8" x14ac:dyDescent="0.3">
      <c r="A755" s="3"/>
      <c r="B755" s="36" t="s">
        <v>15609</v>
      </c>
      <c r="C755" s="3"/>
      <c r="D755" s="64"/>
      <c r="E755" s="1">
        <f t="shared" ref="E755:E786" si="100">D755*1.08</f>
        <v>0</v>
      </c>
      <c r="F755" s="64"/>
      <c r="G755" s="1">
        <f t="shared" ref="G755:G774" si="101">F755*1.08</f>
        <v>0</v>
      </c>
      <c r="J755" s="21"/>
      <c r="L755" s="21"/>
    </row>
    <row r="756" spans="1:12" ht="16.8" x14ac:dyDescent="0.3">
      <c r="A756" s="3">
        <v>1</v>
      </c>
      <c r="B756" s="43" t="s">
        <v>11824</v>
      </c>
      <c r="C756" s="3" t="s">
        <v>6</v>
      </c>
      <c r="D756" s="64">
        <v>444500</v>
      </c>
      <c r="E756" s="1">
        <f t="shared" si="100"/>
        <v>480060.00000000006</v>
      </c>
      <c r="F756" s="64">
        <v>888889</v>
      </c>
      <c r="G756" s="1">
        <f t="shared" si="101"/>
        <v>960000.12000000011</v>
      </c>
      <c r="I756" s="6">
        <f>VLOOKUP(B756,'GIÁ 1.4'!$D:$F,2,0)</f>
        <v>444500</v>
      </c>
      <c r="J756" s="21">
        <f t="shared" ref="J756:J763" si="102">D756-I756</f>
        <v>0</v>
      </c>
      <c r="K756" s="6">
        <f>VLOOKUP(B756,'GIÁ 1.4'!$D:$F,3,0)</f>
        <v>888889</v>
      </c>
      <c r="L756" s="21">
        <f t="shared" ref="L756:L763" si="103">F756-K756</f>
        <v>0</v>
      </c>
    </row>
    <row r="757" spans="1:12" ht="16.8" x14ac:dyDescent="0.3">
      <c r="A757" s="3">
        <v>2</v>
      </c>
      <c r="B757" s="43" t="s">
        <v>15551</v>
      </c>
      <c r="C757" s="3" t="s">
        <v>6</v>
      </c>
      <c r="D757" s="64">
        <v>453800</v>
      </c>
      <c r="E757" s="1">
        <f t="shared" si="100"/>
        <v>490104.00000000006</v>
      </c>
      <c r="F757" s="64">
        <v>907407</v>
      </c>
      <c r="G757" s="1">
        <f t="shared" si="101"/>
        <v>979999.56</v>
      </c>
      <c r="I757" s="6">
        <f>VLOOKUP(B757,'GIÁ 1.4'!$D:$F,2,0)</f>
        <v>453800</v>
      </c>
      <c r="J757" s="21">
        <f t="shared" si="102"/>
        <v>0</v>
      </c>
      <c r="K757" s="6">
        <f>VLOOKUP(B757,'GIÁ 1.4'!$D:$F,3,0)</f>
        <v>907407</v>
      </c>
      <c r="L757" s="21">
        <f t="shared" si="103"/>
        <v>0</v>
      </c>
    </row>
    <row r="758" spans="1:12" ht="16.8" x14ac:dyDescent="0.3">
      <c r="A758" s="3">
        <v>3</v>
      </c>
      <c r="B758" s="43" t="s">
        <v>2421</v>
      </c>
      <c r="C758" s="3" t="s">
        <v>6</v>
      </c>
      <c r="D758" s="64">
        <v>356500</v>
      </c>
      <c r="E758" s="1">
        <f t="shared" si="100"/>
        <v>385020</v>
      </c>
      <c r="F758" s="64">
        <v>712963</v>
      </c>
      <c r="G758" s="1">
        <f t="shared" si="101"/>
        <v>770000.04</v>
      </c>
      <c r="I758" s="6">
        <f>VLOOKUP(B758,'GIÁ 1.4'!$D:$F,2,0)</f>
        <v>356500</v>
      </c>
      <c r="J758" s="21">
        <f t="shared" si="102"/>
        <v>0</v>
      </c>
      <c r="K758" s="6">
        <f>VLOOKUP(B758,'GIÁ 1.4'!$D:$F,3,0)</f>
        <v>712963</v>
      </c>
      <c r="L758" s="21">
        <f t="shared" si="103"/>
        <v>0</v>
      </c>
    </row>
    <row r="759" spans="1:12" ht="16.8" x14ac:dyDescent="0.3">
      <c r="A759" s="3">
        <v>4</v>
      </c>
      <c r="B759" s="43" t="s">
        <v>2593</v>
      </c>
      <c r="C759" s="3" t="s">
        <v>6</v>
      </c>
      <c r="D759" s="64">
        <v>143000</v>
      </c>
      <c r="E759" s="1">
        <f t="shared" si="100"/>
        <v>154440</v>
      </c>
      <c r="F759" s="64">
        <v>286111</v>
      </c>
      <c r="G759" s="1">
        <f t="shared" si="101"/>
        <v>308999.88</v>
      </c>
      <c r="I759" s="6">
        <f>VLOOKUP(B759,'GIÁ 1.4'!$D:$F,2,0)</f>
        <v>143000</v>
      </c>
      <c r="J759" s="21">
        <f t="shared" si="102"/>
        <v>0</v>
      </c>
      <c r="K759" s="6">
        <f>VLOOKUP(B759,'GIÁ 1.4'!$D:$F,3,0)</f>
        <v>286111</v>
      </c>
      <c r="L759" s="21">
        <f t="shared" si="103"/>
        <v>0</v>
      </c>
    </row>
    <row r="760" spans="1:12" ht="16.8" x14ac:dyDescent="0.3">
      <c r="A760" s="3">
        <v>5</v>
      </c>
      <c r="B760" s="43" t="s">
        <v>2341</v>
      </c>
      <c r="C760" s="3" t="s">
        <v>6</v>
      </c>
      <c r="D760" s="64">
        <v>263900</v>
      </c>
      <c r="E760" s="1">
        <f t="shared" si="100"/>
        <v>285012</v>
      </c>
      <c r="F760" s="64">
        <v>527778</v>
      </c>
      <c r="G760" s="1">
        <f t="shared" si="101"/>
        <v>570000.24</v>
      </c>
      <c r="I760" s="6">
        <f>VLOOKUP(B760,'GIÁ 1.4'!$D:$F,2,0)</f>
        <v>263900</v>
      </c>
      <c r="J760" s="21">
        <f t="shared" si="102"/>
        <v>0</v>
      </c>
      <c r="K760" s="6">
        <f>VLOOKUP(B760,'GIÁ 1.4'!$D:$F,3,0)</f>
        <v>527778</v>
      </c>
      <c r="L760" s="21">
        <f t="shared" si="103"/>
        <v>0</v>
      </c>
    </row>
    <row r="761" spans="1:12" ht="16.8" x14ac:dyDescent="0.3">
      <c r="A761" s="3">
        <v>6</v>
      </c>
      <c r="B761" s="43" t="s">
        <v>2595</v>
      </c>
      <c r="C761" s="3" t="s">
        <v>6</v>
      </c>
      <c r="D761" s="64">
        <v>333400</v>
      </c>
      <c r="E761" s="1">
        <f t="shared" si="100"/>
        <v>360072</v>
      </c>
      <c r="F761" s="64">
        <v>666667</v>
      </c>
      <c r="G761" s="1">
        <f t="shared" si="101"/>
        <v>720000.3600000001</v>
      </c>
      <c r="I761" s="6">
        <f>VLOOKUP(B761,'GIÁ 1.4'!$D:$F,2,0)</f>
        <v>333400</v>
      </c>
      <c r="J761" s="21">
        <f t="shared" si="102"/>
        <v>0</v>
      </c>
      <c r="K761" s="6">
        <f>VLOOKUP(B761,'GIÁ 1.4'!$D:$F,3,0)</f>
        <v>666667</v>
      </c>
      <c r="L761" s="21">
        <f t="shared" si="103"/>
        <v>0</v>
      </c>
    </row>
    <row r="762" spans="1:12" ht="16.8" x14ac:dyDescent="0.3">
      <c r="A762" s="3">
        <v>7</v>
      </c>
      <c r="B762" s="43" t="s">
        <v>2423</v>
      </c>
      <c r="C762" s="3" t="s">
        <v>6</v>
      </c>
      <c r="D762" s="64">
        <v>370400</v>
      </c>
      <c r="E762" s="1">
        <f t="shared" si="100"/>
        <v>400032</v>
      </c>
      <c r="F762" s="64">
        <v>740741</v>
      </c>
      <c r="G762" s="1">
        <f t="shared" si="101"/>
        <v>800000.28</v>
      </c>
      <c r="I762" s="6">
        <f>VLOOKUP(B762,'GIÁ 1.4'!$D:$F,2,0)</f>
        <v>370400</v>
      </c>
      <c r="J762" s="21">
        <f t="shared" si="102"/>
        <v>0</v>
      </c>
      <c r="K762" s="6">
        <f>VLOOKUP(B762,'GIÁ 1.4'!$D:$F,3,0)</f>
        <v>740741</v>
      </c>
      <c r="L762" s="21">
        <f t="shared" si="103"/>
        <v>0</v>
      </c>
    </row>
    <row r="763" spans="1:12" ht="16.8" x14ac:dyDescent="0.3">
      <c r="A763" s="3">
        <v>8</v>
      </c>
      <c r="B763" s="43" t="s">
        <v>9186</v>
      </c>
      <c r="C763" s="3" t="s">
        <v>6</v>
      </c>
      <c r="D763" s="64">
        <v>416000</v>
      </c>
      <c r="E763" s="1">
        <f t="shared" si="100"/>
        <v>449280.00000000006</v>
      </c>
      <c r="F763" s="64">
        <v>832407</v>
      </c>
      <c r="G763" s="1">
        <f t="shared" si="101"/>
        <v>898999.56</v>
      </c>
      <c r="I763" s="6">
        <f>VLOOKUP(B763,'GIÁ 1.4'!$D:$F,2,0)</f>
        <v>416000</v>
      </c>
      <c r="J763" s="21">
        <f t="shared" si="102"/>
        <v>0</v>
      </c>
      <c r="K763" s="6">
        <f>VLOOKUP(B763,'GIÁ 1.4'!$D:$F,3,0)</f>
        <v>832407</v>
      </c>
      <c r="L763" s="21">
        <f t="shared" si="103"/>
        <v>0</v>
      </c>
    </row>
    <row r="764" spans="1:12" ht="16.8" x14ac:dyDescent="0.3">
      <c r="A764" s="3"/>
      <c r="B764" s="36" t="s">
        <v>15610</v>
      </c>
      <c r="C764" s="3"/>
      <c r="D764" s="64"/>
      <c r="E764" s="1">
        <f t="shared" si="100"/>
        <v>0</v>
      </c>
      <c r="F764" s="64">
        <v>0</v>
      </c>
      <c r="G764" s="1">
        <f t="shared" si="101"/>
        <v>0</v>
      </c>
      <c r="J764" s="21"/>
      <c r="L764" s="21"/>
    </row>
    <row r="765" spans="1:12" ht="16.8" x14ac:dyDescent="0.3">
      <c r="A765" s="3">
        <v>1</v>
      </c>
      <c r="B765" s="30" t="s">
        <v>13161</v>
      </c>
      <c r="C765" s="3" t="s">
        <v>6</v>
      </c>
      <c r="D765" s="64">
        <v>20000</v>
      </c>
      <c r="E765" s="1">
        <f t="shared" si="100"/>
        <v>21600</v>
      </c>
      <c r="F765" s="64">
        <v>40000</v>
      </c>
      <c r="G765" s="1">
        <f t="shared" si="101"/>
        <v>43200</v>
      </c>
      <c r="I765" s="6">
        <f>VLOOKUP(B765,'GIÁ 1.4'!$D:$F,2,0)</f>
        <v>20000</v>
      </c>
      <c r="J765" s="21">
        <f t="shared" ref="J765:J795" si="104">D765-I765</f>
        <v>0</v>
      </c>
      <c r="K765" s="6">
        <f>VLOOKUP(B765,'GIÁ 1.4'!$D:$F,3,0)</f>
        <v>40000</v>
      </c>
      <c r="L765" s="21">
        <f t="shared" ref="L765:L795" si="105">F765-K765</f>
        <v>0</v>
      </c>
    </row>
    <row r="766" spans="1:12" ht="16.8" x14ac:dyDescent="0.3">
      <c r="A766" s="3">
        <v>2</v>
      </c>
      <c r="B766" s="30" t="s">
        <v>14526</v>
      </c>
      <c r="C766" s="3" t="s">
        <v>6</v>
      </c>
      <c r="D766" s="64">
        <v>38000</v>
      </c>
      <c r="E766" s="1">
        <f t="shared" si="100"/>
        <v>41040</v>
      </c>
      <c r="F766" s="64">
        <v>76000</v>
      </c>
      <c r="G766" s="1">
        <f t="shared" si="101"/>
        <v>82080</v>
      </c>
      <c r="I766" s="6">
        <f>VLOOKUP(B766,'GIÁ 1.4'!$D:$F,2,0)</f>
        <v>38000</v>
      </c>
      <c r="J766" s="21">
        <f t="shared" si="104"/>
        <v>0</v>
      </c>
      <c r="K766" s="6">
        <f>VLOOKUP(B766,'GIÁ 1.4'!$D:$F,3,0)</f>
        <v>76000</v>
      </c>
      <c r="L766" s="21">
        <f t="shared" si="105"/>
        <v>0</v>
      </c>
    </row>
    <row r="767" spans="1:12" ht="16.8" x14ac:dyDescent="0.3">
      <c r="A767" s="3">
        <v>3</v>
      </c>
      <c r="B767" s="30" t="s">
        <v>10062</v>
      </c>
      <c r="C767" s="3" t="s">
        <v>15601</v>
      </c>
      <c r="D767" s="64">
        <v>44000</v>
      </c>
      <c r="E767" s="1">
        <f t="shared" si="100"/>
        <v>47520</v>
      </c>
      <c r="F767" s="64">
        <v>87963</v>
      </c>
      <c r="G767" s="1">
        <f t="shared" si="101"/>
        <v>95000.040000000008</v>
      </c>
      <c r="I767" s="6">
        <f>VLOOKUP(B767,'GIÁ 1.4'!$D:$F,2,0)</f>
        <v>44000</v>
      </c>
      <c r="J767" s="21">
        <f t="shared" si="104"/>
        <v>0</v>
      </c>
      <c r="K767" s="6">
        <f>VLOOKUP(B767,'GIÁ 1.4'!$D:$F,3,0)</f>
        <v>87963</v>
      </c>
      <c r="L767" s="21">
        <f t="shared" si="105"/>
        <v>0</v>
      </c>
    </row>
    <row r="768" spans="1:12" ht="16.8" x14ac:dyDescent="0.3">
      <c r="A768" s="3">
        <v>4</v>
      </c>
      <c r="B768" s="30" t="s">
        <v>12414</v>
      </c>
      <c r="C768" s="3" t="s">
        <v>15611</v>
      </c>
      <c r="D768" s="64">
        <v>220000</v>
      </c>
      <c r="E768" s="1">
        <f t="shared" si="100"/>
        <v>237600.00000000003</v>
      </c>
      <c r="F768" s="64">
        <v>439815</v>
      </c>
      <c r="G768" s="1">
        <f t="shared" si="101"/>
        <v>475000.2</v>
      </c>
      <c r="I768" s="6">
        <f>VLOOKUP(B768,'GIÁ 1.4'!$D:$F,2,0)</f>
        <v>220000</v>
      </c>
      <c r="J768" s="21">
        <f t="shared" si="104"/>
        <v>0</v>
      </c>
      <c r="K768" s="6">
        <f>VLOOKUP(B768,'GIÁ 1.4'!$D:$F,3,0)</f>
        <v>439815</v>
      </c>
      <c r="L768" s="21">
        <f t="shared" si="105"/>
        <v>0</v>
      </c>
    </row>
    <row r="769" spans="1:12" ht="16.8" x14ac:dyDescent="0.3">
      <c r="A769" s="3">
        <v>5</v>
      </c>
      <c r="B769" s="30" t="s">
        <v>11940</v>
      </c>
      <c r="C769" s="3" t="s">
        <v>15601</v>
      </c>
      <c r="D769" s="64">
        <v>33000</v>
      </c>
      <c r="E769" s="1">
        <f t="shared" si="100"/>
        <v>35640</v>
      </c>
      <c r="F769" s="64">
        <v>66667</v>
      </c>
      <c r="G769" s="1">
        <f t="shared" si="101"/>
        <v>72000.36</v>
      </c>
      <c r="I769" s="6">
        <f>VLOOKUP(B769,'GIÁ 1.4'!$D:$F,2,0)</f>
        <v>33000</v>
      </c>
      <c r="J769" s="21">
        <f t="shared" si="104"/>
        <v>0</v>
      </c>
      <c r="K769" s="6">
        <f>VLOOKUP(B769,'GIÁ 1.4'!$D:$F,3,0)</f>
        <v>66667</v>
      </c>
      <c r="L769" s="21">
        <f t="shared" si="105"/>
        <v>0</v>
      </c>
    </row>
    <row r="770" spans="1:12" ht="16.8" x14ac:dyDescent="0.3">
      <c r="A770" s="3">
        <v>6</v>
      </c>
      <c r="B770" s="30" t="s">
        <v>13576</v>
      </c>
      <c r="C770" s="3" t="s">
        <v>15611</v>
      </c>
      <c r="D770" s="64">
        <v>31500</v>
      </c>
      <c r="E770" s="1">
        <f t="shared" si="100"/>
        <v>34020</v>
      </c>
      <c r="F770" s="64">
        <v>62963</v>
      </c>
      <c r="G770" s="1">
        <f t="shared" si="101"/>
        <v>68000.040000000008</v>
      </c>
      <c r="I770" s="6">
        <f>VLOOKUP(B770,'GIÁ 1.4'!$D:$F,2,0)</f>
        <v>31500</v>
      </c>
      <c r="J770" s="21">
        <f t="shared" si="104"/>
        <v>0</v>
      </c>
      <c r="K770" s="6">
        <f>VLOOKUP(B770,'GIÁ 1.4'!$D:$F,3,0)</f>
        <v>62963</v>
      </c>
      <c r="L770" s="21">
        <f t="shared" si="105"/>
        <v>0</v>
      </c>
    </row>
    <row r="771" spans="1:12" ht="16.8" x14ac:dyDescent="0.3">
      <c r="A771" s="3">
        <v>7</v>
      </c>
      <c r="B771" s="30" t="s">
        <v>13693</v>
      </c>
      <c r="C771" s="3" t="s">
        <v>15611</v>
      </c>
      <c r="D771" s="64">
        <v>18700</v>
      </c>
      <c r="E771" s="1">
        <f t="shared" si="100"/>
        <v>20196</v>
      </c>
      <c r="F771" s="64">
        <v>37037</v>
      </c>
      <c r="G771" s="1">
        <f t="shared" si="101"/>
        <v>39999.96</v>
      </c>
      <c r="I771" s="6">
        <f>VLOOKUP(B771,'GIÁ 1.4'!$D:$F,2,0)</f>
        <v>18700</v>
      </c>
      <c r="J771" s="21">
        <f t="shared" si="104"/>
        <v>0</v>
      </c>
      <c r="K771" s="6">
        <f>VLOOKUP(B771,'GIÁ 1.4'!$D:$F,3,0)</f>
        <v>37037</v>
      </c>
      <c r="L771" s="21">
        <f t="shared" si="105"/>
        <v>0</v>
      </c>
    </row>
    <row r="772" spans="1:12" ht="16.8" x14ac:dyDescent="0.3">
      <c r="A772" s="3">
        <v>8</v>
      </c>
      <c r="B772" s="30" t="s">
        <v>15547</v>
      </c>
      <c r="C772" s="3" t="s">
        <v>15601</v>
      </c>
      <c r="D772" s="64">
        <v>36300</v>
      </c>
      <c r="E772" s="1">
        <f t="shared" si="100"/>
        <v>39204</v>
      </c>
      <c r="F772" s="64">
        <v>73148</v>
      </c>
      <c r="G772" s="1">
        <f t="shared" si="101"/>
        <v>78999.840000000011</v>
      </c>
      <c r="I772" s="6">
        <f>VLOOKUP(B772,'GIÁ 1.4'!$D:$F,2,0)</f>
        <v>36300</v>
      </c>
      <c r="J772" s="21">
        <f t="shared" si="104"/>
        <v>0</v>
      </c>
      <c r="K772" s="6">
        <f>VLOOKUP(B772,'GIÁ 1.4'!$D:$F,3,0)</f>
        <v>73148</v>
      </c>
      <c r="L772" s="21">
        <f t="shared" si="105"/>
        <v>0</v>
      </c>
    </row>
    <row r="773" spans="1:12" ht="16.8" x14ac:dyDescent="0.3">
      <c r="A773" s="3">
        <v>9</v>
      </c>
      <c r="B773" s="30" t="s">
        <v>12870</v>
      </c>
      <c r="C773" s="3" t="s">
        <v>15611</v>
      </c>
      <c r="D773" s="64">
        <v>53800</v>
      </c>
      <c r="E773" s="1">
        <f t="shared" si="100"/>
        <v>58104.000000000007</v>
      </c>
      <c r="F773" s="64">
        <v>107407</v>
      </c>
      <c r="G773" s="1">
        <f t="shared" si="101"/>
        <v>115999.56000000001</v>
      </c>
      <c r="I773" s="6">
        <f>VLOOKUP(B773,'GIÁ 1.4'!$D:$F,2,0)</f>
        <v>53800</v>
      </c>
      <c r="J773" s="21">
        <f t="shared" si="104"/>
        <v>0</v>
      </c>
      <c r="K773" s="6">
        <f>VLOOKUP(B773,'GIÁ 1.4'!$D:$F,3,0)</f>
        <v>107407</v>
      </c>
      <c r="L773" s="21">
        <f t="shared" si="105"/>
        <v>0</v>
      </c>
    </row>
    <row r="774" spans="1:12" ht="16.8" x14ac:dyDescent="0.3">
      <c r="A774" s="3">
        <v>10</v>
      </c>
      <c r="B774" s="30" t="s">
        <v>11942</v>
      </c>
      <c r="C774" s="3" t="s">
        <v>15611</v>
      </c>
      <c r="D774" s="64">
        <v>18700</v>
      </c>
      <c r="E774" s="1">
        <f t="shared" si="100"/>
        <v>20196</v>
      </c>
      <c r="F774" s="64">
        <v>37037</v>
      </c>
      <c r="G774" s="1">
        <f t="shared" si="101"/>
        <v>39999.96</v>
      </c>
      <c r="I774" s="6">
        <f>VLOOKUP(B774,'GIÁ 1.4'!$D:$F,2,0)</f>
        <v>18700</v>
      </c>
      <c r="J774" s="21">
        <f t="shared" si="104"/>
        <v>0</v>
      </c>
      <c r="K774" s="6">
        <f>VLOOKUP(B774,'GIÁ 1.4'!$D:$F,3,0)</f>
        <v>37037</v>
      </c>
      <c r="L774" s="21">
        <f t="shared" si="105"/>
        <v>0</v>
      </c>
    </row>
    <row r="775" spans="1:12" ht="16.8" x14ac:dyDescent="0.3">
      <c r="A775" s="3">
        <v>11</v>
      </c>
      <c r="B775" s="30" t="s">
        <v>13574</v>
      </c>
      <c r="C775" s="3" t="s">
        <v>15601</v>
      </c>
      <c r="D775" s="64">
        <v>22000</v>
      </c>
      <c r="E775" s="1">
        <f t="shared" si="100"/>
        <v>23760</v>
      </c>
      <c r="F775" s="64">
        <v>43519</v>
      </c>
      <c r="G775" s="1">
        <f>ROUND(F775*1.08,-3)</f>
        <v>47000</v>
      </c>
      <c r="I775" s="6">
        <f>VLOOKUP(B775,'GIÁ 1.4'!$D:$F,2,0)</f>
        <v>22000</v>
      </c>
      <c r="J775" s="21">
        <f t="shared" si="104"/>
        <v>0</v>
      </c>
      <c r="K775" s="6">
        <f>VLOOKUP(B775,'GIÁ 1.4'!$D:$F,3,0)</f>
        <v>43519</v>
      </c>
      <c r="L775" s="21">
        <f t="shared" si="105"/>
        <v>0</v>
      </c>
    </row>
    <row r="776" spans="1:12" ht="16.8" x14ac:dyDescent="0.3">
      <c r="A776" s="3">
        <v>12</v>
      </c>
      <c r="B776" s="30" t="s">
        <v>15479</v>
      </c>
      <c r="C776" s="3" t="s">
        <v>15611</v>
      </c>
      <c r="D776" s="64">
        <v>29700</v>
      </c>
      <c r="E776" s="1">
        <f t="shared" si="100"/>
        <v>32076.000000000004</v>
      </c>
      <c r="F776" s="64">
        <v>59259</v>
      </c>
      <c r="G776" s="1">
        <f t="shared" ref="G776:G787" si="106">F776*1.08</f>
        <v>63999.72</v>
      </c>
      <c r="I776" s="6">
        <f>VLOOKUP(B776,'GIÁ 1.4'!$D:$F,2,0)</f>
        <v>29700</v>
      </c>
      <c r="J776" s="21">
        <f t="shared" si="104"/>
        <v>0</v>
      </c>
      <c r="K776" s="6">
        <f>VLOOKUP(B776,'GIÁ 1.4'!$D:$F,3,0)</f>
        <v>59259</v>
      </c>
      <c r="L776" s="21">
        <f t="shared" si="105"/>
        <v>0</v>
      </c>
    </row>
    <row r="777" spans="1:12" ht="16.8" x14ac:dyDescent="0.3">
      <c r="A777" s="3">
        <v>13</v>
      </c>
      <c r="B777" s="30" t="s">
        <v>11818</v>
      </c>
      <c r="C777" s="3" t="s">
        <v>15611</v>
      </c>
      <c r="D777" s="64">
        <v>18700</v>
      </c>
      <c r="E777" s="1">
        <f t="shared" si="100"/>
        <v>20196</v>
      </c>
      <c r="F777" s="64">
        <v>37037</v>
      </c>
      <c r="G777" s="1">
        <f t="shared" si="106"/>
        <v>39999.96</v>
      </c>
      <c r="I777" s="6">
        <f>VLOOKUP(B777,'GIÁ 1.4'!$D:$F,2,0)</f>
        <v>18700</v>
      </c>
      <c r="J777" s="21">
        <f t="shared" si="104"/>
        <v>0</v>
      </c>
      <c r="K777" s="6">
        <f>VLOOKUP(B777,'GIÁ 1.4'!$D:$F,3,0)</f>
        <v>37037</v>
      </c>
      <c r="L777" s="21">
        <f t="shared" si="105"/>
        <v>0</v>
      </c>
    </row>
    <row r="778" spans="1:12" ht="16.8" x14ac:dyDescent="0.3">
      <c r="A778" s="3">
        <v>14</v>
      </c>
      <c r="B778" s="43" t="s">
        <v>13037</v>
      </c>
      <c r="C778" s="3" t="s">
        <v>6</v>
      </c>
      <c r="D778" s="64">
        <v>30800</v>
      </c>
      <c r="E778" s="1">
        <f t="shared" si="100"/>
        <v>33264</v>
      </c>
      <c r="F778" s="64">
        <v>62037</v>
      </c>
      <c r="G778" s="1">
        <f t="shared" si="106"/>
        <v>66999.960000000006</v>
      </c>
      <c r="I778" s="6">
        <f>VLOOKUP(B778,'GIÁ 1.4'!$D:$F,2,0)</f>
        <v>30800</v>
      </c>
      <c r="J778" s="21">
        <f t="shared" si="104"/>
        <v>0</v>
      </c>
      <c r="K778" s="6">
        <f>VLOOKUP(B778,'GIÁ 1.4'!$D:$F,3,0)</f>
        <v>62037</v>
      </c>
      <c r="L778" s="21">
        <f t="shared" si="105"/>
        <v>0</v>
      </c>
    </row>
    <row r="779" spans="1:12" ht="16.8" x14ac:dyDescent="0.3">
      <c r="A779" s="3">
        <v>15</v>
      </c>
      <c r="B779" s="43" t="s">
        <v>15333</v>
      </c>
      <c r="C779" s="3" t="s">
        <v>6</v>
      </c>
      <c r="D779" s="64">
        <v>30800</v>
      </c>
      <c r="E779" s="1">
        <f t="shared" si="100"/>
        <v>33264</v>
      </c>
      <c r="F779" s="64">
        <v>62037</v>
      </c>
      <c r="G779" s="1">
        <f t="shared" si="106"/>
        <v>66999.960000000006</v>
      </c>
      <c r="I779" s="6">
        <f>VLOOKUP(B779,'GIÁ 1.4'!$D:$F,2,0)</f>
        <v>30800</v>
      </c>
      <c r="J779" s="21">
        <f t="shared" si="104"/>
        <v>0</v>
      </c>
      <c r="K779" s="6">
        <f>VLOOKUP(B779,'GIÁ 1.4'!$D:$F,3,0)</f>
        <v>62037</v>
      </c>
      <c r="L779" s="21">
        <f t="shared" si="105"/>
        <v>0</v>
      </c>
    </row>
    <row r="780" spans="1:12" ht="16.8" x14ac:dyDescent="0.3">
      <c r="A780" s="3">
        <v>16</v>
      </c>
      <c r="B780" s="43" t="s">
        <v>13699</v>
      </c>
      <c r="C780" s="3" t="s">
        <v>6</v>
      </c>
      <c r="D780" s="64">
        <v>166700</v>
      </c>
      <c r="E780" s="1">
        <f t="shared" si="100"/>
        <v>180036</v>
      </c>
      <c r="F780" s="64">
        <v>333333</v>
      </c>
      <c r="G780" s="1">
        <f t="shared" si="106"/>
        <v>359999.64</v>
      </c>
      <c r="I780" s="6">
        <f>VLOOKUP(B780,'GIÁ 1.4'!$D:$F,2,0)</f>
        <v>166700</v>
      </c>
      <c r="J780" s="21">
        <f t="shared" si="104"/>
        <v>0</v>
      </c>
      <c r="K780" s="6">
        <f>VLOOKUP(B780,'GIÁ 1.4'!$D:$F,3,0)</f>
        <v>333333</v>
      </c>
      <c r="L780" s="21">
        <f t="shared" si="105"/>
        <v>0</v>
      </c>
    </row>
    <row r="781" spans="1:12" ht="16.8" x14ac:dyDescent="0.3">
      <c r="A781" s="3">
        <v>17</v>
      </c>
      <c r="B781" s="43" t="s">
        <v>11820</v>
      </c>
      <c r="C781" s="3" t="s">
        <v>6</v>
      </c>
      <c r="D781" s="64">
        <v>92600</v>
      </c>
      <c r="E781" s="1">
        <f t="shared" si="100"/>
        <v>100008</v>
      </c>
      <c r="F781" s="64">
        <v>185185</v>
      </c>
      <c r="G781" s="1">
        <f t="shared" si="106"/>
        <v>199999.80000000002</v>
      </c>
      <c r="I781" s="6">
        <f>VLOOKUP(B781,'GIÁ 1.4'!$D:$F,2,0)</f>
        <v>92600</v>
      </c>
      <c r="J781" s="21">
        <f t="shared" si="104"/>
        <v>0</v>
      </c>
      <c r="K781" s="6">
        <f>VLOOKUP(B781,'GIÁ 1.4'!$D:$F,3,0)</f>
        <v>185185</v>
      </c>
      <c r="L781" s="21">
        <f t="shared" si="105"/>
        <v>0</v>
      </c>
    </row>
    <row r="782" spans="1:12" ht="16.8" x14ac:dyDescent="0.3">
      <c r="A782" s="3">
        <v>18</v>
      </c>
      <c r="B782" s="43" t="s">
        <v>11822</v>
      </c>
      <c r="C782" s="3" t="s">
        <v>6</v>
      </c>
      <c r="D782" s="64">
        <v>92600</v>
      </c>
      <c r="E782" s="1">
        <f t="shared" si="100"/>
        <v>100008</v>
      </c>
      <c r="F782" s="64">
        <v>185185</v>
      </c>
      <c r="G782" s="1">
        <f t="shared" si="106"/>
        <v>199999.80000000002</v>
      </c>
      <c r="I782" s="6">
        <f>VLOOKUP(B782,'GIÁ 1.4'!$D:$F,2,0)</f>
        <v>92600</v>
      </c>
      <c r="J782" s="21">
        <f t="shared" si="104"/>
        <v>0</v>
      </c>
      <c r="K782" s="6">
        <f>VLOOKUP(B782,'GIÁ 1.4'!$D:$F,3,0)</f>
        <v>185185</v>
      </c>
      <c r="L782" s="21">
        <f t="shared" si="105"/>
        <v>0</v>
      </c>
    </row>
    <row r="783" spans="1:12" ht="16.8" x14ac:dyDescent="0.3">
      <c r="A783" s="3">
        <v>19</v>
      </c>
      <c r="B783" s="43" t="s">
        <v>15166</v>
      </c>
      <c r="C783" s="3" t="s">
        <v>6</v>
      </c>
      <c r="D783" s="64">
        <v>92600</v>
      </c>
      <c r="E783" s="1">
        <f t="shared" si="100"/>
        <v>100008</v>
      </c>
      <c r="F783" s="64">
        <v>185185</v>
      </c>
      <c r="G783" s="1">
        <f t="shared" si="106"/>
        <v>199999.80000000002</v>
      </c>
      <c r="I783" s="6">
        <f>VLOOKUP(B783,'GIÁ 1.4'!$D:$F,2,0)</f>
        <v>92600</v>
      </c>
      <c r="J783" s="21">
        <f t="shared" si="104"/>
        <v>0</v>
      </c>
      <c r="K783" s="6">
        <f>VLOOKUP(B783,'GIÁ 1.4'!$D:$F,3,0)</f>
        <v>185185</v>
      </c>
      <c r="L783" s="21">
        <f t="shared" si="105"/>
        <v>0</v>
      </c>
    </row>
    <row r="784" spans="1:12" ht="16.8" x14ac:dyDescent="0.3">
      <c r="A784" s="3">
        <v>20</v>
      </c>
      <c r="B784" s="43" t="s">
        <v>10807</v>
      </c>
      <c r="C784" s="3" t="s">
        <v>6</v>
      </c>
      <c r="D784" s="64">
        <v>120400</v>
      </c>
      <c r="E784" s="1">
        <f t="shared" si="100"/>
        <v>130032.00000000001</v>
      </c>
      <c r="F784" s="64">
        <v>240741</v>
      </c>
      <c r="G784" s="1">
        <f t="shared" si="106"/>
        <v>260000.28000000003</v>
      </c>
      <c r="I784" s="6">
        <f>VLOOKUP(B784,'GIÁ 1.4'!$D:$F,2,0)</f>
        <v>120400</v>
      </c>
      <c r="J784" s="21">
        <f t="shared" si="104"/>
        <v>0</v>
      </c>
      <c r="K784" s="6">
        <f>VLOOKUP(B784,'GIÁ 1.4'!$D:$F,3,0)</f>
        <v>240741</v>
      </c>
      <c r="L784" s="21">
        <f t="shared" si="105"/>
        <v>0</v>
      </c>
    </row>
    <row r="785" spans="1:12" ht="16.8" x14ac:dyDescent="0.3">
      <c r="A785" s="3">
        <v>21</v>
      </c>
      <c r="B785" s="43" t="s">
        <v>12026</v>
      </c>
      <c r="C785" s="3" t="s">
        <v>6</v>
      </c>
      <c r="D785" s="64">
        <v>33000</v>
      </c>
      <c r="E785" s="1">
        <f t="shared" si="100"/>
        <v>35640</v>
      </c>
      <c r="F785" s="64">
        <v>66667</v>
      </c>
      <c r="G785" s="1">
        <f t="shared" si="106"/>
        <v>72000.36</v>
      </c>
      <c r="I785" s="6">
        <f>VLOOKUP(B785,'GIÁ 1.4'!$D:$F,2,0)</f>
        <v>33000</v>
      </c>
      <c r="J785" s="21">
        <f t="shared" si="104"/>
        <v>0</v>
      </c>
      <c r="K785" s="6">
        <f>VLOOKUP(B785,'GIÁ 1.4'!$D:$F,3,0)</f>
        <v>66667</v>
      </c>
      <c r="L785" s="21">
        <f t="shared" si="105"/>
        <v>0</v>
      </c>
    </row>
    <row r="786" spans="1:12" ht="16.8" x14ac:dyDescent="0.3">
      <c r="A786" s="3">
        <v>22</v>
      </c>
      <c r="B786" s="43" t="s">
        <v>14430</v>
      </c>
      <c r="C786" s="3" t="s">
        <v>6</v>
      </c>
      <c r="D786" s="64">
        <v>33000</v>
      </c>
      <c r="E786" s="1">
        <f t="shared" si="100"/>
        <v>35640</v>
      </c>
      <c r="F786" s="64">
        <v>66667</v>
      </c>
      <c r="G786" s="1">
        <f t="shared" si="106"/>
        <v>72000.36</v>
      </c>
      <c r="I786" s="6">
        <f>VLOOKUP(B786,'GIÁ 1.4'!$D:$F,2,0)</f>
        <v>33000</v>
      </c>
      <c r="J786" s="21">
        <f t="shared" si="104"/>
        <v>0</v>
      </c>
      <c r="K786" s="6">
        <f>VLOOKUP(B786,'GIÁ 1.4'!$D:$F,3,0)</f>
        <v>66667</v>
      </c>
      <c r="L786" s="21">
        <f t="shared" si="105"/>
        <v>0</v>
      </c>
    </row>
    <row r="787" spans="1:12" ht="16.8" x14ac:dyDescent="0.3">
      <c r="A787" s="3">
        <v>23</v>
      </c>
      <c r="B787" s="43" t="s">
        <v>10809</v>
      </c>
      <c r="C787" s="3" t="s">
        <v>6</v>
      </c>
      <c r="D787" s="64">
        <v>130000</v>
      </c>
      <c r="E787" s="1">
        <f t="shared" ref="E787:E818" si="107">D787*1.08</f>
        <v>140400</v>
      </c>
      <c r="F787" s="64">
        <v>260185</v>
      </c>
      <c r="G787" s="1">
        <f t="shared" si="106"/>
        <v>280999.80000000005</v>
      </c>
      <c r="I787" s="6">
        <f>VLOOKUP(B787,'GIÁ 1.4'!$D:$F,2,0)</f>
        <v>130000</v>
      </c>
      <c r="J787" s="21">
        <f t="shared" si="104"/>
        <v>0</v>
      </c>
      <c r="K787" s="6">
        <f>VLOOKUP(B787,'GIÁ 1.4'!$D:$F,3,0)</f>
        <v>260185</v>
      </c>
      <c r="L787" s="21">
        <f t="shared" si="105"/>
        <v>0</v>
      </c>
    </row>
    <row r="788" spans="1:12" ht="16.8" x14ac:dyDescent="0.3">
      <c r="A788" s="3">
        <v>24</v>
      </c>
      <c r="B788" s="43" t="s">
        <v>13992</v>
      </c>
      <c r="C788" s="3" t="s">
        <v>6</v>
      </c>
      <c r="D788" s="64">
        <v>22000</v>
      </c>
      <c r="E788" s="1">
        <f t="shared" si="107"/>
        <v>23760</v>
      </c>
      <c r="F788" s="64">
        <v>43519</v>
      </c>
      <c r="G788" s="1">
        <f>ROUND(F788*1.08,-3)</f>
        <v>47000</v>
      </c>
      <c r="I788" s="6">
        <f>VLOOKUP(B788,'GIÁ 1.4'!$D:$F,2,0)</f>
        <v>22000</v>
      </c>
      <c r="J788" s="21">
        <f t="shared" si="104"/>
        <v>0</v>
      </c>
      <c r="K788" s="6">
        <f>VLOOKUP(B788,'GIÁ 1.4'!$D:$F,3,0)</f>
        <v>43519</v>
      </c>
      <c r="L788" s="21">
        <f t="shared" si="105"/>
        <v>0</v>
      </c>
    </row>
    <row r="789" spans="1:12" ht="16.8" x14ac:dyDescent="0.3">
      <c r="A789" s="3">
        <v>25</v>
      </c>
      <c r="B789" s="43" t="s">
        <v>12207</v>
      </c>
      <c r="C789" s="3" t="s">
        <v>6</v>
      </c>
      <c r="D789" s="64">
        <v>22000</v>
      </c>
      <c r="E789" s="1">
        <f t="shared" si="107"/>
        <v>23760</v>
      </c>
      <c r="F789" s="64">
        <v>43519</v>
      </c>
      <c r="G789" s="1">
        <f>ROUND(F789*1.08,-3)</f>
        <v>47000</v>
      </c>
      <c r="I789" s="6">
        <f>VLOOKUP(B789,'GIÁ 1.4'!$D:$F,2,0)</f>
        <v>22000</v>
      </c>
      <c r="J789" s="21">
        <f t="shared" si="104"/>
        <v>0</v>
      </c>
      <c r="K789" s="6">
        <f>VLOOKUP(B789,'GIÁ 1.4'!$D:$F,3,0)</f>
        <v>43519</v>
      </c>
      <c r="L789" s="21">
        <f t="shared" si="105"/>
        <v>0</v>
      </c>
    </row>
    <row r="790" spans="1:12" ht="16.8" x14ac:dyDescent="0.3">
      <c r="A790" s="3">
        <v>26</v>
      </c>
      <c r="B790" s="43" t="s">
        <v>10913</v>
      </c>
      <c r="C790" s="3" t="s">
        <v>6</v>
      </c>
      <c r="D790" s="64">
        <v>22000</v>
      </c>
      <c r="E790" s="1">
        <f t="shared" si="107"/>
        <v>23760</v>
      </c>
      <c r="F790" s="64">
        <v>43519</v>
      </c>
      <c r="G790" s="1">
        <f t="shared" ref="G790:G791" si="108">ROUND(F790*1.08,-3)</f>
        <v>47000</v>
      </c>
      <c r="I790" s="6">
        <f>VLOOKUP(B790,'GIÁ 1.4'!$D:$F,2,0)</f>
        <v>22000</v>
      </c>
      <c r="J790" s="21">
        <f t="shared" si="104"/>
        <v>0</v>
      </c>
      <c r="K790" s="6">
        <f>VLOOKUP(B790,'GIÁ 1.4'!$D:$F,3,0)</f>
        <v>43519</v>
      </c>
      <c r="L790" s="21">
        <f t="shared" si="105"/>
        <v>0</v>
      </c>
    </row>
    <row r="791" spans="1:12" ht="16.8" x14ac:dyDescent="0.3">
      <c r="A791" s="3">
        <v>27</v>
      </c>
      <c r="B791" s="43" t="s">
        <v>13439</v>
      </c>
      <c r="C791" s="3" t="s">
        <v>6</v>
      </c>
      <c r="D791" s="64">
        <v>33000</v>
      </c>
      <c r="E791" s="1">
        <f t="shared" si="107"/>
        <v>35640</v>
      </c>
      <c r="F791" s="64">
        <v>66667</v>
      </c>
      <c r="G791" s="1">
        <f t="shared" si="108"/>
        <v>72000</v>
      </c>
      <c r="I791" s="6">
        <f>VLOOKUP(B791,'GIÁ 1.4'!$D:$F,2,0)</f>
        <v>33000</v>
      </c>
      <c r="J791" s="21">
        <f t="shared" si="104"/>
        <v>0</v>
      </c>
      <c r="K791" s="6">
        <f>VLOOKUP(B791,'GIÁ 1.4'!$D:$F,3,0)</f>
        <v>66667</v>
      </c>
      <c r="L791" s="21">
        <f t="shared" si="105"/>
        <v>0</v>
      </c>
    </row>
    <row r="792" spans="1:12" ht="16.8" x14ac:dyDescent="0.3">
      <c r="A792" s="3">
        <v>28</v>
      </c>
      <c r="B792" s="43" t="s">
        <v>13309</v>
      </c>
      <c r="C792" s="3" t="s">
        <v>15601</v>
      </c>
      <c r="D792" s="64">
        <v>20000</v>
      </c>
      <c r="E792" s="1">
        <f t="shared" si="107"/>
        <v>21600</v>
      </c>
      <c r="F792" s="64">
        <v>39815</v>
      </c>
      <c r="G792" s="1">
        <f>ROUND(F792*1.08,-3)</f>
        <v>43000</v>
      </c>
      <c r="I792" s="6">
        <f>VLOOKUP(B792,'GIÁ 1.4'!$D:$F,2,0)</f>
        <v>20000</v>
      </c>
      <c r="J792" s="21">
        <f t="shared" si="104"/>
        <v>0</v>
      </c>
      <c r="K792" s="6">
        <f>VLOOKUP(B792,'GIÁ 1.4'!$D:$F,3,0)</f>
        <v>39815</v>
      </c>
      <c r="L792" s="21">
        <f t="shared" si="105"/>
        <v>0</v>
      </c>
    </row>
    <row r="793" spans="1:12" ht="16.8" x14ac:dyDescent="0.3">
      <c r="A793" s="3">
        <v>29</v>
      </c>
      <c r="B793" s="43" t="s">
        <v>12034</v>
      </c>
      <c r="C793" s="3" t="s">
        <v>15601</v>
      </c>
      <c r="D793" s="64">
        <v>28000</v>
      </c>
      <c r="E793" s="1">
        <f t="shared" si="107"/>
        <v>30240.000000000004</v>
      </c>
      <c r="F793" s="64">
        <v>55556</v>
      </c>
      <c r="G793" s="1">
        <f>ROUND(F793*1.08,-3)</f>
        <v>60000</v>
      </c>
      <c r="I793" s="6">
        <f>VLOOKUP(B793,'GIÁ 1.4'!$D:$F,2,0)</f>
        <v>28000</v>
      </c>
      <c r="J793" s="21">
        <f t="shared" si="104"/>
        <v>0</v>
      </c>
      <c r="K793" s="6">
        <f>VLOOKUP(B793,'GIÁ 1.4'!$D:$F,3,0)</f>
        <v>55556</v>
      </c>
      <c r="L793" s="21">
        <f t="shared" si="105"/>
        <v>0</v>
      </c>
    </row>
    <row r="794" spans="1:12" ht="16.8" x14ac:dyDescent="0.3">
      <c r="A794" s="3">
        <v>30</v>
      </c>
      <c r="B794" s="43" t="s">
        <v>11836</v>
      </c>
      <c r="C794" s="3" t="s">
        <v>6</v>
      </c>
      <c r="D794" s="64">
        <v>31500</v>
      </c>
      <c r="E794" s="1">
        <f t="shared" si="107"/>
        <v>34020</v>
      </c>
      <c r="F794" s="64">
        <v>62963</v>
      </c>
      <c r="G794" s="1">
        <f>ROUND(F794*1.08,-3)</f>
        <v>68000</v>
      </c>
      <c r="I794" s="6">
        <f>VLOOKUP(B794,'GIÁ 1.4'!$D:$F,2,0)</f>
        <v>31500</v>
      </c>
      <c r="J794" s="21">
        <f t="shared" si="104"/>
        <v>0</v>
      </c>
      <c r="K794" s="6">
        <f>VLOOKUP(B794,'GIÁ 1.4'!$D:$F,3,0)</f>
        <v>62963</v>
      </c>
      <c r="L794" s="21">
        <f t="shared" si="105"/>
        <v>0</v>
      </c>
    </row>
    <row r="795" spans="1:12" ht="16.8" x14ac:dyDescent="0.3">
      <c r="A795" s="3">
        <v>31</v>
      </c>
      <c r="B795" s="43" t="s">
        <v>12880</v>
      </c>
      <c r="C795" s="3" t="s">
        <v>15601</v>
      </c>
      <c r="D795" s="64">
        <v>36300</v>
      </c>
      <c r="E795" s="1">
        <f t="shared" si="107"/>
        <v>39204</v>
      </c>
      <c r="F795" s="64">
        <v>73148</v>
      </c>
      <c r="G795" s="1">
        <f>ROUND(F795*1.08,-3)</f>
        <v>79000</v>
      </c>
      <c r="I795" s="6">
        <f>VLOOKUP(B795,'GIÁ 1.4'!$D:$F,2,0)</f>
        <v>36300</v>
      </c>
      <c r="J795" s="21">
        <f t="shared" si="104"/>
        <v>0</v>
      </c>
      <c r="K795" s="6">
        <f>VLOOKUP(B795,'GIÁ 1.4'!$D:$F,3,0)</f>
        <v>73148</v>
      </c>
      <c r="L795" s="21">
        <f t="shared" si="105"/>
        <v>0</v>
      </c>
    </row>
    <row r="796" spans="1:12" ht="16.8" x14ac:dyDescent="0.3">
      <c r="A796" s="3"/>
      <c r="B796" s="36" t="s">
        <v>15612</v>
      </c>
      <c r="C796" s="27"/>
      <c r="D796" s="69"/>
      <c r="E796" s="1">
        <f t="shared" si="107"/>
        <v>0</v>
      </c>
      <c r="F796" s="69"/>
      <c r="G796" s="1">
        <f t="shared" ref="G796:G830" si="109">F796*1.08</f>
        <v>0</v>
      </c>
      <c r="J796" s="21"/>
      <c r="L796" s="21"/>
    </row>
    <row r="797" spans="1:12" ht="16.8" x14ac:dyDescent="0.3">
      <c r="A797" s="3">
        <v>1</v>
      </c>
      <c r="B797" s="30" t="s">
        <v>13689</v>
      </c>
      <c r="C797" s="3" t="s">
        <v>6</v>
      </c>
      <c r="D797" s="64">
        <v>51000</v>
      </c>
      <c r="E797" s="1">
        <f t="shared" si="107"/>
        <v>55080</v>
      </c>
      <c r="F797" s="64">
        <v>88000</v>
      </c>
      <c r="G797" s="1">
        <f t="shared" si="109"/>
        <v>95040</v>
      </c>
      <c r="I797" s="6">
        <f>VLOOKUP(B797,'GIÁ 1.4'!$D:$F,2,0)</f>
        <v>0</v>
      </c>
      <c r="J797" s="21">
        <f t="shared" ref="J797:J831" si="110">D797-I797</f>
        <v>51000</v>
      </c>
      <c r="K797" s="6">
        <f>VLOOKUP(B797,'GIÁ 1.4'!$D:$F,3,0)</f>
        <v>0</v>
      </c>
      <c r="L797" s="21">
        <f t="shared" ref="L797:L831" si="111">F797-K797</f>
        <v>88000</v>
      </c>
    </row>
    <row r="798" spans="1:12" ht="16.8" x14ac:dyDescent="0.3">
      <c r="A798" s="3">
        <v>2</v>
      </c>
      <c r="B798" s="30" t="s">
        <v>13283</v>
      </c>
      <c r="C798" s="3" t="s">
        <v>6</v>
      </c>
      <c r="D798" s="64">
        <v>388900</v>
      </c>
      <c r="E798" s="1">
        <f t="shared" si="107"/>
        <v>420012</v>
      </c>
      <c r="F798" s="64">
        <v>777778</v>
      </c>
      <c r="G798" s="1">
        <f t="shared" si="109"/>
        <v>840000.24000000011</v>
      </c>
      <c r="I798" s="6">
        <f>VLOOKUP(B798,'GIÁ 1.4'!$D:$F,2,0)</f>
        <v>388900</v>
      </c>
      <c r="J798" s="21">
        <f t="shared" si="110"/>
        <v>0</v>
      </c>
      <c r="K798" s="6">
        <f>VLOOKUP(B798,'GIÁ 1.4'!$D:$F,3,0)</f>
        <v>777778</v>
      </c>
      <c r="L798" s="21">
        <f t="shared" si="111"/>
        <v>0</v>
      </c>
    </row>
    <row r="799" spans="1:12" ht="16.8" x14ac:dyDescent="0.3">
      <c r="A799" s="3">
        <v>3</v>
      </c>
      <c r="B799" s="30" t="s">
        <v>14418</v>
      </c>
      <c r="C799" s="3" t="s">
        <v>6</v>
      </c>
      <c r="D799" s="64">
        <v>398200</v>
      </c>
      <c r="E799" s="1">
        <f t="shared" si="107"/>
        <v>430056</v>
      </c>
      <c r="F799" s="64">
        <v>796296</v>
      </c>
      <c r="G799" s="1">
        <f t="shared" si="109"/>
        <v>859999.68</v>
      </c>
      <c r="I799" s="6">
        <f>VLOOKUP(B799,'GIÁ 1.4'!$D:$F,2,0)</f>
        <v>398200</v>
      </c>
      <c r="J799" s="21">
        <f t="shared" si="110"/>
        <v>0</v>
      </c>
      <c r="K799" s="6">
        <f>VLOOKUP(B799,'GIÁ 1.4'!$D:$F,3,0)</f>
        <v>796296</v>
      </c>
      <c r="L799" s="21">
        <f t="shared" si="111"/>
        <v>0</v>
      </c>
    </row>
    <row r="800" spans="1:12" ht="16.8" x14ac:dyDescent="0.3">
      <c r="A800" s="3">
        <v>4</v>
      </c>
      <c r="B800" s="30" t="s">
        <v>11384</v>
      </c>
      <c r="C800" s="3" t="s">
        <v>6</v>
      </c>
      <c r="D800" s="64">
        <v>231000</v>
      </c>
      <c r="E800" s="1">
        <f t="shared" si="107"/>
        <v>249480.00000000003</v>
      </c>
      <c r="F800" s="64">
        <v>462037</v>
      </c>
      <c r="G800" s="1">
        <f t="shared" si="109"/>
        <v>498999.96</v>
      </c>
      <c r="I800" s="6">
        <f>VLOOKUP(B800,'GIÁ 1.4'!$D:$F,2,0)</f>
        <v>231000</v>
      </c>
      <c r="J800" s="21">
        <f t="shared" si="110"/>
        <v>0</v>
      </c>
      <c r="K800" s="6">
        <f>VLOOKUP(B800,'GIÁ 1.4'!$D:$F,3,0)</f>
        <v>462037</v>
      </c>
      <c r="L800" s="21">
        <f t="shared" si="111"/>
        <v>0</v>
      </c>
    </row>
    <row r="801" spans="1:12" ht="16.8" x14ac:dyDescent="0.3">
      <c r="A801" s="3">
        <v>5</v>
      </c>
      <c r="B801" s="30" t="s">
        <v>8728</v>
      </c>
      <c r="C801" s="3" t="s">
        <v>6</v>
      </c>
      <c r="D801" s="64">
        <v>143000</v>
      </c>
      <c r="E801" s="1">
        <f t="shared" si="107"/>
        <v>154440</v>
      </c>
      <c r="F801" s="64">
        <v>286111</v>
      </c>
      <c r="G801" s="1">
        <f t="shared" si="109"/>
        <v>308999.88</v>
      </c>
      <c r="I801" s="6">
        <f>VLOOKUP(B801,'GIÁ 1.4'!$D:$F,2,0)</f>
        <v>143000</v>
      </c>
      <c r="J801" s="21">
        <f t="shared" si="110"/>
        <v>0</v>
      </c>
      <c r="K801" s="6">
        <f>VLOOKUP(B801,'GIÁ 1.4'!$D:$F,3,0)</f>
        <v>286111</v>
      </c>
      <c r="L801" s="21">
        <f t="shared" si="111"/>
        <v>0</v>
      </c>
    </row>
    <row r="802" spans="1:12" ht="16.8" x14ac:dyDescent="0.3">
      <c r="A802" s="3">
        <v>6</v>
      </c>
      <c r="B802" s="30" t="s">
        <v>9648</v>
      </c>
      <c r="C802" s="3" t="s">
        <v>6</v>
      </c>
      <c r="D802" s="64">
        <v>149000</v>
      </c>
      <c r="E802" s="1">
        <f t="shared" si="107"/>
        <v>160920</v>
      </c>
      <c r="F802" s="64">
        <v>298148</v>
      </c>
      <c r="G802" s="1">
        <f t="shared" si="109"/>
        <v>321999.84000000003</v>
      </c>
      <c r="I802" s="6">
        <f>VLOOKUP(B802,'GIÁ 1.4'!$D:$F,2,0)</f>
        <v>149000</v>
      </c>
      <c r="J802" s="21">
        <f t="shared" si="110"/>
        <v>0</v>
      </c>
      <c r="K802" s="6">
        <f>VLOOKUP(B802,'GIÁ 1.4'!$D:$F,3,0)</f>
        <v>298148</v>
      </c>
      <c r="L802" s="21">
        <f t="shared" si="111"/>
        <v>0</v>
      </c>
    </row>
    <row r="803" spans="1:12" ht="16.8" x14ac:dyDescent="0.3">
      <c r="A803" s="3">
        <v>7</v>
      </c>
      <c r="B803" s="30" t="s">
        <v>11496</v>
      </c>
      <c r="C803" s="3" t="s">
        <v>6</v>
      </c>
      <c r="D803" s="64">
        <v>127000</v>
      </c>
      <c r="E803" s="1">
        <f t="shared" si="107"/>
        <v>137160</v>
      </c>
      <c r="F803" s="64">
        <v>253704</v>
      </c>
      <c r="G803" s="1">
        <f t="shared" si="109"/>
        <v>274000.32</v>
      </c>
      <c r="I803" s="6">
        <f>VLOOKUP(B803,'GIÁ 1.4'!$D:$F,2,0)</f>
        <v>127000</v>
      </c>
      <c r="J803" s="21">
        <f t="shared" si="110"/>
        <v>0</v>
      </c>
      <c r="K803" s="6">
        <f>VLOOKUP(B803,'GIÁ 1.4'!$D:$F,3,0)</f>
        <v>253704</v>
      </c>
      <c r="L803" s="21">
        <f t="shared" si="111"/>
        <v>0</v>
      </c>
    </row>
    <row r="804" spans="1:12" ht="16.8" x14ac:dyDescent="0.3">
      <c r="A804" s="3">
        <v>8</v>
      </c>
      <c r="B804" s="30" t="s">
        <v>4170</v>
      </c>
      <c r="C804" s="3" t="s">
        <v>6</v>
      </c>
      <c r="D804" s="64">
        <v>62000</v>
      </c>
      <c r="E804" s="1">
        <f t="shared" si="107"/>
        <v>66960</v>
      </c>
      <c r="F804" s="64">
        <v>124074</v>
      </c>
      <c r="G804" s="1">
        <f t="shared" si="109"/>
        <v>133999.92000000001</v>
      </c>
      <c r="I804" s="6">
        <f>VLOOKUP(B804,'GIÁ 1.4'!$D:$F,2,0)</f>
        <v>62000</v>
      </c>
      <c r="J804" s="21">
        <f t="shared" si="110"/>
        <v>0</v>
      </c>
      <c r="K804" s="6">
        <f>VLOOKUP(B804,'GIÁ 1.4'!$D:$F,3,0)</f>
        <v>124074</v>
      </c>
      <c r="L804" s="21">
        <f t="shared" si="111"/>
        <v>0</v>
      </c>
    </row>
    <row r="805" spans="1:12" ht="16.8" x14ac:dyDescent="0.3">
      <c r="A805" s="3">
        <v>9</v>
      </c>
      <c r="B805" s="30" t="s">
        <v>13578</v>
      </c>
      <c r="C805" s="3" t="s">
        <v>6</v>
      </c>
      <c r="D805" s="64">
        <v>77000</v>
      </c>
      <c r="E805" s="1">
        <f t="shared" si="107"/>
        <v>83160</v>
      </c>
      <c r="F805" s="64">
        <v>153636</v>
      </c>
      <c r="G805" s="1">
        <f t="shared" si="109"/>
        <v>165926.88</v>
      </c>
      <c r="I805" s="6">
        <f>VLOOKUP(B805,'GIÁ 1.4'!$D:$F,2,0)</f>
        <v>77000</v>
      </c>
      <c r="J805" s="21">
        <f t="shared" si="110"/>
        <v>0</v>
      </c>
      <c r="K805" s="6">
        <f>VLOOKUP(B805,'GIÁ 1.4'!$D:$F,3,0)</f>
        <v>153636</v>
      </c>
      <c r="L805" s="21">
        <f t="shared" si="111"/>
        <v>0</v>
      </c>
    </row>
    <row r="806" spans="1:12" ht="16.8" x14ac:dyDescent="0.3">
      <c r="A806" s="3">
        <v>10</v>
      </c>
      <c r="B806" s="30" t="s">
        <v>14828</v>
      </c>
      <c r="C806" s="3" t="s">
        <v>6</v>
      </c>
      <c r="D806" s="64">
        <v>90000</v>
      </c>
      <c r="E806" s="1">
        <f t="shared" si="107"/>
        <v>97200</v>
      </c>
      <c r="F806" s="64">
        <v>179630</v>
      </c>
      <c r="G806" s="1">
        <f t="shared" si="109"/>
        <v>194000.40000000002</v>
      </c>
      <c r="I806" s="6">
        <f>VLOOKUP(B806,'GIÁ 1.4'!$D:$F,2,0)</f>
        <v>90000</v>
      </c>
      <c r="J806" s="21">
        <f t="shared" si="110"/>
        <v>0</v>
      </c>
      <c r="K806" s="6">
        <f>VLOOKUP(B806,'GIÁ 1.4'!$D:$F,3,0)</f>
        <v>179630</v>
      </c>
      <c r="L806" s="21">
        <f t="shared" si="111"/>
        <v>0</v>
      </c>
    </row>
    <row r="807" spans="1:12" ht="16.8" x14ac:dyDescent="0.3">
      <c r="A807" s="3">
        <v>11</v>
      </c>
      <c r="B807" s="30" t="s">
        <v>15559</v>
      </c>
      <c r="C807" s="3" t="s">
        <v>6</v>
      </c>
      <c r="D807" s="64">
        <v>90000</v>
      </c>
      <c r="E807" s="1">
        <f t="shared" si="107"/>
        <v>97200</v>
      </c>
      <c r="F807" s="64">
        <v>179630</v>
      </c>
      <c r="G807" s="1">
        <f t="shared" si="109"/>
        <v>194000.40000000002</v>
      </c>
      <c r="I807" s="6">
        <f>VLOOKUP(B807,'GIÁ 1.4'!$D:$F,2,0)</f>
        <v>90000</v>
      </c>
      <c r="J807" s="21">
        <f t="shared" si="110"/>
        <v>0</v>
      </c>
      <c r="K807" s="6">
        <f>VLOOKUP(B807,'GIÁ 1.4'!$D:$F,3,0)</f>
        <v>179630</v>
      </c>
      <c r="L807" s="21">
        <f t="shared" si="111"/>
        <v>0</v>
      </c>
    </row>
    <row r="808" spans="1:12" ht="16.8" x14ac:dyDescent="0.3">
      <c r="A808" s="3">
        <v>12</v>
      </c>
      <c r="B808" s="30" t="s">
        <v>12213</v>
      </c>
      <c r="C808" s="3" t="s">
        <v>6</v>
      </c>
      <c r="D808" s="64">
        <v>90000</v>
      </c>
      <c r="E808" s="1">
        <f t="shared" si="107"/>
        <v>97200</v>
      </c>
      <c r="F808" s="64">
        <v>179630</v>
      </c>
      <c r="G808" s="1">
        <f t="shared" si="109"/>
        <v>194000.40000000002</v>
      </c>
      <c r="I808" s="6">
        <f>VLOOKUP(B808,'GIÁ 1.4'!$D:$F,2,0)</f>
        <v>90000</v>
      </c>
      <c r="J808" s="21">
        <f t="shared" si="110"/>
        <v>0</v>
      </c>
      <c r="K808" s="6">
        <f>VLOOKUP(B808,'GIÁ 1.4'!$D:$F,3,0)</f>
        <v>179630</v>
      </c>
      <c r="L808" s="21">
        <f t="shared" si="111"/>
        <v>0</v>
      </c>
    </row>
    <row r="809" spans="1:12" ht="16.8" x14ac:dyDescent="0.3">
      <c r="A809" s="3">
        <v>13</v>
      </c>
      <c r="B809" s="43" t="s">
        <v>15613</v>
      </c>
      <c r="C809" s="3" t="s">
        <v>6</v>
      </c>
      <c r="D809" s="64">
        <v>250000</v>
      </c>
      <c r="E809" s="1">
        <f t="shared" si="107"/>
        <v>270000</v>
      </c>
      <c r="F809" s="64">
        <v>500000</v>
      </c>
      <c r="G809" s="1">
        <f t="shared" si="109"/>
        <v>540000</v>
      </c>
      <c r="I809" s="6">
        <f>VLOOKUP(B809,'GIÁ 1.4'!$D:$F,2,0)</f>
        <v>250000</v>
      </c>
      <c r="J809" s="21">
        <f t="shared" si="110"/>
        <v>0</v>
      </c>
      <c r="K809" s="6">
        <f>VLOOKUP(B809,'GIÁ 1.4'!$D:$F,3,0)</f>
        <v>500000</v>
      </c>
      <c r="L809" s="21">
        <f t="shared" si="111"/>
        <v>0</v>
      </c>
    </row>
    <row r="810" spans="1:12" ht="16.8" x14ac:dyDescent="0.3">
      <c r="A810" s="3">
        <v>14</v>
      </c>
      <c r="B810" s="43" t="s">
        <v>13443</v>
      </c>
      <c r="C810" s="3" t="s">
        <v>6</v>
      </c>
      <c r="D810" s="64">
        <v>220000</v>
      </c>
      <c r="E810" s="1">
        <f t="shared" si="107"/>
        <v>237600.00000000003</v>
      </c>
      <c r="F810" s="64">
        <v>439815</v>
      </c>
      <c r="G810" s="1">
        <f t="shared" si="109"/>
        <v>475000.2</v>
      </c>
      <c r="I810" s="6">
        <f>VLOOKUP(B810,'GIÁ 1.4'!$D:$F,2,0)</f>
        <v>220000</v>
      </c>
      <c r="J810" s="21">
        <f t="shared" si="110"/>
        <v>0</v>
      </c>
      <c r="K810" s="6">
        <f>VLOOKUP(B810,'GIÁ 1.4'!$D:$F,3,0)</f>
        <v>439815</v>
      </c>
      <c r="L810" s="21">
        <f t="shared" si="111"/>
        <v>0</v>
      </c>
    </row>
    <row r="811" spans="1:12" ht="16.8" x14ac:dyDescent="0.3">
      <c r="A811" s="3">
        <v>15</v>
      </c>
      <c r="B811" s="43" t="s">
        <v>15349</v>
      </c>
      <c r="C811" s="3" t="s">
        <v>6</v>
      </c>
      <c r="D811" s="64">
        <v>250000</v>
      </c>
      <c r="E811" s="1">
        <f t="shared" si="107"/>
        <v>270000</v>
      </c>
      <c r="F811" s="64">
        <v>500000</v>
      </c>
      <c r="G811" s="1">
        <f t="shared" si="109"/>
        <v>540000</v>
      </c>
      <c r="I811" s="6">
        <f>VLOOKUP(B811,'GIÁ 1.4'!$D:$F,2,0)</f>
        <v>250000</v>
      </c>
      <c r="J811" s="21">
        <f t="shared" si="110"/>
        <v>0</v>
      </c>
      <c r="K811" s="6">
        <f>VLOOKUP(B811,'GIÁ 1.4'!$D:$F,3,0)</f>
        <v>500000</v>
      </c>
      <c r="L811" s="21">
        <f t="shared" si="111"/>
        <v>0</v>
      </c>
    </row>
    <row r="812" spans="1:12" ht="16.8" x14ac:dyDescent="0.3">
      <c r="A812" s="3">
        <v>16</v>
      </c>
      <c r="B812" s="43" t="s">
        <v>15614</v>
      </c>
      <c r="C812" s="3" t="s">
        <v>6</v>
      </c>
      <c r="D812" s="64">
        <v>46000</v>
      </c>
      <c r="E812" s="1">
        <f t="shared" si="107"/>
        <v>49680</v>
      </c>
      <c r="F812" s="64">
        <v>91667</v>
      </c>
      <c r="G812" s="1">
        <f t="shared" si="109"/>
        <v>99000.36</v>
      </c>
      <c r="I812" s="6">
        <f>VLOOKUP(B812,'GIÁ 1.4'!$D:$F,2,0)</f>
        <v>46000</v>
      </c>
      <c r="J812" s="21">
        <f t="shared" si="110"/>
        <v>0</v>
      </c>
      <c r="K812" s="6">
        <f>VLOOKUP(B812,'GIÁ 1.4'!$D:$F,3,0)</f>
        <v>91667</v>
      </c>
      <c r="L812" s="21">
        <f t="shared" si="111"/>
        <v>0</v>
      </c>
    </row>
    <row r="813" spans="1:12" ht="16.8" x14ac:dyDescent="0.3">
      <c r="A813" s="3">
        <v>17</v>
      </c>
      <c r="B813" s="30" t="s">
        <v>11570</v>
      </c>
      <c r="C813" s="3" t="s">
        <v>6</v>
      </c>
      <c r="D813" s="65">
        <v>20000</v>
      </c>
      <c r="E813" s="1">
        <f t="shared" si="107"/>
        <v>21600</v>
      </c>
      <c r="F813" s="64">
        <v>39815</v>
      </c>
      <c r="G813" s="1">
        <f t="shared" si="109"/>
        <v>43000.200000000004</v>
      </c>
      <c r="I813" s="6">
        <f>VLOOKUP(B813,'GIÁ 1.4'!$D:$F,2,0)</f>
        <v>20000</v>
      </c>
      <c r="J813" s="21">
        <f t="shared" si="110"/>
        <v>0</v>
      </c>
      <c r="K813" s="6">
        <f>VLOOKUP(B813,'GIÁ 1.4'!$D:$F,3,0)</f>
        <v>39815</v>
      </c>
      <c r="L813" s="21">
        <f t="shared" si="111"/>
        <v>0</v>
      </c>
    </row>
    <row r="814" spans="1:12" ht="16.8" x14ac:dyDescent="0.3">
      <c r="A814" s="3">
        <v>18</v>
      </c>
      <c r="B814" s="30" t="s">
        <v>13769</v>
      </c>
      <c r="C814" s="3" t="s">
        <v>6</v>
      </c>
      <c r="D814" s="65">
        <v>70000</v>
      </c>
      <c r="E814" s="1">
        <f t="shared" si="107"/>
        <v>75600</v>
      </c>
      <c r="F814" s="64">
        <v>139815</v>
      </c>
      <c r="G814" s="1">
        <f t="shared" si="109"/>
        <v>151000.20000000001</v>
      </c>
      <c r="I814" s="6">
        <f>VLOOKUP(B814,'GIÁ 1.4'!$D:$F,2,0)</f>
        <v>70000</v>
      </c>
      <c r="J814" s="21">
        <f t="shared" si="110"/>
        <v>0</v>
      </c>
      <c r="K814" s="6">
        <f>VLOOKUP(B814,'GIÁ 1.4'!$D:$F,3,0)</f>
        <v>139815</v>
      </c>
      <c r="L814" s="21">
        <f t="shared" si="111"/>
        <v>0</v>
      </c>
    </row>
    <row r="815" spans="1:12" ht="16.8" x14ac:dyDescent="0.3">
      <c r="A815" s="3">
        <v>19</v>
      </c>
      <c r="B815" s="30" t="s">
        <v>13773</v>
      </c>
      <c r="C815" s="3" t="s">
        <v>6</v>
      </c>
      <c r="D815" s="65">
        <v>20000</v>
      </c>
      <c r="E815" s="1">
        <f t="shared" si="107"/>
        <v>21600</v>
      </c>
      <c r="F815" s="64">
        <v>39815</v>
      </c>
      <c r="G815" s="1">
        <f t="shared" si="109"/>
        <v>43000.200000000004</v>
      </c>
      <c r="I815" s="6">
        <f>VLOOKUP(B815,'GIÁ 1.4'!$D:$F,2,0)</f>
        <v>20000</v>
      </c>
      <c r="J815" s="21">
        <f t="shared" si="110"/>
        <v>0</v>
      </c>
      <c r="K815" s="6">
        <f>VLOOKUP(B815,'GIÁ 1.4'!$D:$F,3,0)</f>
        <v>39815</v>
      </c>
      <c r="L815" s="21">
        <f t="shared" si="111"/>
        <v>0</v>
      </c>
    </row>
    <row r="816" spans="1:12" ht="16.8" x14ac:dyDescent="0.3">
      <c r="A816" s="3">
        <v>20</v>
      </c>
      <c r="B816" s="30" t="s">
        <v>11243</v>
      </c>
      <c r="C816" s="3" t="s">
        <v>6</v>
      </c>
      <c r="D816" s="65">
        <v>20000</v>
      </c>
      <c r="E816" s="1">
        <f t="shared" si="107"/>
        <v>21600</v>
      </c>
      <c r="F816" s="64">
        <v>39815</v>
      </c>
      <c r="G816" s="1">
        <f t="shared" si="109"/>
        <v>43000.200000000004</v>
      </c>
      <c r="I816" s="6">
        <f>VLOOKUP(B816,'GIÁ 1.4'!$D:$F,2,0)</f>
        <v>20000</v>
      </c>
      <c r="J816" s="21">
        <f t="shared" si="110"/>
        <v>0</v>
      </c>
      <c r="K816" s="6">
        <f>VLOOKUP(B816,'GIÁ 1.4'!$D:$F,3,0)</f>
        <v>39815</v>
      </c>
      <c r="L816" s="21">
        <f t="shared" si="111"/>
        <v>0</v>
      </c>
    </row>
    <row r="817" spans="1:12" ht="16.8" x14ac:dyDescent="0.3">
      <c r="A817" s="3">
        <v>21</v>
      </c>
      <c r="B817" s="30" t="s">
        <v>11145</v>
      </c>
      <c r="C817" s="3" t="s">
        <v>6</v>
      </c>
      <c r="D817" s="65">
        <v>12700</v>
      </c>
      <c r="E817" s="1">
        <f t="shared" si="107"/>
        <v>13716</v>
      </c>
      <c r="F817" s="64">
        <v>25000</v>
      </c>
      <c r="G817" s="1">
        <f t="shared" si="109"/>
        <v>27000</v>
      </c>
      <c r="I817" s="6">
        <f>VLOOKUP(B817,'GIÁ 1.4'!$D:$F,2,0)</f>
        <v>12700</v>
      </c>
      <c r="J817" s="21">
        <f t="shared" si="110"/>
        <v>0</v>
      </c>
      <c r="K817" s="6">
        <f>VLOOKUP(B817,'GIÁ 1.4'!$D:$F,3,0)</f>
        <v>25000</v>
      </c>
      <c r="L817" s="21">
        <f t="shared" si="111"/>
        <v>0</v>
      </c>
    </row>
    <row r="818" spans="1:12" ht="16.8" x14ac:dyDescent="0.3">
      <c r="A818" s="3">
        <v>22</v>
      </c>
      <c r="B818" s="30" t="s">
        <v>15216</v>
      </c>
      <c r="C818" s="3" t="s">
        <v>6</v>
      </c>
      <c r="D818" s="65">
        <v>25000</v>
      </c>
      <c r="E818" s="1">
        <f t="shared" si="107"/>
        <v>27000</v>
      </c>
      <c r="F818" s="64">
        <v>50000</v>
      </c>
      <c r="G818" s="1">
        <f t="shared" si="109"/>
        <v>54000</v>
      </c>
      <c r="I818" s="6">
        <f>VLOOKUP(B818,'GIÁ 1.4'!$D:$F,2,0)</f>
        <v>25000</v>
      </c>
      <c r="J818" s="21">
        <f t="shared" si="110"/>
        <v>0</v>
      </c>
      <c r="K818" s="6">
        <f>VLOOKUP(B818,'GIÁ 1.4'!$D:$F,3,0)</f>
        <v>50000</v>
      </c>
      <c r="L818" s="21">
        <f t="shared" si="111"/>
        <v>0</v>
      </c>
    </row>
    <row r="819" spans="1:12" ht="16.8" x14ac:dyDescent="0.3">
      <c r="A819" s="3">
        <v>23</v>
      </c>
      <c r="B819" s="30" t="s">
        <v>9469</v>
      </c>
      <c r="C819" s="3" t="s">
        <v>6</v>
      </c>
      <c r="D819" s="65">
        <v>45000</v>
      </c>
      <c r="E819" s="1">
        <f t="shared" ref="E819:E831" si="112">D819*1.08</f>
        <v>48600</v>
      </c>
      <c r="F819" s="64">
        <v>89815</v>
      </c>
      <c r="G819" s="1">
        <f t="shared" si="109"/>
        <v>97000.200000000012</v>
      </c>
      <c r="I819" s="6">
        <f>VLOOKUP(B819,'GIÁ 1.4'!$D:$F,2,0)</f>
        <v>45000</v>
      </c>
      <c r="J819" s="21">
        <f t="shared" si="110"/>
        <v>0</v>
      </c>
      <c r="K819" s="6">
        <f>VLOOKUP(B819,'GIÁ 1.4'!$D:$F,3,0)</f>
        <v>89815</v>
      </c>
      <c r="L819" s="21">
        <f t="shared" si="111"/>
        <v>0</v>
      </c>
    </row>
    <row r="820" spans="1:12" ht="16.8" x14ac:dyDescent="0.3">
      <c r="A820" s="3">
        <v>24</v>
      </c>
      <c r="B820" s="30" t="s">
        <v>9471</v>
      </c>
      <c r="C820" s="3" t="s">
        <v>6</v>
      </c>
      <c r="D820" s="65">
        <v>70000</v>
      </c>
      <c r="E820" s="1">
        <f t="shared" si="112"/>
        <v>75600</v>
      </c>
      <c r="F820" s="64">
        <v>139815</v>
      </c>
      <c r="G820" s="1">
        <f t="shared" si="109"/>
        <v>151000.20000000001</v>
      </c>
      <c r="I820" s="6">
        <f>VLOOKUP(B820,'GIÁ 1.4'!$D:$F,2,0)</f>
        <v>70000</v>
      </c>
      <c r="J820" s="21">
        <f t="shared" si="110"/>
        <v>0</v>
      </c>
      <c r="K820" s="6">
        <f>VLOOKUP(B820,'GIÁ 1.4'!$D:$F,3,0)</f>
        <v>139815</v>
      </c>
      <c r="L820" s="21">
        <f t="shared" si="111"/>
        <v>0</v>
      </c>
    </row>
    <row r="821" spans="1:12" ht="16.8" x14ac:dyDescent="0.3">
      <c r="A821" s="3">
        <v>25</v>
      </c>
      <c r="B821" s="30" t="s">
        <v>11096</v>
      </c>
      <c r="C821" s="3" t="s">
        <v>6</v>
      </c>
      <c r="D821" s="65">
        <v>22000</v>
      </c>
      <c r="E821" s="1">
        <f t="shared" si="112"/>
        <v>23760</v>
      </c>
      <c r="F821" s="64">
        <v>44444</v>
      </c>
      <c r="G821" s="1">
        <f t="shared" si="109"/>
        <v>47999.520000000004</v>
      </c>
      <c r="I821" s="6">
        <f>VLOOKUP(B821,'GIÁ 1.4'!$D:$F,2,0)</f>
        <v>22000</v>
      </c>
      <c r="J821" s="21">
        <f t="shared" si="110"/>
        <v>0</v>
      </c>
      <c r="K821" s="6">
        <f>VLOOKUP(B821,'GIÁ 1.4'!$D:$F,3,0)</f>
        <v>44444</v>
      </c>
      <c r="L821" s="21">
        <f t="shared" si="111"/>
        <v>0</v>
      </c>
    </row>
    <row r="822" spans="1:12" ht="16.8" x14ac:dyDescent="0.3">
      <c r="A822" s="3">
        <v>26</v>
      </c>
      <c r="B822" s="30" t="s">
        <v>13895</v>
      </c>
      <c r="C822" s="3" t="s">
        <v>6</v>
      </c>
      <c r="D822" s="65">
        <v>19000</v>
      </c>
      <c r="E822" s="1">
        <f t="shared" si="112"/>
        <v>20520</v>
      </c>
      <c r="F822" s="64">
        <v>37963</v>
      </c>
      <c r="G822" s="1">
        <f t="shared" si="109"/>
        <v>41000.04</v>
      </c>
      <c r="I822" s="6">
        <f>VLOOKUP(B822,'GIÁ 1.4'!$D:$F,2,0)</f>
        <v>19000</v>
      </c>
      <c r="J822" s="21">
        <f t="shared" si="110"/>
        <v>0</v>
      </c>
      <c r="K822" s="6">
        <f>VLOOKUP(B822,'GIÁ 1.4'!$D:$F,3,0)</f>
        <v>37963</v>
      </c>
      <c r="L822" s="21">
        <f t="shared" si="111"/>
        <v>0</v>
      </c>
    </row>
    <row r="823" spans="1:12" ht="16.8" x14ac:dyDescent="0.3">
      <c r="A823" s="3">
        <v>27</v>
      </c>
      <c r="B823" s="30" t="s">
        <v>1364</v>
      </c>
      <c r="C823" s="3" t="s">
        <v>6</v>
      </c>
      <c r="D823" s="65">
        <v>10400</v>
      </c>
      <c r="E823" s="1">
        <f t="shared" si="112"/>
        <v>11232</v>
      </c>
      <c r="F823" s="64">
        <v>20370</v>
      </c>
      <c r="G823" s="1">
        <f t="shared" si="109"/>
        <v>21999.600000000002</v>
      </c>
      <c r="I823" s="6">
        <f>VLOOKUP(B823,'GIÁ 1.4'!$D:$F,2,0)</f>
        <v>10400</v>
      </c>
      <c r="J823" s="21">
        <f t="shared" si="110"/>
        <v>0</v>
      </c>
      <c r="K823" s="6">
        <f>VLOOKUP(B823,'GIÁ 1.4'!$D:$F,3,0)</f>
        <v>20370</v>
      </c>
      <c r="L823" s="21">
        <f t="shared" si="111"/>
        <v>0</v>
      </c>
    </row>
    <row r="824" spans="1:12" ht="16.8" x14ac:dyDescent="0.3">
      <c r="A824" s="3">
        <v>28</v>
      </c>
      <c r="B824" s="30" t="s">
        <v>1366</v>
      </c>
      <c r="C824" s="3" t="s">
        <v>6</v>
      </c>
      <c r="D824" s="65">
        <v>10400</v>
      </c>
      <c r="E824" s="1">
        <f t="shared" si="112"/>
        <v>11232</v>
      </c>
      <c r="F824" s="64">
        <v>20370</v>
      </c>
      <c r="G824" s="1">
        <f t="shared" si="109"/>
        <v>21999.600000000002</v>
      </c>
      <c r="I824" s="6">
        <f>VLOOKUP(B824,'GIÁ 1.4'!$D:$F,2,0)</f>
        <v>10400</v>
      </c>
      <c r="J824" s="21">
        <f t="shared" si="110"/>
        <v>0</v>
      </c>
      <c r="K824" s="6">
        <f>VLOOKUP(B824,'GIÁ 1.4'!$D:$F,3,0)</f>
        <v>20370</v>
      </c>
      <c r="L824" s="21">
        <f t="shared" si="111"/>
        <v>0</v>
      </c>
    </row>
    <row r="825" spans="1:12" ht="16.8" x14ac:dyDescent="0.3">
      <c r="A825" s="3">
        <v>29</v>
      </c>
      <c r="B825" s="30" t="s">
        <v>1686</v>
      </c>
      <c r="C825" s="3" t="s">
        <v>6</v>
      </c>
      <c r="D825" s="65">
        <v>10400</v>
      </c>
      <c r="E825" s="1">
        <f t="shared" si="112"/>
        <v>11232</v>
      </c>
      <c r="F825" s="64">
        <v>20370</v>
      </c>
      <c r="G825" s="1">
        <f t="shared" si="109"/>
        <v>21999.600000000002</v>
      </c>
      <c r="I825" s="6">
        <f>VLOOKUP(B825,'GIÁ 1.4'!$D:$F,2,0)</f>
        <v>10400</v>
      </c>
      <c r="J825" s="21">
        <f t="shared" si="110"/>
        <v>0</v>
      </c>
      <c r="K825" s="6">
        <f>VLOOKUP(B825,'GIÁ 1.4'!$D:$F,3,0)</f>
        <v>20370</v>
      </c>
      <c r="L825" s="21">
        <f t="shared" si="111"/>
        <v>0</v>
      </c>
    </row>
    <row r="826" spans="1:12" ht="16.8" x14ac:dyDescent="0.3">
      <c r="A826" s="3">
        <v>30</v>
      </c>
      <c r="B826" s="30" t="s">
        <v>11028</v>
      </c>
      <c r="C826" s="3" t="s">
        <v>6</v>
      </c>
      <c r="D826" s="65">
        <v>480000</v>
      </c>
      <c r="E826" s="1">
        <f t="shared" si="112"/>
        <v>518400.00000000006</v>
      </c>
      <c r="F826" s="64">
        <v>960185</v>
      </c>
      <c r="G826" s="1">
        <f t="shared" si="109"/>
        <v>1036999.8</v>
      </c>
      <c r="I826" s="6">
        <f>VLOOKUP(B826,'GIÁ 1.4'!$D:$F,2,0)</f>
        <v>480000</v>
      </c>
      <c r="J826" s="21">
        <f t="shared" si="110"/>
        <v>0</v>
      </c>
      <c r="K826" s="6">
        <f>VLOOKUP(B826,'GIÁ 1.4'!$D:$F,3,0)</f>
        <v>960185</v>
      </c>
      <c r="L826" s="21">
        <f t="shared" si="111"/>
        <v>0</v>
      </c>
    </row>
    <row r="827" spans="1:12" ht="16.8" x14ac:dyDescent="0.3">
      <c r="A827" s="3">
        <v>31</v>
      </c>
      <c r="B827" s="2" t="s">
        <v>1935</v>
      </c>
      <c r="C827" s="3" t="s">
        <v>6</v>
      </c>
      <c r="D827" s="66">
        <v>25000</v>
      </c>
      <c r="E827" s="1">
        <f t="shared" si="112"/>
        <v>27000</v>
      </c>
      <c r="F827" s="66">
        <v>50000</v>
      </c>
      <c r="G827" s="1">
        <f t="shared" si="109"/>
        <v>54000</v>
      </c>
      <c r="I827" s="6">
        <f>VLOOKUP(B827,'GIÁ 1.4'!$D:$F,2,0)</f>
        <v>25000</v>
      </c>
      <c r="J827" s="21">
        <f t="shared" si="110"/>
        <v>0</v>
      </c>
      <c r="K827" s="6">
        <f>VLOOKUP(B827,'GIÁ 1.4'!$D:$F,3,0)</f>
        <v>50000</v>
      </c>
      <c r="L827" s="21">
        <f t="shared" si="111"/>
        <v>0</v>
      </c>
    </row>
    <row r="828" spans="1:12" ht="16.8" x14ac:dyDescent="0.3">
      <c r="A828" s="3">
        <v>32</v>
      </c>
      <c r="B828" s="2" t="s">
        <v>9473</v>
      </c>
      <c r="C828" s="3" t="s">
        <v>6</v>
      </c>
      <c r="D828" s="66">
        <v>13000</v>
      </c>
      <c r="E828" s="1">
        <f t="shared" si="112"/>
        <v>14040.000000000002</v>
      </c>
      <c r="F828" s="66">
        <v>25926</v>
      </c>
      <c r="G828" s="1">
        <f t="shared" si="109"/>
        <v>28000.080000000002</v>
      </c>
      <c r="I828" s="6">
        <f>VLOOKUP(B828,'GIÁ 1.4'!$D:$F,2,0)</f>
        <v>13000</v>
      </c>
      <c r="J828" s="21">
        <f t="shared" si="110"/>
        <v>0</v>
      </c>
      <c r="K828" s="6">
        <f>VLOOKUP(B828,'GIÁ 1.4'!$D:$F,3,0)</f>
        <v>25926</v>
      </c>
      <c r="L828" s="21">
        <f t="shared" si="111"/>
        <v>0</v>
      </c>
    </row>
    <row r="829" spans="1:12" ht="16.8" x14ac:dyDescent="0.3">
      <c r="A829" s="3">
        <v>33</v>
      </c>
      <c r="B829" s="30" t="s">
        <v>12243</v>
      </c>
      <c r="C829" s="3" t="s">
        <v>6</v>
      </c>
      <c r="D829" s="64">
        <v>240000</v>
      </c>
      <c r="E829" s="1">
        <f t="shared" si="112"/>
        <v>259200.00000000003</v>
      </c>
      <c r="F829" s="71">
        <v>480000</v>
      </c>
      <c r="G829" s="1">
        <f t="shared" si="109"/>
        <v>518400.00000000006</v>
      </c>
      <c r="I829" s="6">
        <f>VLOOKUP(B829,'GIÁ 1.4'!$D:$F,2,0)</f>
        <v>240000</v>
      </c>
      <c r="J829" s="21">
        <f t="shared" si="110"/>
        <v>0</v>
      </c>
      <c r="K829" s="6">
        <f>VLOOKUP(B829,'GIÁ 1.4'!$D:$F,3,0)</f>
        <v>480000</v>
      </c>
      <c r="L829" s="21">
        <f t="shared" si="111"/>
        <v>0</v>
      </c>
    </row>
    <row r="830" spans="1:12" ht="16.8" x14ac:dyDescent="0.3">
      <c r="A830" s="3">
        <v>34</v>
      </c>
      <c r="B830" s="2" t="s">
        <v>11782</v>
      </c>
      <c r="C830" s="3" t="s">
        <v>6</v>
      </c>
      <c r="D830" s="66">
        <v>250000</v>
      </c>
      <c r="E830" s="1">
        <f t="shared" si="112"/>
        <v>270000</v>
      </c>
      <c r="F830" s="66">
        <v>500000</v>
      </c>
      <c r="G830" s="1">
        <f t="shared" si="109"/>
        <v>540000</v>
      </c>
      <c r="I830" s="6">
        <f>VLOOKUP(B830,'GIÁ 1.4'!$D:$F,2,0)</f>
        <v>250000</v>
      </c>
      <c r="J830" s="21">
        <f t="shared" si="110"/>
        <v>0</v>
      </c>
      <c r="K830" s="6">
        <f>VLOOKUP(B830,'GIÁ 1.4'!$D:$F,3,0)</f>
        <v>500000</v>
      </c>
      <c r="L830" s="21">
        <f t="shared" si="111"/>
        <v>0</v>
      </c>
    </row>
    <row r="831" spans="1:12" ht="16.8" x14ac:dyDescent="0.3">
      <c r="A831" s="3">
        <v>35</v>
      </c>
      <c r="B831" s="2" t="s">
        <v>10729</v>
      </c>
      <c r="C831" s="3" t="s">
        <v>6</v>
      </c>
      <c r="D831" s="66">
        <v>260000</v>
      </c>
      <c r="E831" s="1">
        <f t="shared" si="112"/>
        <v>280800</v>
      </c>
      <c r="F831" s="66">
        <v>520000</v>
      </c>
      <c r="G831" s="1">
        <v>520000</v>
      </c>
      <c r="I831" s="6">
        <f>VLOOKUP(B831,'GIÁ 1.4'!$D:$F,2,0)</f>
        <v>260000</v>
      </c>
      <c r="J831" s="21">
        <f t="shared" si="110"/>
        <v>0</v>
      </c>
      <c r="K831" s="6">
        <f>VLOOKUP(B831,'GIÁ 1.4'!$D:$F,3,0)</f>
        <v>520000</v>
      </c>
      <c r="L831" s="21">
        <f t="shared" si="111"/>
        <v>0</v>
      </c>
    </row>
    <row r="832" spans="1:12" ht="16.8" x14ac:dyDescent="0.3">
      <c r="A832" s="27"/>
      <c r="B832" s="36" t="s">
        <v>15615</v>
      </c>
      <c r="C832" s="27"/>
      <c r="D832" s="73"/>
      <c r="E832" s="29"/>
      <c r="F832" s="69"/>
      <c r="G832" s="29"/>
      <c r="J832" s="21"/>
      <c r="L832" s="21"/>
    </row>
    <row r="833" spans="1:12" ht="16.8" x14ac:dyDescent="0.3">
      <c r="A833" s="3">
        <v>1</v>
      </c>
      <c r="B833" s="2" t="s">
        <v>11710</v>
      </c>
      <c r="C833" s="33" t="s">
        <v>6</v>
      </c>
      <c r="D833" s="66">
        <v>46296</v>
      </c>
      <c r="E833" s="5">
        <v>50000</v>
      </c>
      <c r="F833" s="66">
        <v>92593</v>
      </c>
      <c r="G833" s="5">
        <v>100000</v>
      </c>
      <c r="I833" s="6">
        <f>VLOOKUP(B833,'GIÁ 1.4'!$D:$F,2,0)</f>
        <v>46296</v>
      </c>
      <c r="J833" s="21">
        <f t="shared" ref="J833:J868" si="113">D833-I833</f>
        <v>0</v>
      </c>
      <c r="K833" s="6">
        <f>VLOOKUP(B833,'GIÁ 1.4'!$D:$F,3,0)</f>
        <v>92593</v>
      </c>
      <c r="L833" s="21">
        <f t="shared" ref="L833:L868" si="114">F833-K833</f>
        <v>0</v>
      </c>
    </row>
    <row r="834" spans="1:12" ht="16.8" x14ac:dyDescent="0.3">
      <c r="A834" s="3">
        <v>2</v>
      </c>
      <c r="B834" s="2" t="s">
        <v>13901</v>
      </c>
      <c r="C834" s="33" t="s">
        <v>6</v>
      </c>
      <c r="D834" s="66">
        <v>46296</v>
      </c>
      <c r="E834" s="5">
        <v>50000</v>
      </c>
      <c r="F834" s="66">
        <v>92593</v>
      </c>
      <c r="G834" s="5">
        <v>100000</v>
      </c>
      <c r="I834" s="6">
        <f>VLOOKUP(B834,'GIÁ 1.4'!$D:$F,2,0)</f>
        <v>46296</v>
      </c>
      <c r="J834" s="21">
        <f t="shared" si="113"/>
        <v>0</v>
      </c>
      <c r="K834" s="6">
        <f>VLOOKUP(B834,'GIÁ 1.4'!$D:$F,3,0)</f>
        <v>92593</v>
      </c>
      <c r="L834" s="21">
        <f t="shared" si="114"/>
        <v>0</v>
      </c>
    </row>
    <row r="835" spans="1:12" ht="16.8" x14ac:dyDescent="0.3">
      <c r="A835" s="3">
        <v>3</v>
      </c>
      <c r="B835" s="2" t="s">
        <v>11151</v>
      </c>
      <c r="C835" s="33" t="s">
        <v>6</v>
      </c>
      <c r="D835" s="66">
        <v>46296</v>
      </c>
      <c r="E835" s="5">
        <v>50000</v>
      </c>
      <c r="F835" s="66">
        <v>92593</v>
      </c>
      <c r="G835" s="5">
        <v>100000</v>
      </c>
      <c r="I835" s="6">
        <f>VLOOKUP(B835,'GIÁ 1.4'!$D:$F,2,0)</f>
        <v>46296</v>
      </c>
      <c r="J835" s="21">
        <f t="shared" si="113"/>
        <v>0</v>
      </c>
      <c r="K835" s="6">
        <f>VLOOKUP(B835,'GIÁ 1.4'!$D:$F,3,0)</f>
        <v>92593</v>
      </c>
      <c r="L835" s="21">
        <f t="shared" si="114"/>
        <v>0</v>
      </c>
    </row>
    <row r="836" spans="1:12" ht="16.8" x14ac:dyDescent="0.3">
      <c r="A836" s="3">
        <v>4</v>
      </c>
      <c r="B836" s="2" t="s">
        <v>14882</v>
      </c>
      <c r="C836" s="33" t="s">
        <v>6</v>
      </c>
      <c r="D836" s="66">
        <v>46296</v>
      </c>
      <c r="E836" s="5">
        <v>50000</v>
      </c>
      <c r="F836" s="66">
        <v>92593</v>
      </c>
      <c r="G836" s="5">
        <v>100000</v>
      </c>
      <c r="I836" s="6">
        <f>VLOOKUP(B836,'GIÁ 1.4'!$D:$F,2,0)</f>
        <v>46296</v>
      </c>
      <c r="J836" s="21">
        <f t="shared" si="113"/>
        <v>0</v>
      </c>
      <c r="K836" s="6">
        <f>VLOOKUP(B836,'GIÁ 1.4'!$D:$F,3,0)</f>
        <v>92593</v>
      </c>
      <c r="L836" s="21">
        <f t="shared" si="114"/>
        <v>0</v>
      </c>
    </row>
    <row r="837" spans="1:12" ht="16.8" x14ac:dyDescent="0.3">
      <c r="A837" s="3">
        <v>5</v>
      </c>
      <c r="B837" s="2" t="s">
        <v>11712</v>
      </c>
      <c r="C837" s="33" t="s">
        <v>6</v>
      </c>
      <c r="D837" s="66">
        <v>46296</v>
      </c>
      <c r="E837" s="5">
        <v>50000</v>
      </c>
      <c r="F837" s="66">
        <v>92593</v>
      </c>
      <c r="G837" s="5">
        <v>100000</v>
      </c>
      <c r="I837" s="6">
        <f>VLOOKUP(B837,'GIÁ 1.4'!$D:$F,2,0)</f>
        <v>46296</v>
      </c>
      <c r="J837" s="21">
        <f t="shared" si="113"/>
        <v>0</v>
      </c>
      <c r="K837" s="6">
        <f>VLOOKUP(B837,'GIÁ 1.4'!$D:$F,3,0)</f>
        <v>92593</v>
      </c>
      <c r="L837" s="21">
        <f t="shared" si="114"/>
        <v>0</v>
      </c>
    </row>
    <row r="838" spans="1:12" ht="16.8" x14ac:dyDescent="0.3">
      <c r="A838" s="3">
        <v>6</v>
      </c>
      <c r="B838" s="2" t="s">
        <v>14884</v>
      </c>
      <c r="C838" s="33" t="s">
        <v>6</v>
      </c>
      <c r="D838" s="66">
        <v>103704</v>
      </c>
      <c r="E838" s="5">
        <v>112000</v>
      </c>
      <c r="F838" s="66">
        <v>207407</v>
      </c>
      <c r="G838" s="5">
        <v>224000</v>
      </c>
      <c r="I838" s="6">
        <f>VLOOKUP(B838,'GIÁ 1.4'!$D:$F,2,0)</f>
        <v>103704</v>
      </c>
      <c r="J838" s="21">
        <f t="shared" si="113"/>
        <v>0</v>
      </c>
      <c r="K838" s="6">
        <f>VLOOKUP(B838,'GIÁ 1.4'!$D:$F,3,0)</f>
        <v>207407</v>
      </c>
      <c r="L838" s="21">
        <f t="shared" si="114"/>
        <v>0</v>
      </c>
    </row>
    <row r="839" spans="1:12" ht="16.8" x14ac:dyDescent="0.3">
      <c r="A839" s="3">
        <v>7</v>
      </c>
      <c r="B839" s="2" t="s">
        <v>13240</v>
      </c>
      <c r="C839" s="33" t="s">
        <v>6</v>
      </c>
      <c r="D839" s="66">
        <v>103704</v>
      </c>
      <c r="E839" s="5">
        <v>112000</v>
      </c>
      <c r="F839" s="66">
        <v>207407</v>
      </c>
      <c r="G839" s="5">
        <v>224000</v>
      </c>
      <c r="I839" s="6">
        <f>VLOOKUP(B839,'GIÁ 1.4'!$D:$F,2,0)</f>
        <v>103704</v>
      </c>
      <c r="J839" s="21">
        <f t="shared" si="113"/>
        <v>0</v>
      </c>
      <c r="K839" s="6">
        <f>VLOOKUP(B839,'GIÁ 1.4'!$D:$F,3,0)</f>
        <v>207407</v>
      </c>
      <c r="L839" s="21">
        <f t="shared" si="114"/>
        <v>0</v>
      </c>
    </row>
    <row r="840" spans="1:12" ht="16.8" x14ac:dyDescent="0.3">
      <c r="A840" s="3">
        <v>8</v>
      </c>
      <c r="B840" s="2" t="s">
        <v>14806</v>
      </c>
      <c r="C840" s="33" t="s">
        <v>6</v>
      </c>
      <c r="D840" s="66">
        <v>103704</v>
      </c>
      <c r="E840" s="5">
        <v>112000</v>
      </c>
      <c r="F840" s="66">
        <v>207407</v>
      </c>
      <c r="G840" s="5">
        <v>224000</v>
      </c>
      <c r="I840" s="6">
        <f>VLOOKUP(B840,'GIÁ 1.4'!$D:$F,2,0)</f>
        <v>103704</v>
      </c>
      <c r="J840" s="21">
        <f t="shared" si="113"/>
        <v>0</v>
      </c>
      <c r="K840" s="6">
        <f>VLOOKUP(B840,'GIÁ 1.4'!$D:$F,3,0)</f>
        <v>207407</v>
      </c>
      <c r="L840" s="21">
        <f t="shared" si="114"/>
        <v>0</v>
      </c>
    </row>
    <row r="841" spans="1:12" ht="16.8" x14ac:dyDescent="0.3">
      <c r="A841" s="3">
        <v>9</v>
      </c>
      <c r="B841" s="2" t="s">
        <v>11716</v>
      </c>
      <c r="C841" s="33" t="s">
        <v>6</v>
      </c>
      <c r="D841" s="66">
        <v>120370</v>
      </c>
      <c r="E841" s="5">
        <v>130000</v>
      </c>
      <c r="F841" s="66">
        <v>240741</v>
      </c>
      <c r="G841" s="5">
        <v>260000</v>
      </c>
      <c r="I841" s="6">
        <f>VLOOKUP(B841,'GIÁ 1.4'!$D:$F,2,0)</f>
        <v>120370</v>
      </c>
      <c r="J841" s="21">
        <f t="shared" si="113"/>
        <v>0</v>
      </c>
      <c r="K841" s="6">
        <f>VLOOKUP(B841,'GIÁ 1.4'!$D:$F,3,0)</f>
        <v>240741</v>
      </c>
      <c r="L841" s="21">
        <f t="shared" si="114"/>
        <v>0</v>
      </c>
    </row>
    <row r="842" spans="1:12" ht="16.8" x14ac:dyDescent="0.3">
      <c r="A842" s="3">
        <v>10</v>
      </c>
      <c r="B842" s="2" t="s">
        <v>13775</v>
      </c>
      <c r="C842" s="33" t="s">
        <v>6</v>
      </c>
      <c r="D842" s="66">
        <v>120370</v>
      </c>
      <c r="E842" s="5">
        <v>130000</v>
      </c>
      <c r="F842" s="66">
        <v>240741</v>
      </c>
      <c r="G842" s="5">
        <v>260000</v>
      </c>
      <c r="I842" s="6">
        <f>VLOOKUP(B842,'GIÁ 1.4'!$D:$F,2,0)</f>
        <v>120370</v>
      </c>
      <c r="J842" s="21">
        <f t="shared" si="113"/>
        <v>0</v>
      </c>
      <c r="K842" s="6">
        <f>VLOOKUP(B842,'GIÁ 1.4'!$D:$F,3,0)</f>
        <v>240741</v>
      </c>
      <c r="L842" s="21">
        <f t="shared" si="114"/>
        <v>0</v>
      </c>
    </row>
    <row r="843" spans="1:12" ht="16.8" x14ac:dyDescent="0.3">
      <c r="A843" s="3">
        <v>11</v>
      </c>
      <c r="B843" s="2" t="s">
        <v>11718</v>
      </c>
      <c r="C843" s="33" t="s">
        <v>6</v>
      </c>
      <c r="D843" s="66">
        <v>157407</v>
      </c>
      <c r="E843" s="5">
        <v>170000</v>
      </c>
      <c r="F843" s="66">
        <v>314815</v>
      </c>
      <c r="G843" s="5">
        <v>340000</v>
      </c>
      <c r="I843" s="6">
        <f>VLOOKUP(B843,'GIÁ 1.4'!$D:$F,2,0)</f>
        <v>157407</v>
      </c>
      <c r="J843" s="21">
        <f t="shared" si="113"/>
        <v>0</v>
      </c>
      <c r="K843" s="6">
        <f>VLOOKUP(B843,'GIÁ 1.4'!$D:$F,3,0)</f>
        <v>314815</v>
      </c>
      <c r="L843" s="21">
        <f t="shared" si="114"/>
        <v>0</v>
      </c>
    </row>
    <row r="844" spans="1:12" ht="16.8" x14ac:dyDescent="0.3">
      <c r="A844" s="3">
        <v>12</v>
      </c>
      <c r="B844" s="2" t="s">
        <v>11155</v>
      </c>
      <c r="C844" s="33" t="s">
        <v>6</v>
      </c>
      <c r="D844" s="66">
        <v>157407</v>
      </c>
      <c r="E844" s="5">
        <v>170000</v>
      </c>
      <c r="F844" s="66">
        <v>314815</v>
      </c>
      <c r="G844" s="5">
        <v>340000</v>
      </c>
      <c r="I844" s="6">
        <f>VLOOKUP(B844,'GIÁ 1.4'!$D:$F,2,0)</f>
        <v>157407</v>
      </c>
      <c r="J844" s="21">
        <f t="shared" si="113"/>
        <v>0</v>
      </c>
      <c r="K844" s="6">
        <f>VLOOKUP(B844,'GIÁ 1.4'!$D:$F,3,0)</f>
        <v>314815</v>
      </c>
      <c r="L844" s="21">
        <f t="shared" si="114"/>
        <v>0</v>
      </c>
    </row>
    <row r="845" spans="1:12" ht="16.8" x14ac:dyDescent="0.3">
      <c r="A845" s="3">
        <v>13</v>
      </c>
      <c r="B845" s="2" t="s">
        <v>11225</v>
      </c>
      <c r="C845" s="33" t="s">
        <v>6</v>
      </c>
      <c r="D845" s="66">
        <v>185185</v>
      </c>
      <c r="E845" s="5">
        <v>200000</v>
      </c>
      <c r="F845" s="66">
        <v>370370</v>
      </c>
      <c r="G845" s="5">
        <v>400000</v>
      </c>
      <c r="I845" s="6">
        <f>VLOOKUP(B845,'GIÁ 1.4'!$D:$F,2,0)</f>
        <v>185185</v>
      </c>
      <c r="J845" s="21">
        <f t="shared" si="113"/>
        <v>0</v>
      </c>
      <c r="K845" s="6">
        <f>VLOOKUP(B845,'GIÁ 1.4'!$D:$F,3,0)</f>
        <v>370370</v>
      </c>
      <c r="L845" s="21">
        <f t="shared" si="114"/>
        <v>0</v>
      </c>
    </row>
    <row r="846" spans="1:12" ht="16.8" x14ac:dyDescent="0.3">
      <c r="A846" s="3">
        <v>14</v>
      </c>
      <c r="B846" s="2" t="s">
        <v>11227</v>
      </c>
      <c r="C846" s="33" t="s">
        <v>6</v>
      </c>
      <c r="D846" s="66">
        <v>185185</v>
      </c>
      <c r="E846" s="5">
        <v>200000</v>
      </c>
      <c r="F846" s="66">
        <v>370370</v>
      </c>
      <c r="G846" s="5">
        <v>400000</v>
      </c>
      <c r="I846" s="6">
        <f>VLOOKUP(B846,'GIÁ 1.4'!$D:$F,2,0)</f>
        <v>185185</v>
      </c>
      <c r="J846" s="21">
        <f t="shared" si="113"/>
        <v>0</v>
      </c>
      <c r="K846" s="6">
        <f>VLOOKUP(B846,'GIÁ 1.4'!$D:$F,3,0)</f>
        <v>370370</v>
      </c>
      <c r="L846" s="21">
        <f t="shared" si="114"/>
        <v>0</v>
      </c>
    </row>
    <row r="847" spans="1:12" ht="16.8" x14ac:dyDescent="0.3">
      <c r="A847" s="3">
        <v>15</v>
      </c>
      <c r="B847" s="2" t="s">
        <v>15365</v>
      </c>
      <c r="C847" s="33" t="s">
        <v>6</v>
      </c>
      <c r="D847" s="66">
        <v>35185</v>
      </c>
      <c r="E847" s="5">
        <v>38000</v>
      </c>
      <c r="F847" s="66">
        <v>70370</v>
      </c>
      <c r="G847" s="5">
        <v>76000</v>
      </c>
      <c r="I847" s="6">
        <f>VLOOKUP(B847,'GIÁ 1.4'!$D:$F,2,0)</f>
        <v>35185</v>
      </c>
      <c r="J847" s="21">
        <f t="shared" si="113"/>
        <v>0</v>
      </c>
      <c r="K847" s="6">
        <f>VLOOKUP(B847,'GIÁ 1.4'!$D:$F,3,0)</f>
        <v>70370</v>
      </c>
      <c r="L847" s="21">
        <f t="shared" si="114"/>
        <v>0</v>
      </c>
    </row>
    <row r="848" spans="1:12" ht="16.8" x14ac:dyDescent="0.3">
      <c r="A848" s="3">
        <v>16</v>
      </c>
      <c r="B848" s="2" t="s">
        <v>11223</v>
      </c>
      <c r="C848" s="33" t="s">
        <v>6</v>
      </c>
      <c r="D848" s="66">
        <v>35185</v>
      </c>
      <c r="E848" s="5">
        <v>38000</v>
      </c>
      <c r="F848" s="66">
        <v>70370</v>
      </c>
      <c r="G848" s="5">
        <v>76000</v>
      </c>
      <c r="I848" s="6">
        <f>VLOOKUP(B848,'GIÁ 1.4'!$D:$F,2,0)</f>
        <v>35185</v>
      </c>
      <c r="J848" s="21">
        <f t="shared" si="113"/>
        <v>0</v>
      </c>
      <c r="K848" s="6">
        <f>VLOOKUP(B848,'GIÁ 1.4'!$D:$F,3,0)</f>
        <v>70370</v>
      </c>
      <c r="L848" s="21">
        <f t="shared" si="114"/>
        <v>0</v>
      </c>
    </row>
    <row r="849" spans="1:12" ht="16.8" x14ac:dyDescent="0.3">
      <c r="A849" s="3">
        <v>17</v>
      </c>
      <c r="B849" s="2" t="s">
        <v>12506</v>
      </c>
      <c r="C849" s="33" t="s">
        <v>6</v>
      </c>
      <c r="D849" s="66">
        <v>35185</v>
      </c>
      <c r="E849" s="5">
        <v>38000</v>
      </c>
      <c r="F849" s="66">
        <v>70370</v>
      </c>
      <c r="G849" s="5">
        <v>76000</v>
      </c>
      <c r="I849" s="6">
        <f>VLOOKUP(B849,'GIÁ 1.4'!$D:$F,2,0)</f>
        <v>35185</v>
      </c>
      <c r="J849" s="21">
        <f t="shared" si="113"/>
        <v>0</v>
      </c>
      <c r="K849" s="6">
        <f>VLOOKUP(B849,'GIÁ 1.4'!$D:$F,3,0)</f>
        <v>70370</v>
      </c>
      <c r="L849" s="21">
        <f t="shared" si="114"/>
        <v>0</v>
      </c>
    </row>
    <row r="850" spans="1:12" ht="16.8" x14ac:dyDescent="0.3">
      <c r="A850" s="3">
        <v>18</v>
      </c>
      <c r="B850" s="17" t="s">
        <v>12165</v>
      </c>
      <c r="C850" s="23" t="s">
        <v>6</v>
      </c>
      <c r="D850" s="68">
        <v>35185</v>
      </c>
      <c r="E850" s="19">
        <f t="shared" ref="E850:E858" si="115">D850*1.08</f>
        <v>37999.800000000003</v>
      </c>
      <c r="F850" s="68">
        <v>70370</v>
      </c>
      <c r="G850" s="19">
        <v>76000</v>
      </c>
      <c r="I850" s="6">
        <f>VLOOKUP(B850,'GIÁ 1.4'!$D:$F,2,0)</f>
        <v>35185</v>
      </c>
      <c r="J850" s="21">
        <f t="shared" si="113"/>
        <v>0</v>
      </c>
      <c r="K850" s="6">
        <f>VLOOKUP(B850,'GIÁ 1.4'!$D:$F,3,0)</f>
        <v>70370</v>
      </c>
      <c r="L850" s="21">
        <f t="shared" si="114"/>
        <v>0</v>
      </c>
    </row>
    <row r="851" spans="1:12" ht="16.8" x14ac:dyDescent="0.3">
      <c r="A851" s="3">
        <f t="shared" ref="A851:A868" si="116">+A850+1</f>
        <v>19</v>
      </c>
      <c r="B851" s="17" t="s">
        <v>15220</v>
      </c>
      <c r="C851" s="23" t="s">
        <v>6</v>
      </c>
      <c r="D851" s="68">
        <v>35185</v>
      </c>
      <c r="E851" s="19">
        <f t="shared" si="115"/>
        <v>37999.800000000003</v>
      </c>
      <c r="F851" s="68">
        <v>70370</v>
      </c>
      <c r="G851" s="19">
        <v>76000</v>
      </c>
      <c r="I851" s="6">
        <f>VLOOKUP(B851,'GIÁ 1.4'!$D:$F,2,0)</f>
        <v>35185</v>
      </c>
      <c r="J851" s="21">
        <f t="shared" si="113"/>
        <v>0</v>
      </c>
      <c r="K851" s="6">
        <f>VLOOKUP(B851,'GIÁ 1.4'!$D:$F,3,0)</f>
        <v>70370</v>
      </c>
      <c r="L851" s="21">
        <f t="shared" si="114"/>
        <v>0</v>
      </c>
    </row>
    <row r="852" spans="1:12" ht="16.8" x14ac:dyDescent="0.3">
      <c r="A852" s="3">
        <f t="shared" si="116"/>
        <v>20</v>
      </c>
      <c r="B852" s="17" t="s">
        <v>12163</v>
      </c>
      <c r="C852" s="18" t="s">
        <v>6</v>
      </c>
      <c r="D852" s="68">
        <v>140000</v>
      </c>
      <c r="E852" s="19">
        <f t="shared" si="115"/>
        <v>151200</v>
      </c>
      <c r="F852" s="68">
        <v>279630</v>
      </c>
      <c r="G852" s="19">
        <v>302000</v>
      </c>
      <c r="I852" s="6">
        <f>VLOOKUP(B852,'GIÁ 1.4'!$D:$F,2,0)</f>
        <v>140000</v>
      </c>
      <c r="J852" s="21">
        <f t="shared" si="113"/>
        <v>0</v>
      </c>
      <c r="K852" s="6">
        <f>VLOOKUP(B852,'GIÁ 1.4'!$D:$F,3,0)</f>
        <v>279630</v>
      </c>
      <c r="L852" s="21">
        <f t="shared" si="114"/>
        <v>0</v>
      </c>
    </row>
    <row r="853" spans="1:12" ht="16.8" x14ac:dyDescent="0.3">
      <c r="A853" s="3">
        <f t="shared" si="116"/>
        <v>21</v>
      </c>
      <c r="B853" s="17" t="s">
        <v>12317</v>
      </c>
      <c r="C853" s="18" t="s">
        <v>6</v>
      </c>
      <c r="D853" s="68">
        <v>140000</v>
      </c>
      <c r="E853" s="19">
        <f t="shared" si="115"/>
        <v>151200</v>
      </c>
      <c r="F853" s="68">
        <v>279630</v>
      </c>
      <c r="G853" s="19">
        <v>302000</v>
      </c>
      <c r="I853" s="6">
        <f>VLOOKUP(B853,'GIÁ 1.4'!$D:$F,2,0)</f>
        <v>140000</v>
      </c>
      <c r="J853" s="21">
        <f t="shared" si="113"/>
        <v>0</v>
      </c>
      <c r="K853" s="6">
        <f>VLOOKUP(B853,'GIÁ 1.4'!$D:$F,3,0)</f>
        <v>279630</v>
      </c>
      <c r="L853" s="21">
        <f t="shared" si="114"/>
        <v>0</v>
      </c>
    </row>
    <row r="854" spans="1:12" ht="16.8" x14ac:dyDescent="0.3">
      <c r="A854" s="3">
        <f t="shared" si="116"/>
        <v>22</v>
      </c>
      <c r="B854" s="17" t="s">
        <v>12514</v>
      </c>
      <c r="C854" s="18" t="s">
        <v>6</v>
      </c>
      <c r="D854" s="68">
        <v>140000</v>
      </c>
      <c r="E854" s="19">
        <f t="shared" si="115"/>
        <v>151200</v>
      </c>
      <c r="F854" s="68">
        <v>279630</v>
      </c>
      <c r="G854" s="19">
        <v>302000</v>
      </c>
      <c r="I854" s="6">
        <f>VLOOKUP(B854,'GIÁ 1.4'!$D:$F,2,0)</f>
        <v>140000</v>
      </c>
      <c r="J854" s="21">
        <f t="shared" si="113"/>
        <v>0</v>
      </c>
      <c r="K854" s="6">
        <f>VLOOKUP(B854,'GIÁ 1.4'!$D:$F,3,0)</f>
        <v>279630</v>
      </c>
      <c r="L854" s="21">
        <f t="shared" si="114"/>
        <v>0</v>
      </c>
    </row>
    <row r="855" spans="1:12" ht="16.8" x14ac:dyDescent="0.3">
      <c r="A855" s="3">
        <f t="shared" si="116"/>
        <v>23</v>
      </c>
      <c r="B855" s="17" t="s">
        <v>11231</v>
      </c>
      <c r="C855" s="18" t="s">
        <v>6</v>
      </c>
      <c r="D855" s="68">
        <v>140000</v>
      </c>
      <c r="E855" s="19">
        <f t="shared" si="115"/>
        <v>151200</v>
      </c>
      <c r="F855" s="68">
        <v>279630</v>
      </c>
      <c r="G855" s="19">
        <v>302000</v>
      </c>
      <c r="I855" s="6">
        <f>VLOOKUP(B855,'GIÁ 1.4'!$D:$F,2,0)</f>
        <v>140000</v>
      </c>
      <c r="J855" s="21">
        <f t="shared" si="113"/>
        <v>0</v>
      </c>
      <c r="K855" s="6">
        <f>VLOOKUP(B855,'GIÁ 1.4'!$D:$F,3,0)</f>
        <v>279630</v>
      </c>
      <c r="L855" s="21">
        <f t="shared" si="114"/>
        <v>0</v>
      </c>
    </row>
    <row r="856" spans="1:12" ht="16.8" x14ac:dyDescent="0.3">
      <c r="A856" s="3">
        <f t="shared" si="116"/>
        <v>24</v>
      </c>
      <c r="B856" s="17" t="s">
        <v>9477</v>
      </c>
      <c r="C856" s="18" t="s">
        <v>6</v>
      </c>
      <c r="D856" s="68">
        <v>170000</v>
      </c>
      <c r="E856" s="19">
        <f t="shared" si="115"/>
        <v>183600</v>
      </c>
      <c r="F856" s="68">
        <v>339815</v>
      </c>
      <c r="G856" s="19">
        <v>367000</v>
      </c>
      <c r="I856" s="6">
        <f>VLOOKUP(B856,'GIÁ 1.4'!$D:$F,2,0)</f>
        <v>170000</v>
      </c>
      <c r="J856" s="21">
        <f t="shared" si="113"/>
        <v>0</v>
      </c>
      <c r="K856" s="6">
        <f>VLOOKUP(B856,'GIÁ 1.4'!$D:$F,3,0)</f>
        <v>339815</v>
      </c>
      <c r="L856" s="21">
        <f t="shared" si="114"/>
        <v>0</v>
      </c>
    </row>
    <row r="857" spans="1:12" ht="16.8" x14ac:dyDescent="0.3">
      <c r="A857" s="3">
        <f t="shared" si="116"/>
        <v>25</v>
      </c>
      <c r="B857" s="17" t="s">
        <v>11100</v>
      </c>
      <c r="C857" s="18" t="s">
        <v>6</v>
      </c>
      <c r="D857" s="68">
        <v>170000</v>
      </c>
      <c r="E857" s="19">
        <f t="shared" si="115"/>
        <v>183600</v>
      </c>
      <c r="F857" s="68">
        <v>339815</v>
      </c>
      <c r="G857" s="19">
        <v>367000</v>
      </c>
      <c r="I857" s="6">
        <f>VLOOKUP(B857,'GIÁ 1.4'!$D:$F,2,0)</f>
        <v>170000</v>
      </c>
      <c r="J857" s="21">
        <f t="shared" si="113"/>
        <v>0</v>
      </c>
      <c r="K857" s="6">
        <f>VLOOKUP(B857,'GIÁ 1.4'!$D:$F,3,0)</f>
        <v>339815</v>
      </c>
      <c r="L857" s="21">
        <f t="shared" si="114"/>
        <v>0</v>
      </c>
    </row>
    <row r="858" spans="1:12" ht="16.8" x14ac:dyDescent="0.3">
      <c r="A858" s="3">
        <f t="shared" si="116"/>
        <v>26</v>
      </c>
      <c r="B858" s="17" t="s">
        <v>14129</v>
      </c>
      <c r="C858" s="18" t="s">
        <v>6</v>
      </c>
      <c r="D858" s="68">
        <v>4000</v>
      </c>
      <c r="E858" s="19">
        <f t="shared" si="115"/>
        <v>4320</v>
      </c>
      <c r="F858" s="68">
        <v>7963</v>
      </c>
      <c r="G858" s="19">
        <v>8600</v>
      </c>
      <c r="I858" s="6">
        <f>VLOOKUP(B858,'GIÁ 1.4'!$D:$F,2,0)</f>
        <v>4000</v>
      </c>
      <c r="J858" s="21">
        <f t="shared" si="113"/>
        <v>0</v>
      </c>
      <c r="K858" s="6">
        <f>VLOOKUP(B858,'GIÁ 1.4'!$D:$F,3,0)</f>
        <v>7963</v>
      </c>
      <c r="L858" s="21">
        <f t="shared" si="114"/>
        <v>0</v>
      </c>
    </row>
    <row r="859" spans="1:12" ht="16.8" x14ac:dyDescent="0.3">
      <c r="A859" s="3">
        <f t="shared" si="116"/>
        <v>27</v>
      </c>
      <c r="B859" s="2" t="s">
        <v>15351</v>
      </c>
      <c r="C859" s="33" t="s">
        <v>6</v>
      </c>
      <c r="D859" s="66">
        <v>101852</v>
      </c>
      <c r="E859" s="5">
        <v>110000</v>
      </c>
      <c r="F859" s="66">
        <v>203704</v>
      </c>
      <c r="G859" s="5">
        <v>220000</v>
      </c>
      <c r="I859" s="6">
        <f>VLOOKUP(B859,'GIÁ 1.4'!$D:$F,2,0)</f>
        <v>101852</v>
      </c>
      <c r="J859" s="21">
        <f t="shared" si="113"/>
        <v>0</v>
      </c>
      <c r="K859" s="6">
        <f>VLOOKUP(B859,'GIÁ 1.4'!$D:$F,3,0)</f>
        <v>203704</v>
      </c>
      <c r="L859" s="21">
        <f t="shared" si="114"/>
        <v>0</v>
      </c>
    </row>
    <row r="860" spans="1:12" ht="16.8" x14ac:dyDescent="0.3">
      <c r="A860" s="3">
        <f t="shared" si="116"/>
        <v>28</v>
      </c>
      <c r="B860" s="2" t="s">
        <v>15353</v>
      </c>
      <c r="C860" s="33" t="s">
        <v>6</v>
      </c>
      <c r="D860" s="66">
        <v>181481</v>
      </c>
      <c r="E860" s="5">
        <v>196000</v>
      </c>
      <c r="F860" s="66">
        <v>362963</v>
      </c>
      <c r="G860" s="5">
        <v>392000</v>
      </c>
      <c r="I860" s="6">
        <f>VLOOKUP(B860,'GIÁ 1.4'!$D:$F,2,0)</f>
        <v>181481</v>
      </c>
      <c r="J860" s="21">
        <f t="shared" si="113"/>
        <v>0</v>
      </c>
      <c r="K860" s="6">
        <f>VLOOKUP(B860,'GIÁ 1.4'!$D:$F,3,0)</f>
        <v>362963</v>
      </c>
      <c r="L860" s="21">
        <f t="shared" si="114"/>
        <v>0</v>
      </c>
    </row>
    <row r="861" spans="1:12" ht="16.8" x14ac:dyDescent="0.3">
      <c r="A861" s="3">
        <f t="shared" si="116"/>
        <v>29</v>
      </c>
      <c r="B861" s="2" t="s">
        <v>15569</v>
      </c>
      <c r="C861" s="33" t="s">
        <v>6</v>
      </c>
      <c r="D861" s="66">
        <v>212963</v>
      </c>
      <c r="E861" s="5">
        <v>230000</v>
      </c>
      <c r="F861" s="66">
        <v>425926</v>
      </c>
      <c r="G861" s="5">
        <v>460000</v>
      </c>
      <c r="I861" s="6">
        <f>VLOOKUP(B861,'GIÁ 1.4'!$D:$F,2,0)</f>
        <v>212963</v>
      </c>
      <c r="J861" s="21">
        <f t="shared" si="113"/>
        <v>0</v>
      </c>
      <c r="K861" s="6">
        <f>VLOOKUP(B861,'GIÁ 1.4'!$D:$F,3,0)</f>
        <v>425926</v>
      </c>
      <c r="L861" s="21">
        <f t="shared" si="114"/>
        <v>0</v>
      </c>
    </row>
    <row r="862" spans="1:12" ht="16.8" x14ac:dyDescent="0.3">
      <c r="A862" s="3">
        <f t="shared" si="116"/>
        <v>30</v>
      </c>
      <c r="B862" s="2" t="s">
        <v>13319</v>
      </c>
      <c r="C862" s="33" t="s">
        <v>6</v>
      </c>
      <c r="D862" s="66">
        <v>268519</v>
      </c>
      <c r="E862" s="5">
        <v>290000</v>
      </c>
      <c r="F862" s="66">
        <v>537037</v>
      </c>
      <c r="G862" s="5">
        <v>580000</v>
      </c>
      <c r="I862" s="6">
        <f>VLOOKUP(B862,'GIÁ 1.4'!$D:$F,2,0)</f>
        <v>268519</v>
      </c>
      <c r="J862" s="21">
        <f t="shared" si="113"/>
        <v>0</v>
      </c>
      <c r="K862" s="6">
        <f>VLOOKUP(B862,'GIÁ 1.4'!$D:$F,3,0)</f>
        <v>537037</v>
      </c>
      <c r="L862" s="21">
        <f t="shared" si="114"/>
        <v>0</v>
      </c>
    </row>
    <row r="863" spans="1:12" ht="16.8" x14ac:dyDescent="0.3">
      <c r="A863" s="3">
        <f t="shared" si="116"/>
        <v>31</v>
      </c>
      <c r="B863" s="2" t="s">
        <v>14004</v>
      </c>
      <c r="C863" s="33" t="s">
        <v>6</v>
      </c>
      <c r="D863" s="66">
        <v>305556</v>
      </c>
      <c r="E863" s="5">
        <v>330000</v>
      </c>
      <c r="F863" s="66">
        <v>611111</v>
      </c>
      <c r="G863" s="5">
        <v>660000</v>
      </c>
      <c r="I863" s="6">
        <f>VLOOKUP(B863,'GIÁ 1.4'!$D:$F,2,0)</f>
        <v>305556</v>
      </c>
      <c r="J863" s="21">
        <f t="shared" si="113"/>
        <v>0</v>
      </c>
      <c r="K863" s="6">
        <f>VLOOKUP(B863,'GIÁ 1.4'!$D:$F,3,0)</f>
        <v>611111</v>
      </c>
      <c r="L863" s="21">
        <f t="shared" si="114"/>
        <v>0</v>
      </c>
    </row>
    <row r="864" spans="1:12" ht="16.8" x14ac:dyDescent="0.3">
      <c r="A864" s="3">
        <f t="shared" si="116"/>
        <v>32</v>
      </c>
      <c r="B864" s="2" t="s">
        <v>10923</v>
      </c>
      <c r="C864" s="33" t="s">
        <v>6</v>
      </c>
      <c r="D864" s="66">
        <v>111111</v>
      </c>
      <c r="E864" s="5">
        <v>120000</v>
      </c>
      <c r="F864" s="66">
        <v>222222</v>
      </c>
      <c r="G864" s="5">
        <v>240000</v>
      </c>
      <c r="I864" s="6">
        <f>VLOOKUP(B864,'GIÁ 1.4'!$D:$F,2,0)</f>
        <v>111111</v>
      </c>
      <c r="J864" s="21">
        <f t="shared" si="113"/>
        <v>0</v>
      </c>
      <c r="K864" s="6">
        <f>VLOOKUP(B864,'GIÁ 1.4'!$D:$F,3,0)</f>
        <v>222222</v>
      </c>
      <c r="L864" s="21">
        <f t="shared" si="114"/>
        <v>0</v>
      </c>
    </row>
    <row r="865" spans="1:12" ht="16.8" x14ac:dyDescent="0.3">
      <c r="A865" s="3">
        <f t="shared" si="116"/>
        <v>33</v>
      </c>
      <c r="B865" s="2" t="s">
        <v>14042</v>
      </c>
      <c r="C865" s="33" t="s">
        <v>6</v>
      </c>
      <c r="D865" s="66">
        <v>203704</v>
      </c>
      <c r="E865" s="5">
        <v>220000</v>
      </c>
      <c r="F865" s="66">
        <v>407407</v>
      </c>
      <c r="G865" s="5">
        <v>440000</v>
      </c>
      <c r="I865" s="6">
        <f>VLOOKUP(B865,'GIÁ 1.4'!$D:$F,2,0)</f>
        <v>203704</v>
      </c>
      <c r="J865" s="21">
        <f t="shared" si="113"/>
        <v>0</v>
      </c>
      <c r="K865" s="6">
        <f>VLOOKUP(B865,'GIÁ 1.4'!$D:$F,3,0)</f>
        <v>407407</v>
      </c>
      <c r="L865" s="21">
        <f t="shared" si="114"/>
        <v>0</v>
      </c>
    </row>
    <row r="866" spans="1:12" ht="16.8" x14ac:dyDescent="0.3">
      <c r="A866" s="3">
        <f t="shared" si="116"/>
        <v>34</v>
      </c>
      <c r="B866" s="2" t="s">
        <v>13628</v>
      </c>
      <c r="C866" s="33" t="s">
        <v>6</v>
      </c>
      <c r="D866" s="66">
        <v>240741</v>
      </c>
      <c r="E866" s="5">
        <v>260000</v>
      </c>
      <c r="F866" s="66">
        <v>481481</v>
      </c>
      <c r="G866" s="5">
        <v>520000</v>
      </c>
      <c r="I866" s="6">
        <f>VLOOKUP(B866,'GIÁ 1.4'!$D:$F,2,0)</f>
        <v>240741</v>
      </c>
      <c r="J866" s="21">
        <f t="shared" si="113"/>
        <v>0</v>
      </c>
      <c r="K866" s="6">
        <f>VLOOKUP(B866,'GIÁ 1.4'!$D:$F,3,0)</f>
        <v>481481</v>
      </c>
      <c r="L866" s="21">
        <f t="shared" si="114"/>
        <v>0</v>
      </c>
    </row>
    <row r="867" spans="1:12" ht="16.8" x14ac:dyDescent="0.3">
      <c r="A867" s="3">
        <f t="shared" si="116"/>
        <v>35</v>
      </c>
      <c r="B867" s="2" t="s">
        <v>12040</v>
      </c>
      <c r="C867" s="33" t="s">
        <v>6</v>
      </c>
      <c r="D867" s="66">
        <v>305556</v>
      </c>
      <c r="E867" s="5">
        <v>330000</v>
      </c>
      <c r="F867" s="66">
        <v>611111</v>
      </c>
      <c r="G867" s="5">
        <v>660000</v>
      </c>
      <c r="I867" s="6">
        <f>VLOOKUP(B867,'GIÁ 1.4'!$D:$F,2,0)</f>
        <v>305556</v>
      </c>
      <c r="J867" s="21">
        <f t="shared" si="113"/>
        <v>0</v>
      </c>
      <c r="K867" s="6">
        <f>VLOOKUP(B867,'GIÁ 1.4'!$D:$F,3,0)</f>
        <v>611111</v>
      </c>
      <c r="L867" s="21">
        <f t="shared" si="114"/>
        <v>0</v>
      </c>
    </row>
    <row r="868" spans="1:12" ht="16.8" x14ac:dyDescent="0.3">
      <c r="A868" s="3">
        <f t="shared" si="116"/>
        <v>36</v>
      </c>
      <c r="B868" s="2" t="s">
        <v>12042</v>
      </c>
      <c r="C868" s="33" t="s">
        <v>6</v>
      </c>
      <c r="D868" s="66">
        <v>342593</v>
      </c>
      <c r="E868" s="5">
        <v>370000</v>
      </c>
      <c r="F868" s="66">
        <v>685185</v>
      </c>
      <c r="G868" s="5">
        <v>740000</v>
      </c>
      <c r="I868" s="6">
        <f>VLOOKUP(B868,'GIÁ 1.4'!$D:$F,2,0)</f>
        <v>342593</v>
      </c>
      <c r="J868" s="21">
        <f t="shared" si="113"/>
        <v>0</v>
      </c>
      <c r="K868" s="6">
        <f>VLOOKUP(B868,'GIÁ 1.4'!$D:$F,3,0)</f>
        <v>685185</v>
      </c>
      <c r="L868" s="21">
        <f t="shared" si="114"/>
        <v>0</v>
      </c>
    </row>
    <row r="869" spans="1:12" x14ac:dyDescent="0.3">
      <c r="J869" s="21"/>
      <c r="L869" s="21"/>
    </row>
  </sheetData>
  <autoFilter ref="A4:L868">
    <filterColumn colId="3" showButton="0"/>
    <filterColumn colId="5" showButton="0"/>
  </autoFilter>
  <mergeCells count="8">
    <mergeCell ref="A1:B1"/>
    <mergeCell ref="A2:B2"/>
    <mergeCell ref="A3:G3"/>
    <mergeCell ref="A4:A5"/>
    <mergeCell ref="B4:B5"/>
    <mergeCell ref="C4:C5"/>
    <mergeCell ref="D4:E4"/>
    <mergeCell ref="F4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68"/>
  <sheetViews>
    <sheetView workbookViewId="0">
      <selection activeCell="H16" sqref="H16"/>
    </sheetView>
  </sheetViews>
  <sheetFormatPr defaultRowHeight="14.4" x14ac:dyDescent="0.3"/>
  <cols>
    <col min="2" max="2" width="0" hidden="1" customWidth="1"/>
    <col min="3" max="3" width="12.44140625" customWidth="1"/>
    <col min="4" max="4" width="56.77734375" customWidth="1"/>
    <col min="5" max="5" width="13.6640625" style="15" bestFit="1" customWidth="1"/>
    <col min="6" max="6" width="14.6640625" style="16" bestFit="1" customWidth="1"/>
  </cols>
  <sheetData>
    <row r="1" spans="1:6" x14ac:dyDescent="0.3">
      <c r="C1" s="9"/>
      <c r="D1" s="9" t="s">
        <v>135</v>
      </c>
      <c r="E1" s="9" t="s">
        <v>136</v>
      </c>
      <c r="F1" s="9" t="s">
        <v>137</v>
      </c>
    </row>
    <row r="2" spans="1:6" ht="43.2" x14ac:dyDescent="0.3">
      <c r="A2" s="10" t="s">
        <v>138</v>
      </c>
      <c r="B2" s="10" t="s">
        <v>139</v>
      </c>
      <c r="C2" s="10" t="s">
        <v>140</v>
      </c>
      <c r="D2" s="10" t="s">
        <v>141</v>
      </c>
      <c r="E2" s="11" t="s">
        <v>142</v>
      </c>
      <c r="F2" s="12" t="s">
        <v>143</v>
      </c>
    </row>
    <row r="3" spans="1:6" x14ac:dyDescent="0.3">
      <c r="A3" s="8">
        <v>1</v>
      </c>
      <c r="B3" s="8" t="s">
        <v>144</v>
      </c>
      <c r="C3" s="8" t="s">
        <v>145</v>
      </c>
      <c r="D3" s="8" t="s">
        <v>146</v>
      </c>
      <c r="E3" s="13">
        <v>0</v>
      </c>
      <c r="F3" s="14">
        <v>0</v>
      </c>
    </row>
    <row r="4" spans="1:6" x14ac:dyDescent="0.3">
      <c r="A4" s="8">
        <v>2</v>
      </c>
      <c r="B4" s="8" t="s">
        <v>144</v>
      </c>
      <c r="C4" s="8" t="s">
        <v>147</v>
      </c>
      <c r="D4" s="8" t="s">
        <v>148</v>
      </c>
      <c r="E4" s="13">
        <v>0</v>
      </c>
      <c r="F4" s="14">
        <v>0</v>
      </c>
    </row>
    <row r="5" spans="1:6" x14ac:dyDescent="0.3">
      <c r="A5" s="8">
        <v>3</v>
      </c>
      <c r="B5" s="8" t="s">
        <v>144</v>
      </c>
      <c r="C5" s="8" t="s">
        <v>149</v>
      </c>
      <c r="D5" s="8" t="s">
        <v>150</v>
      </c>
      <c r="E5" s="13">
        <v>0</v>
      </c>
      <c r="F5" s="14">
        <v>0</v>
      </c>
    </row>
    <row r="6" spans="1:6" x14ac:dyDescent="0.3">
      <c r="A6" s="8">
        <v>4</v>
      </c>
      <c r="B6" s="8" t="s">
        <v>144</v>
      </c>
      <c r="C6" s="8" t="s">
        <v>151</v>
      </c>
      <c r="D6" s="8" t="s">
        <v>152</v>
      </c>
      <c r="E6" s="13">
        <v>503000</v>
      </c>
      <c r="F6" s="14">
        <v>1006000</v>
      </c>
    </row>
    <row r="7" spans="1:6" x14ac:dyDescent="0.3">
      <c r="A7" s="8">
        <v>5</v>
      </c>
      <c r="B7" s="8" t="s">
        <v>144</v>
      </c>
      <c r="C7" s="8" t="s">
        <v>153</v>
      </c>
      <c r="D7" s="8" t="s">
        <v>154</v>
      </c>
      <c r="E7" s="13">
        <v>58600</v>
      </c>
      <c r="F7" s="14">
        <v>103704</v>
      </c>
    </row>
    <row r="8" spans="1:6" x14ac:dyDescent="0.3">
      <c r="A8" s="8">
        <v>6</v>
      </c>
      <c r="B8" s="8" t="s">
        <v>144</v>
      </c>
      <c r="C8" s="8" t="s">
        <v>155</v>
      </c>
      <c r="D8" s="8" t="s">
        <v>156</v>
      </c>
      <c r="E8" s="13">
        <v>0</v>
      </c>
      <c r="F8" s="14">
        <v>645370</v>
      </c>
    </row>
    <row r="9" spans="1:6" x14ac:dyDescent="0.3">
      <c r="A9" s="8">
        <v>7</v>
      </c>
      <c r="B9" s="8" t="s">
        <v>144</v>
      </c>
      <c r="C9" s="8" t="s">
        <v>157</v>
      </c>
      <c r="D9" s="8" t="s">
        <v>158</v>
      </c>
      <c r="E9" s="13">
        <v>550000</v>
      </c>
      <c r="F9" s="14">
        <v>882407</v>
      </c>
    </row>
    <row r="10" spans="1:6" x14ac:dyDescent="0.3">
      <c r="A10" s="8">
        <v>8</v>
      </c>
      <c r="B10" s="8" t="s">
        <v>144</v>
      </c>
      <c r="C10" s="8" t="s">
        <v>159</v>
      </c>
      <c r="D10" s="8" t="s">
        <v>160</v>
      </c>
      <c r="E10" s="13">
        <v>0</v>
      </c>
      <c r="F10" s="14">
        <v>0</v>
      </c>
    </row>
    <row r="11" spans="1:6" x14ac:dyDescent="0.3">
      <c r="A11" s="8">
        <v>9</v>
      </c>
      <c r="B11" s="8" t="s">
        <v>144</v>
      </c>
      <c r="C11" s="8" t="s">
        <v>161</v>
      </c>
      <c r="D11" s="8" t="s">
        <v>162</v>
      </c>
      <c r="E11" s="13">
        <v>99000</v>
      </c>
      <c r="F11" s="14">
        <v>198148</v>
      </c>
    </row>
    <row r="12" spans="1:6" x14ac:dyDescent="0.3">
      <c r="A12" s="8">
        <v>10</v>
      </c>
      <c r="B12" s="8" t="s">
        <v>144</v>
      </c>
      <c r="C12" s="8" t="s">
        <v>163</v>
      </c>
      <c r="D12" s="8" t="s">
        <v>164</v>
      </c>
      <c r="E12" s="13">
        <v>84900</v>
      </c>
      <c r="F12" s="14">
        <v>179630</v>
      </c>
    </row>
    <row r="13" spans="1:6" x14ac:dyDescent="0.3">
      <c r="A13" s="8">
        <v>11</v>
      </c>
      <c r="B13" s="8" t="s">
        <v>144</v>
      </c>
      <c r="C13" s="8" t="s">
        <v>165</v>
      </c>
      <c r="D13" s="8" t="s">
        <v>166</v>
      </c>
      <c r="E13" s="13">
        <v>0</v>
      </c>
      <c r="F13" s="14">
        <v>0</v>
      </c>
    </row>
    <row r="14" spans="1:6" x14ac:dyDescent="0.3">
      <c r="A14" s="8">
        <v>12</v>
      </c>
      <c r="B14" s="8" t="s">
        <v>144</v>
      </c>
      <c r="C14" s="8" t="s">
        <v>167</v>
      </c>
      <c r="D14" s="8" t="s">
        <v>168</v>
      </c>
      <c r="E14" s="13">
        <v>0</v>
      </c>
      <c r="F14" s="14">
        <v>2170000</v>
      </c>
    </row>
    <row r="15" spans="1:6" x14ac:dyDescent="0.3">
      <c r="A15" s="8">
        <v>13</v>
      </c>
      <c r="B15" s="8" t="s">
        <v>144</v>
      </c>
      <c r="C15" s="8" t="s">
        <v>169</v>
      </c>
      <c r="D15" s="8" t="s">
        <v>170</v>
      </c>
      <c r="E15" s="13">
        <v>126000</v>
      </c>
      <c r="F15" s="14">
        <v>251852</v>
      </c>
    </row>
    <row r="16" spans="1:6" x14ac:dyDescent="0.3">
      <c r="A16" s="8">
        <v>14</v>
      </c>
      <c r="B16" s="8" t="s">
        <v>144</v>
      </c>
      <c r="C16" s="8" t="s">
        <v>171</v>
      </c>
      <c r="D16" s="8" t="s">
        <v>172</v>
      </c>
      <c r="E16" s="13">
        <v>146000</v>
      </c>
      <c r="F16" s="14">
        <v>291667</v>
      </c>
    </row>
    <row r="17" spans="1:6" x14ac:dyDescent="0.3">
      <c r="A17" s="8">
        <v>15</v>
      </c>
      <c r="B17" s="8" t="s">
        <v>144</v>
      </c>
      <c r="C17" s="8" t="s">
        <v>173</v>
      </c>
      <c r="D17" s="8" t="s">
        <v>174</v>
      </c>
      <c r="E17" s="13">
        <v>0</v>
      </c>
      <c r="F17" s="14">
        <v>0</v>
      </c>
    </row>
    <row r="18" spans="1:6" x14ac:dyDescent="0.3">
      <c r="A18" s="8">
        <v>16</v>
      </c>
      <c r="B18" s="8" t="s">
        <v>144</v>
      </c>
      <c r="C18" s="8" t="s">
        <v>175</v>
      </c>
      <c r="D18" s="8" t="s">
        <v>176</v>
      </c>
      <c r="E18" s="13">
        <v>442000</v>
      </c>
      <c r="F18" s="14">
        <v>710185</v>
      </c>
    </row>
    <row r="19" spans="1:6" x14ac:dyDescent="0.3">
      <c r="A19" s="8">
        <v>17</v>
      </c>
      <c r="B19" s="8" t="s">
        <v>144</v>
      </c>
      <c r="C19" s="8" t="s">
        <v>177</v>
      </c>
      <c r="D19" s="8" t="s">
        <v>178</v>
      </c>
      <c r="E19" s="13">
        <v>126000</v>
      </c>
      <c r="F19" s="14">
        <v>251852</v>
      </c>
    </row>
    <row r="20" spans="1:6" x14ac:dyDescent="0.3">
      <c r="A20" s="8">
        <v>18</v>
      </c>
      <c r="B20" s="8" t="s">
        <v>144</v>
      </c>
      <c r="C20" s="8" t="s">
        <v>179</v>
      </c>
      <c r="D20" s="8" t="s">
        <v>180</v>
      </c>
      <c r="E20" s="13">
        <v>0</v>
      </c>
      <c r="F20" s="14">
        <v>0</v>
      </c>
    </row>
    <row r="21" spans="1:6" x14ac:dyDescent="0.3">
      <c r="A21" s="8">
        <v>19</v>
      </c>
      <c r="B21" s="8" t="s">
        <v>144</v>
      </c>
      <c r="C21" s="8" t="s">
        <v>181</v>
      </c>
      <c r="D21" s="8" t="s">
        <v>182</v>
      </c>
      <c r="E21" s="13">
        <v>146000</v>
      </c>
      <c r="F21" s="14">
        <v>291667</v>
      </c>
    </row>
    <row r="22" spans="1:6" x14ac:dyDescent="0.3">
      <c r="A22" s="8">
        <v>20</v>
      </c>
      <c r="B22" s="8" t="s">
        <v>144</v>
      </c>
      <c r="C22" s="8" t="s">
        <v>183</v>
      </c>
      <c r="D22" s="8" t="s">
        <v>184</v>
      </c>
      <c r="E22" s="13">
        <v>2903400</v>
      </c>
      <c r="F22" s="14">
        <v>5648148</v>
      </c>
    </row>
    <row r="23" spans="1:6" x14ac:dyDescent="0.3">
      <c r="A23" s="8">
        <v>21</v>
      </c>
      <c r="B23" s="8" t="s">
        <v>144</v>
      </c>
      <c r="C23" s="8" t="s">
        <v>185</v>
      </c>
      <c r="D23" s="8" t="s">
        <v>186</v>
      </c>
      <c r="E23" s="13">
        <v>0</v>
      </c>
      <c r="F23" s="14">
        <v>0</v>
      </c>
    </row>
    <row r="24" spans="1:6" x14ac:dyDescent="0.3">
      <c r="A24" s="8">
        <v>22</v>
      </c>
      <c r="B24" s="8" t="s">
        <v>144</v>
      </c>
      <c r="C24" s="8" t="s">
        <v>187</v>
      </c>
      <c r="D24" s="8" t="s">
        <v>188</v>
      </c>
      <c r="E24" s="13">
        <v>0</v>
      </c>
      <c r="F24" s="14">
        <v>0</v>
      </c>
    </row>
    <row r="25" spans="1:6" x14ac:dyDescent="0.3">
      <c r="A25" s="8">
        <v>23</v>
      </c>
      <c r="B25" s="8" t="s">
        <v>144</v>
      </c>
      <c r="C25" s="8" t="s">
        <v>189</v>
      </c>
      <c r="D25" s="8" t="s">
        <v>190</v>
      </c>
      <c r="E25" s="13">
        <v>0</v>
      </c>
      <c r="F25" s="14">
        <v>0</v>
      </c>
    </row>
    <row r="26" spans="1:6" x14ac:dyDescent="0.3">
      <c r="A26" s="8">
        <v>24</v>
      </c>
      <c r="B26" s="8" t="s">
        <v>144</v>
      </c>
      <c r="C26" s="8" t="s">
        <v>191</v>
      </c>
      <c r="D26" s="8" t="s">
        <v>192</v>
      </c>
      <c r="E26" s="13">
        <v>0</v>
      </c>
      <c r="F26" s="14">
        <v>0</v>
      </c>
    </row>
    <row r="27" spans="1:6" x14ac:dyDescent="0.3">
      <c r="A27" s="8">
        <v>25</v>
      </c>
      <c r="B27" s="8" t="s">
        <v>144</v>
      </c>
      <c r="C27" s="8" t="s">
        <v>193</v>
      </c>
      <c r="D27" s="8" t="s">
        <v>194</v>
      </c>
      <c r="E27" s="13">
        <v>0</v>
      </c>
      <c r="F27" s="14">
        <v>0</v>
      </c>
    </row>
    <row r="28" spans="1:6" x14ac:dyDescent="0.3">
      <c r="A28" s="8">
        <v>26</v>
      </c>
      <c r="B28" s="8" t="s">
        <v>144</v>
      </c>
      <c r="C28" s="8" t="s">
        <v>195</v>
      </c>
      <c r="D28" s="8" t="s">
        <v>196</v>
      </c>
      <c r="E28" s="13">
        <v>110800</v>
      </c>
      <c r="F28" s="14">
        <v>200000</v>
      </c>
    </row>
    <row r="29" spans="1:6" x14ac:dyDescent="0.3">
      <c r="A29" s="8">
        <v>27</v>
      </c>
      <c r="B29" s="8" t="s">
        <v>144</v>
      </c>
      <c r="C29" s="8" t="s">
        <v>197</v>
      </c>
      <c r="D29" s="8" t="s">
        <v>198</v>
      </c>
      <c r="E29" s="13">
        <v>110800</v>
      </c>
      <c r="F29" s="14">
        <v>200000</v>
      </c>
    </row>
    <row r="30" spans="1:6" x14ac:dyDescent="0.3">
      <c r="A30" s="8">
        <v>28</v>
      </c>
      <c r="B30" s="8" t="s">
        <v>144</v>
      </c>
      <c r="C30" s="8" t="s">
        <v>199</v>
      </c>
      <c r="D30" s="8" t="s">
        <v>200</v>
      </c>
      <c r="E30" s="13">
        <v>0</v>
      </c>
      <c r="F30" s="14">
        <v>0</v>
      </c>
    </row>
    <row r="31" spans="1:6" x14ac:dyDescent="0.3">
      <c r="A31" s="8">
        <v>29</v>
      </c>
      <c r="B31" s="8" t="s">
        <v>144</v>
      </c>
      <c r="C31" s="8" t="s">
        <v>201</v>
      </c>
      <c r="D31" s="8" t="s">
        <v>202</v>
      </c>
      <c r="E31" s="13">
        <v>100700</v>
      </c>
      <c r="F31" s="14">
        <v>211000</v>
      </c>
    </row>
    <row r="32" spans="1:6" x14ac:dyDescent="0.3">
      <c r="A32" s="8">
        <v>30</v>
      </c>
      <c r="B32" s="8" t="s">
        <v>144</v>
      </c>
      <c r="C32" s="8" t="s">
        <v>203</v>
      </c>
      <c r="D32" s="8" t="s">
        <v>204</v>
      </c>
      <c r="E32" s="13">
        <v>304000</v>
      </c>
      <c r="F32" s="14">
        <v>574000</v>
      </c>
    </row>
    <row r="33" spans="1:6" x14ac:dyDescent="0.3">
      <c r="A33" s="8">
        <v>31</v>
      </c>
      <c r="B33" s="8" t="s">
        <v>144</v>
      </c>
      <c r="C33" s="8" t="s">
        <v>205</v>
      </c>
      <c r="D33" s="8" t="s">
        <v>206</v>
      </c>
      <c r="E33" s="13">
        <v>363000</v>
      </c>
      <c r="F33" s="14">
        <v>726000</v>
      </c>
    </row>
    <row r="34" spans="1:6" x14ac:dyDescent="0.3">
      <c r="A34" s="8">
        <v>32</v>
      </c>
      <c r="B34" s="8" t="s">
        <v>144</v>
      </c>
      <c r="C34" s="8" t="s">
        <v>207</v>
      </c>
      <c r="D34" s="8" t="s">
        <v>208</v>
      </c>
      <c r="E34" s="13">
        <v>75800</v>
      </c>
      <c r="F34" s="14">
        <v>152000</v>
      </c>
    </row>
    <row r="35" spans="1:6" x14ac:dyDescent="0.3">
      <c r="A35" s="8">
        <v>33</v>
      </c>
      <c r="B35" s="8" t="s">
        <v>144</v>
      </c>
      <c r="C35" s="8" t="s">
        <v>209</v>
      </c>
      <c r="D35" s="8" t="s">
        <v>210</v>
      </c>
      <c r="E35" s="13">
        <v>66000</v>
      </c>
      <c r="F35" s="14">
        <v>138000</v>
      </c>
    </row>
    <row r="36" spans="1:6" x14ac:dyDescent="0.3">
      <c r="A36" s="8">
        <v>34</v>
      </c>
      <c r="B36" s="8" t="s">
        <v>144</v>
      </c>
      <c r="C36" s="8" t="s">
        <v>211</v>
      </c>
      <c r="D36" s="8" t="s">
        <v>212</v>
      </c>
      <c r="E36" s="13">
        <v>0</v>
      </c>
      <c r="F36" s="14">
        <v>430000</v>
      </c>
    </row>
    <row r="37" spans="1:6" x14ac:dyDescent="0.3">
      <c r="A37" s="8">
        <v>35</v>
      </c>
      <c r="B37" s="8" t="s">
        <v>144</v>
      </c>
      <c r="C37" s="8" t="s">
        <v>213</v>
      </c>
      <c r="D37" s="8" t="s">
        <v>214</v>
      </c>
      <c r="E37" s="13">
        <v>0</v>
      </c>
      <c r="F37" s="14">
        <v>2170000</v>
      </c>
    </row>
    <row r="38" spans="1:6" x14ac:dyDescent="0.3">
      <c r="A38" s="8">
        <v>36</v>
      </c>
      <c r="B38" s="8" t="s">
        <v>144</v>
      </c>
      <c r="C38" s="8" t="s">
        <v>215</v>
      </c>
      <c r="D38" s="8" t="s">
        <v>216</v>
      </c>
      <c r="E38" s="13">
        <v>0</v>
      </c>
      <c r="F38" s="14">
        <v>0</v>
      </c>
    </row>
    <row r="39" spans="1:6" x14ac:dyDescent="0.3">
      <c r="A39" s="8">
        <v>37</v>
      </c>
      <c r="B39" s="8" t="s">
        <v>144</v>
      </c>
      <c r="C39" s="8" t="s">
        <v>217</v>
      </c>
      <c r="D39" s="8" t="s">
        <v>218</v>
      </c>
      <c r="E39" s="13">
        <v>400000</v>
      </c>
      <c r="F39" s="14">
        <v>800000</v>
      </c>
    </row>
    <row r="40" spans="1:6" x14ac:dyDescent="0.3">
      <c r="A40" s="8">
        <v>38</v>
      </c>
      <c r="B40" s="8" t="s">
        <v>144</v>
      </c>
      <c r="C40" s="8" t="s">
        <v>219</v>
      </c>
      <c r="D40" s="8" t="s">
        <v>220</v>
      </c>
      <c r="E40" s="13">
        <v>0</v>
      </c>
      <c r="F40" s="14">
        <v>0</v>
      </c>
    </row>
    <row r="41" spans="1:6" x14ac:dyDescent="0.3">
      <c r="A41" s="8">
        <v>39</v>
      </c>
      <c r="B41" s="8" t="s">
        <v>144</v>
      </c>
      <c r="C41" s="8" t="s">
        <v>221</v>
      </c>
      <c r="D41" s="8" t="s">
        <v>222</v>
      </c>
      <c r="E41" s="13">
        <v>0</v>
      </c>
      <c r="F41" s="14">
        <v>0</v>
      </c>
    </row>
    <row r="42" spans="1:6" x14ac:dyDescent="0.3">
      <c r="A42" s="8">
        <v>40</v>
      </c>
      <c r="B42" s="8" t="s">
        <v>144</v>
      </c>
      <c r="C42" s="8" t="s">
        <v>223</v>
      </c>
      <c r="D42" s="8" t="s">
        <v>224</v>
      </c>
      <c r="E42" s="13">
        <v>71000</v>
      </c>
      <c r="F42" s="14">
        <v>141667</v>
      </c>
    </row>
    <row r="43" spans="1:6" x14ac:dyDescent="0.3">
      <c r="A43" s="8">
        <v>41</v>
      </c>
      <c r="B43" s="8" t="s">
        <v>144</v>
      </c>
      <c r="C43" s="8" t="s">
        <v>225</v>
      </c>
      <c r="D43" s="8" t="s">
        <v>226</v>
      </c>
      <c r="E43" s="13">
        <v>474000</v>
      </c>
      <c r="F43" s="14">
        <v>948148</v>
      </c>
    </row>
    <row r="44" spans="1:6" x14ac:dyDescent="0.3">
      <c r="A44" s="8">
        <v>42</v>
      </c>
      <c r="B44" s="8" t="s">
        <v>144</v>
      </c>
      <c r="C44" s="8" t="s">
        <v>227</v>
      </c>
      <c r="D44" s="8" t="s">
        <v>228</v>
      </c>
      <c r="E44" s="13">
        <v>0</v>
      </c>
      <c r="F44" s="14">
        <v>0</v>
      </c>
    </row>
    <row r="45" spans="1:6" x14ac:dyDescent="0.3">
      <c r="A45" s="8">
        <v>43</v>
      </c>
      <c r="B45" s="8" t="s">
        <v>144</v>
      </c>
      <c r="C45" s="8" t="s">
        <v>229</v>
      </c>
      <c r="D45" s="8" t="s">
        <v>230</v>
      </c>
      <c r="E45" s="13">
        <v>0</v>
      </c>
      <c r="F45" s="14">
        <v>2170000</v>
      </c>
    </row>
    <row r="46" spans="1:6" x14ac:dyDescent="0.3">
      <c r="A46" s="8">
        <v>44</v>
      </c>
      <c r="B46" s="8" t="s">
        <v>144</v>
      </c>
      <c r="C46" s="8" t="s">
        <v>231</v>
      </c>
      <c r="D46" s="8" t="s">
        <v>232</v>
      </c>
      <c r="E46" s="13">
        <v>0</v>
      </c>
      <c r="F46" s="14">
        <v>1164815</v>
      </c>
    </row>
    <row r="47" spans="1:6" x14ac:dyDescent="0.3">
      <c r="A47" s="8">
        <v>45</v>
      </c>
      <c r="B47" s="8" t="s">
        <v>144</v>
      </c>
      <c r="C47" s="8" t="s">
        <v>233</v>
      </c>
      <c r="D47" s="8" t="s">
        <v>234</v>
      </c>
      <c r="E47" s="13">
        <v>0</v>
      </c>
      <c r="F47" s="14">
        <v>0</v>
      </c>
    </row>
    <row r="48" spans="1:6" x14ac:dyDescent="0.3">
      <c r="A48" s="8">
        <v>46</v>
      </c>
      <c r="B48" s="8" t="s">
        <v>144</v>
      </c>
      <c r="C48" s="8" t="s">
        <v>235</v>
      </c>
      <c r="D48" s="8" t="s">
        <v>236</v>
      </c>
      <c r="E48" s="13">
        <v>0</v>
      </c>
      <c r="F48" s="14">
        <v>0</v>
      </c>
    </row>
    <row r="49" spans="1:6" x14ac:dyDescent="0.3">
      <c r="A49" s="8">
        <v>47</v>
      </c>
      <c r="B49" s="8" t="s">
        <v>144</v>
      </c>
      <c r="C49" s="8" t="s">
        <v>237</v>
      </c>
      <c r="D49" s="8" t="s">
        <v>238</v>
      </c>
      <c r="E49" s="13">
        <v>126000</v>
      </c>
      <c r="F49" s="14">
        <v>251852</v>
      </c>
    </row>
    <row r="50" spans="1:6" x14ac:dyDescent="0.3">
      <c r="A50" s="8">
        <v>48</v>
      </c>
      <c r="B50" s="8" t="s">
        <v>144</v>
      </c>
      <c r="C50" s="8" t="s">
        <v>239</v>
      </c>
      <c r="D50" s="8" t="s">
        <v>240</v>
      </c>
      <c r="E50" s="13">
        <v>0</v>
      </c>
      <c r="F50" s="14">
        <v>0</v>
      </c>
    </row>
    <row r="51" spans="1:6" x14ac:dyDescent="0.3">
      <c r="A51" s="8">
        <v>49</v>
      </c>
      <c r="B51" s="8" t="s">
        <v>144</v>
      </c>
      <c r="C51" s="8" t="s">
        <v>241</v>
      </c>
      <c r="D51" s="8" t="s">
        <v>242</v>
      </c>
      <c r="E51" s="13">
        <v>146000</v>
      </c>
      <c r="F51" s="14">
        <v>291667</v>
      </c>
    </row>
    <row r="52" spans="1:6" x14ac:dyDescent="0.3">
      <c r="A52" s="8">
        <v>50</v>
      </c>
      <c r="B52" s="8" t="s">
        <v>144</v>
      </c>
      <c r="C52" s="8" t="s">
        <v>243</v>
      </c>
      <c r="D52" s="8" t="s">
        <v>244</v>
      </c>
      <c r="E52" s="13">
        <v>3444000</v>
      </c>
      <c r="F52" s="14">
        <v>6700000</v>
      </c>
    </row>
    <row r="53" spans="1:6" x14ac:dyDescent="0.3">
      <c r="A53" s="8">
        <v>51</v>
      </c>
      <c r="B53" s="8" t="s">
        <v>144</v>
      </c>
      <c r="C53" s="8" t="s">
        <v>245</v>
      </c>
      <c r="D53" s="8" t="s">
        <v>246</v>
      </c>
      <c r="E53" s="13">
        <v>0</v>
      </c>
      <c r="F53" s="14">
        <v>191000</v>
      </c>
    </row>
    <row r="54" spans="1:6" x14ac:dyDescent="0.3">
      <c r="A54" s="8">
        <v>52</v>
      </c>
      <c r="B54" s="8" t="s">
        <v>144</v>
      </c>
      <c r="C54" s="8" t="s">
        <v>247</v>
      </c>
      <c r="D54" s="8" t="s">
        <v>248</v>
      </c>
      <c r="E54" s="13">
        <v>271500</v>
      </c>
      <c r="F54" s="14">
        <v>543000</v>
      </c>
    </row>
    <row r="55" spans="1:6" x14ac:dyDescent="0.3">
      <c r="A55" s="8">
        <v>53</v>
      </c>
      <c r="B55" s="8" t="s">
        <v>144</v>
      </c>
      <c r="C55" s="8" t="s">
        <v>249</v>
      </c>
      <c r="D55" s="8" t="s">
        <v>250</v>
      </c>
      <c r="E55" s="13">
        <v>0</v>
      </c>
      <c r="F55" s="14">
        <v>0</v>
      </c>
    </row>
    <row r="56" spans="1:6" x14ac:dyDescent="0.3">
      <c r="A56" s="8">
        <v>54</v>
      </c>
      <c r="B56" s="8" t="s">
        <v>144</v>
      </c>
      <c r="C56" s="8" t="s">
        <v>251</v>
      </c>
      <c r="D56" s="8" t="s">
        <v>252</v>
      </c>
      <c r="E56" s="13">
        <v>0</v>
      </c>
      <c r="F56" s="14">
        <v>0</v>
      </c>
    </row>
    <row r="57" spans="1:6" x14ac:dyDescent="0.3">
      <c r="A57" s="8">
        <v>55</v>
      </c>
      <c r="B57" s="8" t="s">
        <v>144</v>
      </c>
      <c r="C57" s="8" t="s">
        <v>253</v>
      </c>
      <c r="D57" s="8" t="s">
        <v>254</v>
      </c>
      <c r="E57" s="13">
        <v>555000</v>
      </c>
      <c r="F57" s="14">
        <v>1110185</v>
      </c>
    </row>
    <row r="58" spans="1:6" x14ac:dyDescent="0.3">
      <c r="A58" s="8">
        <v>56</v>
      </c>
      <c r="B58" s="8" t="s">
        <v>144</v>
      </c>
      <c r="C58" s="8" t="s">
        <v>255</v>
      </c>
      <c r="D58" s="8" t="s">
        <v>256</v>
      </c>
      <c r="E58" s="13">
        <v>171300</v>
      </c>
      <c r="F58" s="14">
        <v>342593</v>
      </c>
    </row>
    <row r="59" spans="1:6" x14ac:dyDescent="0.3">
      <c r="A59" s="8">
        <v>57</v>
      </c>
      <c r="B59" s="8" t="s">
        <v>144</v>
      </c>
      <c r="C59" s="8" t="s">
        <v>257</v>
      </c>
      <c r="D59" s="8" t="s">
        <v>258</v>
      </c>
      <c r="E59" s="13">
        <v>0</v>
      </c>
      <c r="F59" s="14">
        <v>0</v>
      </c>
    </row>
    <row r="60" spans="1:6" x14ac:dyDescent="0.3">
      <c r="A60" s="8">
        <v>58</v>
      </c>
      <c r="B60" s="8" t="s">
        <v>144</v>
      </c>
      <c r="C60" s="8" t="s">
        <v>259</v>
      </c>
      <c r="D60" s="8" t="s">
        <v>260</v>
      </c>
      <c r="E60" s="13">
        <v>0</v>
      </c>
      <c r="F60" s="14">
        <v>0</v>
      </c>
    </row>
    <row r="61" spans="1:6" x14ac:dyDescent="0.3">
      <c r="A61" s="8">
        <v>59</v>
      </c>
      <c r="B61" s="8" t="s">
        <v>144</v>
      </c>
      <c r="C61" s="8" t="s">
        <v>261</v>
      </c>
      <c r="D61" s="8" t="s">
        <v>262</v>
      </c>
      <c r="E61" s="13">
        <v>0</v>
      </c>
      <c r="F61" s="14">
        <v>0</v>
      </c>
    </row>
    <row r="62" spans="1:6" x14ac:dyDescent="0.3">
      <c r="A62" s="8">
        <v>60</v>
      </c>
      <c r="B62" s="8" t="s">
        <v>144</v>
      </c>
      <c r="C62" s="8" t="s">
        <v>263</v>
      </c>
      <c r="D62" s="8" t="s">
        <v>264</v>
      </c>
      <c r="E62" s="13">
        <v>0</v>
      </c>
      <c r="F62" s="14">
        <v>0</v>
      </c>
    </row>
    <row r="63" spans="1:6" x14ac:dyDescent="0.3">
      <c r="A63" s="8">
        <v>61</v>
      </c>
      <c r="B63" s="8" t="s">
        <v>144</v>
      </c>
      <c r="C63" s="8" t="s">
        <v>265</v>
      </c>
      <c r="D63" s="8" t="s">
        <v>266</v>
      </c>
      <c r="E63" s="13">
        <v>0</v>
      </c>
      <c r="F63" s="14">
        <v>0</v>
      </c>
    </row>
    <row r="64" spans="1:6" x14ac:dyDescent="0.3">
      <c r="A64" s="8">
        <v>62</v>
      </c>
      <c r="B64" s="8" t="s">
        <v>144</v>
      </c>
      <c r="C64" s="8" t="s">
        <v>267</v>
      </c>
      <c r="D64" s="8" t="s">
        <v>268</v>
      </c>
      <c r="E64" s="13">
        <v>0</v>
      </c>
      <c r="F64" s="14">
        <v>0</v>
      </c>
    </row>
    <row r="65" spans="1:6" x14ac:dyDescent="0.3">
      <c r="A65" s="8">
        <v>63</v>
      </c>
      <c r="B65" s="8" t="s">
        <v>144</v>
      </c>
      <c r="C65" s="8" t="s">
        <v>269</v>
      </c>
      <c r="D65" s="8" t="s">
        <v>270</v>
      </c>
      <c r="E65" s="13">
        <v>80000</v>
      </c>
      <c r="F65" s="14">
        <v>160185</v>
      </c>
    </row>
    <row r="66" spans="1:6" x14ac:dyDescent="0.3">
      <c r="A66" s="8">
        <v>64</v>
      </c>
      <c r="B66" s="8" t="s">
        <v>144</v>
      </c>
      <c r="C66" s="8" t="s">
        <v>271</v>
      </c>
      <c r="D66" s="8" t="s">
        <v>272</v>
      </c>
      <c r="E66" s="13">
        <v>0</v>
      </c>
      <c r="F66" s="14">
        <v>0</v>
      </c>
    </row>
    <row r="67" spans="1:6" x14ac:dyDescent="0.3">
      <c r="A67" s="8">
        <v>65</v>
      </c>
      <c r="B67" s="8" t="s">
        <v>144</v>
      </c>
      <c r="C67" s="8" t="s">
        <v>273</v>
      </c>
      <c r="D67" s="8" t="s">
        <v>274</v>
      </c>
      <c r="E67" s="13">
        <v>0</v>
      </c>
      <c r="F67" s="14">
        <v>0</v>
      </c>
    </row>
    <row r="68" spans="1:6" x14ac:dyDescent="0.3">
      <c r="A68" s="8">
        <v>66</v>
      </c>
      <c r="B68" s="8" t="s">
        <v>275</v>
      </c>
      <c r="C68" s="8" t="s">
        <v>276</v>
      </c>
      <c r="D68" s="8" t="s">
        <v>277</v>
      </c>
      <c r="E68" s="13">
        <v>0</v>
      </c>
      <c r="F68" s="14">
        <v>0</v>
      </c>
    </row>
    <row r="69" spans="1:6" x14ac:dyDescent="0.3">
      <c r="A69" s="8">
        <v>67</v>
      </c>
      <c r="B69" s="8" t="s">
        <v>275</v>
      </c>
      <c r="C69" s="8" t="s">
        <v>278</v>
      </c>
      <c r="D69" s="8" t="s">
        <v>279</v>
      </c>
      <c r="E69" s="13">
        <v>230000</v>
      </c>
      <c r="F69" s="14">
        <v>460185</v>
      </c>
    </row>
    <row r="70" spans="1:6" x14ac:dyDescent="0.3">
      <c r="A70" s="8">
        <v>68</v>
      </c>
      <c r="B70" s="8" t="s">
        <v>275</v>
      </c>
      <c r="C70" s="8" t="s">
        <v>280</v>
      </c>
      <c r="D70" s="8" t="s">
        <v>281</v>
      </c>
      <c r="E70" s="13">
        <v>0</v>
      </c>
      <c r="F70" s="14">
        <v>0</v>
      </c>
    </row>
    <row r="71" spans="1:6" x14ac:dyDescent="0.3">
      <c r="A71" s="8">
        <v>69</v>
      </c>
      <c r="B71" s="8" t="s">
        <v>282</v>
      </c>
      <c r="C71" s="8" t="s">
        <v>283</v>
      </c>
      <c r="D71" s="8" t="s">
        <v>284</v>
      </c>
      <c r="E71" s="13">
        <v>107000</v>
      </c>
      <c r="F71" s="14">
        <v>172000</v>
      </c>
    </row>
    <row r="72" spans="1:6" x14ac:dyDescent="0.3">
      <c r="A72" s="8">
        <v>70</v>
      </c>
      <c r="B72" s="8" t="s">
        <v>282</v>
      </c>
      <c r="C72" s="8" t="s">
        <v>285</v>
      </c>
      <c r="D72" s="8" t="s">
        <v>286</v>
      </c>
      <c r="E72" s="13">
        <v>0</v>
      </c>
      <c r="F72" s="14">
        <v>0</v>
      </c>
    </row>
    <row r="73" spans="1:6" x14ac:dyDescent="0.3">
      <c r="A73" s="8">
        <v>71</v>
      </c>
      <c r="B73" s="8" t="s">
        <v>287</v>
      </c>
      <c r="C73" s="8" t="s">
        <v>288</v>
      </c>
      <c r="D73" s="8" t="s">
        <v>289</v>
      </c>
      <c r="E73" s="13">
        <v>129000</v>
      </c>
      <c r="F73" s="14">
        <v>258333</v>
      </c>
    </row>
    <row r="74" spans="1:6" x14ac:dyDescent="0.3">
      <c r="A74" s="8">
        <v>72</v>
      </c>
      <c r="B74" s="8" t="s">
        <v>287</v>
      </c>
      <c r="C74" s="8" t="s">
        <v>290</v>
      </c>
      <c r="D74" s="8" t="s">
        <v>291</v>
      </c>
      <c r="E74" s="13">
        <v>114000</v>
      </c>
      <c r="F74" s="14">
        <v>227778</v>
      </c>
    </row>
    <row r="75" spans="1:6" x14ac:dyDescent="0.3">
      <c r="A75" s="8">
        <v>73</v>
      </c>
      <c r="B75" s="8" t="s">
        <v>287</v>
      </c>
      <c r="C75" s="8" t="s">
        <v>292</v>
      </c>
      <c r="D75" s="8" t="s">
        <v>293</v>
      </c>
      <c r="E75" s="13">
        <v>104000</v>
      </c>
      <c r="F75" s="14">
        <v>208333</v>
      </c>
    </row>
    <row r="76" spans="1:6" x14ac:dyDescent="0.3">
      <c r="A76" s="8">
        <v>74</v>
      </c>
      <c r="B76" s="8" t="s">
        <v>287</v>
      </c>
      <c r="C76" s="8" t="s">
        <v>294</v>
      </c>
      <c r="D76" s="8" t="s">
        <v>295</v>
      </c>
      <c r="E76" s="13">
        <v>114000</v>
      </c>
      <c r="F76" s="14">
        <v>228182</v>
      </c>
    </row>
    <row r="77" spans="1:6" x14ac:dyDescent="0.3">
      <c r="A77" s="8">
        <v>75</v>
      </c>
      <c r="B77" s="8" t="s">
        <v>287</v>
      </c>
      <c r="C77" s="8" t="s">
        <v>296</v>
      </c>
      <c r="D77" s="8" t="s">
        <v>297</v>
      </c>
      <c r="E77" s="13">
        <v>114000</v>
      </c>
      <c r="F77" s="14">
        <v>228182</v>
      </c>
    </row>
    <row r="78" spans="1:6" x14ac:dyDescent="0.3">
      <c r="A78" s="8">
        <v>76</v>
      </c>
      <c r="B78" s="8" t="s">
        <v>144</v>
      </c>
      <c r="C78" s="8" t="s">
        <v>298</v>
      </c>
      <c r="D78" s="8" t="s">
        <v>299</v>
      </c>
      <c r="E78" s="13">
        <v>210000</v>
      </c>
      <c r="F78" s="14">
        <v>420370</v>
      </c>
    </row>
    <row r="79" spans="1:6" x14ac:dyDescent="0.3">
      <c r="A79" s="8">
        <v>77</v>
      </c>
      <c r="B79" s="8" t="s">
        <v>144</v>
      </c>
      <c r="C79" s="8" t="s">
        <v>300</v>
      </c>
      <c r="D79" s="8" t="s">
        <v>301</v>
      </c>
      <c r="E79" s="13">
        <v>302000</v>
      </c>
      <c r="F79" s="14">
        <v>520000</v>
      </c>
    </row>
    <row r="80" spans="1:6" x14ac:dyDescent="0.3">
      <c r="A80" s="8">
        <v>78</v>
      </c>
      <c r="B80" s="8" t="s">
        <v>144</v>
      </c>
      <c r="C80" s="8" t="s">
        <v>302</v>
      </c>
      <c r="D80" s="8" t="s">
        <v>303</v>
      </c>
      <c r="E80" s="13">
        <v>141500</v>
      </c>
      <c r="F80" s="14">
        <v>260000</v>
      </c>
    </row>
    <row r="81" spans="1:6" x14ac:dyDescent="0.3">
      <c r="A81" s="8">
        <v>79</v>
      </c>
      <c r="B81" s="8" t="s">
        <v>144</v>
      </c>
      <c r="C81" s="8" t="s">
        <v>304</v>
      </c>
      <c r="D81" s="8" t="s">
        <v>305</v>
      </c>
      <c r="E81" s="13">
        <v>113900</v>
      </c>
      <c r="F81" s="14">
        <v>239000</v>
      </c>
    </row>
    <row r="82" spans="1:6" x14ac:dyDescent="0.3">
      <c r="A82" s="8">
        <v>80</v>
      </c>
      <c r="B82" s="8" t="s">
        <v>144</v>
      </c>
      <c r="C82" s="8" t="s">
        <v>306</v>
      </c>
      <c r="D82" s="8" t="s">
        <v>307</v>
      </c>
      <c r="E82" s="13">
        <v>56000</v>
      </c>
      <c r="F82" s="14">
        <v>112037</v>
      </c>
    </row>
    <row r="83" spans="1:6" x14ac:dyDescent="0.3">
      <c r="A83" s="8">
        <v>81</v>
      </c>
      <c r="B83" s="8" t="s">
        <v>144</v>
      </c>
      <c r="C83" s="8" t="s">
        <v>308</v>
      </c>
      <c r="D83" s="8" t="s">
        <v>309</v>
      </c>
      <c r="E83" s="13">
        <v>0</v>
      </c>
      <c r="F83" s="14">
        <v>660185</v>
      </c>
    </row>
    <row r="84" spans="1:6" x14ac:dyDescent="0.3">
      <c r="A84" s="8">
        <v>82</v>
      </c>
      <c r="B84" s="8" t="s">
        <v>144</v>
      </c>
      <c r="C84" s="8" t="s">
        <v>310</v>
      </c>
      <c r="D84" s="8" t="s">
        <v>311</v>
      </c>
      <c r="E84" s="13">
        <v>0</v>
      </c>
      <c r="F84" s="14">
        <v>0</v>
      </c>
    </row>
    <row r="85" spans="1:6" x14ac:dyDescent="0.3">
      <c r="A85" s="8">
        <v>83</v>
      </c>
      <c r="B85" s="8" t="s">
        <v>144</v>
      </c>
      <c r="C85" s="8" t="s">
        <v>312</v>
      </c>
      <c r="D85" s="8" t="s">
        <v>313</v>
      </c>
      <c r="E85" s="13">
        <v>0</v>
      </c>
      <c r="F85" s="14">
        <v>0</v>
      </c>
    </row>
    <row r="86" spans="1:6" x14ac:dyDescent="0.3">
      <c r="A86" s="8">
        <v>84</v>
      </c>
      <c r="B86" s="8" t="s">
        <v>144</v>
      </c>
      <c r="C86" s="8" t="s">
        <v>314</v>
      </c>
      <c r="D86" s="8" t="s">
        <v>315</v>
      </c>
      <c r="E86" s="13">
        <v>0</v>
      </c>
      <c r="F86" s="14">
        <v>0</v>
      </c>
    </row>
    <row r="87" spans="1:6" x14ac:dyDescent="0.3">
      <c r="A87" s="8">
        <v>85</v>
      </c>
      <c r="B87" s="8" t="s">
        <v>144</v>
      </c>
      <c r="C87" s="8" t="s">
        <v>316</v>
      </c>
      <c r="D87" s="8" t="s">
        <v>317</v>
      </c>
      <c r="E87" s="13">
        <v>0</v>
      </c>
      <c r="F87" s="14">
        <v>0</v>
      </c>
    </row>
    <row r="88" spans="1:6" x14ac:dyDescent="0.3">
      <c r="A88" s="8">
        <v>86</v>
      </c>
      <c r="B88" s="8" t="s">
        <v>144</v>
      </c>
      <c r="C88" s="8" t="s">
        <v>318</v>
      </c>
      <c r="D88" s="8" t="s">
        <v>319</v>
      </c>
      <c r="E88" s="13">
        <v>141500</v>
      </c>
      <c r="F88" s="14">
        <v>260000</v>
      </c>
    </row>
    <row r="89" spans="1:6" x14ac:dyDescent="0.3">
      <c r="A89" s="8">
        <v>87</v>
      </c>
      <c r="B89" s="8" t="s">
        <v>144</v>
      </c>
      <c r="C89" s="8" t="s">
        <v>320</v>
      </c>
      <c r="D89" s="8" t="s">
        <v>321</v>
      </c>
      <c r="E89" s="13">
        <v>0</v>
      </c>
      <c r="F89" s="14">
        <v>0</v>
      </c>
    </row>
    <row r="90" spans="1:6" x14ac:dyDescent="0.3">
      <c r="A90" s="8">
        <v>88</v>
      </c>
      <c r="B90" s="8" t="s">
        <v>144</v>
      </c>
      <c r="C90" s="8" t="s">
        <v>322</v>
      </c>
      <c r="D90" s="8" t="s">
        <v>323</v>
      </c>
      <c r="E90" s="13">
        <v>98600</v>
      </c>
      <c r="F90" s="14">
        <v>197222</v>
      </c>
    </row>
    <row r="91" spans="1:6" x14ac:dyDescent="0.3">
      <c r="A91" s="8">
        <v>89</v>
      </c>
      <c r="B91" s="8" t="s">
        <v>144</v>
      </c>
      <c r="C91" s="8" t="s">
        <v>324</v>
      </c>
      <c r="D91" s="8" t="s">
        <v>325</v>
      </c>
      <c r="E91" s="13">
        <v>0</v>
      </c>
      <c r="F91" s="14">
        <v>0</v>
      </c>
    </row>
    <row r="92" spans="1:6" x14ac:dyDescent="0.3">
      <c r="A92" s="8">
        <v>90</v>
      </c>
      <c r="B92" s="8" t="s">
        <v>144</v>
      </c>
      <c r="C92" s="8" t="s">
        <v>326</v>
      </c>
      <c r="D92" s="8" t="s">
        <v>327</v>
      </c>
      <c r="E92" s="13">
        <v>0</v>
      </c>
      <c r="F92" s="14">
        <v>0</v>
      </c>
    </row>
    <row r="93" spans="1:6" x14ac:dyDescent="0.3">
      <c r="A93" s="8">
        <v>91</v>
      </c>
      <c r="B93" s="8" t="s">
        <v>144</v>
      </c>
      <c r="C93" s="8" t="s">
        <v>328</v>
      </c>
      <c r="D93" s="8" t="s">
        <v>329</v>
      </c>
      <c r="E93" s="13">
        <v>0</v>
      </c>
      <c r="F93" s="14">
        <v>0</v>
      </c>
    </row>
    <row r="94" spans="1:6" x14ac:dyDescent="0.3">
      <c r="A94" s="8">
        <v>92</v>
      </c>
      <c r="B94" s="8" t="s">
        <v>144</v>
      </c>
      <c r="C94" s="8" t="s">
        <v>330</v>
      </c>
      <c r="D94" s="8" t="s">
        <v>331</v>
      </c>
      <c r="E94" s="13">
        <v>0</v>
      </c>
      <c r="F94" s="14">
        <v>0</v>
      </c>
    </row>
    <row r="95" spans="1:6" x14ac:dyDescent="0.3">
      <c r="A95" s="8">
        <v>93</v>
      </c>
      <c r="B95" s="8" t="s">
        <v>144</v>
      </c>
      <c r="C95" s="8" t="s">
        <v>332</v>
      </c>
      <c r="D95" s="8" t="s">
        <v>333</v>
      </c>
      <c r="E95" s="13">
        <v>70000</v>
      </c>
      <c r="F95" s="14">
        <v>139815</v>
      </c>
    </row>
    <row r="96" spans="1:6" x14ac:dyDescent="0.3">
      <c r="A96" s="8">
        <v>94</v>
      </c>
      <c r="B96" s="8" t="s">
        <v>144</v>
      </c>
      <c r="C96" s="8" t="s">
        <v>334</v>
      </c>
      <c r="D96" s="8" t="s">
        <v>335</v>
      </c>
      <c r="E96" s="13">
        <v>146000</v>
      </c>
      <c r="F96" s="14">
        <v>291667</v>
      </c>
    </row>
    <row r="97" spans="1:6" x14ac:dyDescent="0.3">
      <c r="A97" s="8">
        <v>95</v>
      </c>
      <c r="B97" s="8" t="s">
        <v>144</v>
      </c>
      <c r="C97" s="8" t="s">
        <v>336</v>
      </c>
      <c r="D97" s="8" t="s">
        <v>337</v>
      </c>
      <c r="E97" s="13">
        <v>0</v>
      </c>
      <c r="F97" s="14">
        <v>0</v>
      </c>
    </row>
    <row r="98" spans="1:6" x14ac:dyDescent="0.3">
      <c r="A98" s="8">
        <v>96</v>
      </c>
      <c r="B98" s="8" t="s">
        <v>144</v>
      </c>
      <c r="C98" s="8" t="s">
        <v>338</v>
      </c>
      <c r="D98" s="8" t="s">
        <v>339</v>
      </c>
      <c r="E98" s="13">
        <v>0</v>
      </c>
      <c r="F98" s="14">
        <v>1160000</v>
      </c>
    </row>
    <row r="99" spans="1:6" x14ac:dyDescent="0.3">
      <c r="A99" s="8">
        <v>97</v>
      </c>
      <c r="B99" s="8" t="s">
        <v>144</v>
      </c>
      <c r="C99" s="8" t="s">
        <v>340</v>
      </c>
      <c r="D99" s="8" t="s">
        <v>341</v>
      </c>
      <c r="E99" s="13">
        <v>0</v>
      </c>
      <c r="F99" s="14">
        <v>0</v>
      </c>
    </row>
    <row r="100" spans="1:6" x14ac:dyDescent="0.3">
      <c r="A100" s="8">
        <v>98</v>
      </c>
      <c r="B100" s="8" t="s">
        <v>144</v>
      </c>
      <c r="C100" s="8" t="s">
        <v>342</v>
      </c>
      <c r="D100" s="8" t="s">
        <v>343</v>
      </c>
      <c r="E100" s="13">
        <v>250000</v>
      </c>
      <c r="F100" s="14">
        <v>500000</v>
      </c>
    </row>
    <row r="101" spans="1:6" x14ac:dyDescent="0.3">
      <c r="A101" s="8">
        <v>99</v>
      </c>
      <c r="B101" s="8" t="s">
        <v>144</v>
      </c>
      <c r="C101" s="8" t="s">
        <v>344</v>
      </c>
      <c r="D101" s="8" t="s">
        <v>345</v>
      </c>
      <c r="E101" s="13">
        <v>0</v>
      </c>
      <c r="F101" s="14">
        <v>0</v>
      </c>
    </row>
    <row r="102" spans="1:6" x14ac:dyDescent="0.3">
      <c r="A102" s="8">
        <v>100</v>
      </c>
      <c r="B102" s="8" t="s">
        <v>144</v>
      </c>
      <c r="C102" s="8" t="s">
        <v>346</v>
      </c>
      <c r="D102" s="8" t="s">
        <v>347</v>
      </c>
      <c r="E102" s="13">
        <v>0</v>
      </c>
      <c r="F102" s="14">
        <v>0</v>
      </c>
    </row>
    <row r="103" spans="1:6" x14ac:dyDescent="0.3">
      <c r="A103" s="8">
        <v>101</v>
      </c>
      <c r="B103" s="8" t="s">
        <v>144</v>
      </c>
      <c r="C103" s="8" t="s">
        <v>348</v>
      </c>
      <c r="D103" s="8" t="s">
        <v>349</v>
      </c>
      <c r="E103" s="13">
        <v>0</v>
      </c>
      <c r="F103" s="14">
        <v>0</v>
      </c>
    </row>
    <row r="104" spans="1:6" x14ac:dyDescent="0.3">
      <c r="A104" s="8">
        <v>102</v>
      </c>
      <c r="B104" s="8" t="s">
        <v>144</v>
      </c>
      <c r="C104" s="8" t="s">
        <v>350</v>
      </c>
      <c r="D104" s="8" t="s">
        <v>351</v>
      </c>
      <c r="E104" s="13">
        <v>0</v>
      </c>
      <c r="F104" s="14">
        <v>503000</v>
      </c>
    </row>
    <row r="105" spans="1:6" x14ac:dyDescent="0.3">
      <c r="A105" s="8">
        <v>103</v>
      </c>
      <c r="B105" s="8" t="s">
        <v>144</v>
      </c>
      <c r="C105" s="8" t="s">
        <v>352</v>
      </c>
      <c r="D105" s="8" t="s">
        <v>353</v>
      </c>
      <c r="E105" s="13">
        <v>453000</v>
      </c>
      <c r="F105" s="14">
        <v>816000</v>
      </c>
    </row>
    <row r="106" spans="1:6" x14ac:dyDescent="0.3">
      <c r="A106" s="8">
        <v>104</v>
      </c>
      <c r="B106" s="8" t="s">
        <v>144</v>
      </c>
      <c r="C106" s="8" t="s">
        <v>354</v>
      </c>
      <c r="D106" s="8" t="s">
        <v>355</v>
      </c>
      <c r="E106" s="13">
        <v>0</v>
      </c>
      <c r="F106" s="14">
        <v>0</v>
      </c>
    </row>
    <row r="107" spans="1:6" x14ac:dyDescent="0.3">
      <c r="A107" s="8">
        <v>105</v>
      </c>
      <c r="B107" s="8" t="s">
        <v>144</v>
      </c>
      <c r="C107" s="8" t="s">
        <v>356</v>
      </c>
      <c r="D107" s="8" t="s">
        <v>357</v>
      </c>
      <c r="E107" s="13">
        <v>0</v>
      </c>
      <c r="F107" s="14">
        <v>0</v>
      </c>
    </row>
    <row r="108" spans="1:6" x14ac:dyDescent="0.3">
      <c r="A108" s="8">
        <v>106</v>
      </c>
      <c r="B108" s="8" t="s">
        <v>144</v>
      </c>
      <c r="C108" s="8" t="s">
        <v>358</v>
      </c>
      <c r="D108" s="8" t="s">
        <v>359</v>
      </c>
      <c r="E108" s="13">
        <v>0</v>
      </c>
      <c r="F108" s="14">
        <v>0</v>
      </c>
    </row>
    <row r="109" spans="1:6" x14ac:dyDescent="0.3">
      <c r="A109" s="8">
        <v>107</v>
      </c>
      <c r="B109" s="8" t="s">
        <v>144</v>
      </c>
      <c r="C109" s="8" t="s">
        <v>360</v>
      </c>
      <c r="D109" s="8" t="s">
        <v>361</v>
      </c>
      <c r="E109" s="13">
        <v>112900</v>
      </c>
      <c r="F109" s="14">
        <v>194000</v>
      </c>
    </row>
    <row r="110" spans="1:6" x14ac:dyDescent="0.3">
      <c r="A110" s="8">
        <v>108</v>
      </c>
      <c r="B110" s="8" t="s">
        <v>144</v>
      </c>
      <c r="C110" s="8" t="s">
        <v>362</v>
      </c>
      <c r="D110" s="8" t="s">
        <v>363</v>
      </c>
      <c r="E110" s="13">
        <v>70000</v>
      </c>
      <c r="F110" s="14">
        <v>139815</v>
      </c>
    </row>
    <row r="111" spans="1:6" x14ac:dyDescent="0.3">
      <c r="A111" s="8">
        <v>109</v>
      </c>
      <c r="B111" s="8" t="s">
        <v>144</v>
      </c>
      <c r="C111" s="8" t="s">
        <v>364</v>
      </c>
      <c r="D111" s="8" t="s">
        <v>365</v>
      </c>
      <c r="E111" s="13">
        <v>0</v>
      </c>
      <c r="F111" s="14">
        <v>0</v>
      </c>
    </row>
    <row r="112" spans="1:6" x14ac:dyDescent="0.3">
      <c r="A112" s="8">
        <v>110</v>
      </c>
      <c r="B112" s="8" t="s">
        <v>144</v>
      </c>
      <c r="C112" s="8" t="s">
        <v>366</v>
      </c>
      <c r="D112" s="8" t="s">
        <v>367</v>
      </c>
      <c r="E112" s="13">
        <v>71000</v>
      </c>
      <c r="F112" s="14">
        <v>141667</v>
      </c>
    </row>
    <row r="113" spans="1:6" x14ac:dyDescent="0.3">
      <c r="A113" s="8">
        <v>111</v>
      </c>
      <c r="B113" s="8" t="s">
        <v>144</v>
      </c>
      <c r="C113" s="8" t="s">
        <v>368</v>
      </c>
      <c r="D113" s="8" t="s">
        <v>369</v>
      </c>
      <c r="E113" s="13">
        <v>314000</v>
      </c>
      <c r="F113" s="14">
        <v>504630</v>
      </c>
    </row>
    <row r="114" spans="1:6" x14ac:dyDescent="0.3">
      <c r="A114" s="8">
        <v>112</v>
      </c>
      <c r="B114" s="8" t="s">
        <v>144</v>
      </c>
      <c r="C114" s="8" t="s">
        <v>370</v>
      </c>
      <c r="D114" s="8" t="s">
        <v>371</v>
      </c>
      <c r="E114" s="13">
        <v>0</v>
      </c>
      <c r="F114" s="14">
        <v>0</v>
      </c>
    </row>
    <row r="115" spans="1:6" x14ac:dyDescent="0.3">
      <c r="A115" s="8">
        <v>113</v>
      </c>
      <c r="B115" s="8" t="s">
        <v>144</v>
      </c>
      <c r="C115" s="8" t="s">
        <v>372</v>
      </c>
      <c r="D115" s="8" t="s">
        <v>373</v>
      </c>
      <c r="E115" s="13">
        <v>70000</v>
      </c>
      <c r="F115" s="14">
        <v>139815</v>
      </c>
    </row>
    <row r="116" spans="1:6" x14ac:dyDescent="0.3">
      <c r="A116" s="8">
        <v>114</v>
      </c>
      <c r="B116" s="8" t="s">
        <v>144</v>
      </c>
      <c r="C116" s="8" t="s">
        <v>374</v>
      </c>
      <c r="D116" s="8" t="s">
        <v>375</v>
      </c>
      <c r="E116" s="13">
        <v>0</v>
      </c>
      <c r="F116" s="14">
        <v>4607407</v>
      </c>
    </row>
    <row r="117" spans="1:6" x14ac:dyDescent="0.3">
      <c r="A117" s="8">
        <v>115</v>
      </c>
      <c r="B117" s="8" t="s">
        <v>144</v>
      </c>
      <c r="C117" s="8" t="s">
        <v>376</v>
      </c>
      <c r="D117" s="8" t="s">
        <v>377</v>
      </c>
      <c r="E117" s="13">
        <v>0</v>
      </c>
      <c r="F117" s="14">
        <v>0</v>
      </c>
    </row>
    <row r="118" spans="1:6" x14ac:dyDescent="0.3">
      <c r="A118" s="8">
        <v>116</v>
      </c>
      <c r="B118" s="8" t="s">
        <v>144</v>
      </c>
      <c r="C118" s="8" t="s">
        <v>378</v>
      </c>
      <c r="D118" s="8" t="s">
        <v>379</v>
      </c>
      <c r="E118" s="13">
        <v>0</v>
      </c>
      <c r="F118" s="14">
        <v>0</v>
      </c>
    </row>
    <row r="119" spans="1:6" x14ac:dyDescent="0.3">
      <c r="A119" s="8">
        <v>117</v>
      </c>
      <c r="B119" s="8" t="s">
        <v>144</v>
      </c>
      <c r="C119" s="8" t="s">
        <v>380</v>
      </c>
      <c r="D119" s="8" t="s">
        <v>381</v>
      </c>
      <c r="E119" s="13">
        <v>176000</v>
      </c>
      <c r="F119" s="14">
        <v>351852</v>
      </c>
    </row>
    <row r="120" spans="1:6" x14ac:dyDescent="0.3">
      <c r="A120" s="8">
        <v>118</v>
      </c>
      <c r="B120" s="8" t="s">
        <v>144</v>
      </c>
      <c r="C120" s="8" t="s">
        <v>382</v>
      </c>
      <c r="D120" s="8" t="s">
        <v>383</v>
      </c>
      <c r="E120" s="13">
        <v>0</v>
      </c>
      <c r="F120" s="14">
        <v>0</v>
      </c>
    </row>
    <row r="121" spans="1:6" x14ac:dyDescent="0.3">
      <c r="A121" s="8">
        <v>119</v>
      </c>
      <c r="B121" s="8" t="s">
        <v>144</v>
      </c>
      <c r="C121" s="8" t="s">
        <v>384</v>
      </c>
      <c r="D121" s="8" t="s">
        <v>385</v>
      </c>
      <c r="E121" s="13">
        <v>158000</v>
      </c>
      <c r="F121" s="14">
        <v>315741</v>
      </c>
    </row>
    <row r="122" spans="1:6" x14ac:dyDescent="0.3">
      <c r="A122" s="8">
        <v>120</v>
      </c>
      <c r="B122" s="8" t="s">
        <v>144</v>
      </c>
      <c r="C122" s="8" t="s">
        <v>386</v>
      </c>
      <c r="D122" s="8" t="s">
        <v>387</v>
      </c>
      <c r="E122" s="13">
        <v>73000</v>
      </c>
      <c r="F122" s="14">
        <v>146296</v>
      </c>
    </row>
    <row r="123" spans="1:6" x14ac:dyDescent="0.3">
      <c r="A123" s="8">
        <v>121</v>
      </c>
      <c r="B123" s="8" t="s">
        <v>144</v>
      </c>
      <c r="C123" s="8" t="s">
        <v>388</v>
      </c>
      <c r="D123" s="8" t="s">
        <v>389</v>
      </c>
      <c r="E123" s="13">
        <v>0</v>
      </c>
      <c r="F123" s="14">
        <v>0</v>
      </c>
    </row>
    <row r="124" spans="1:6" x14ac:dyDescent="0.3">
      <c r="A124" s="8">
        <v>122</v>
      </c>
      <c r="B124" s="8" t="s">
        <v>144</v>
      </c>
      <c r="C124" s="8" t="s">
        <v>390</v>
      </c>
      <c r="D124" s="8" t="s">
        <v>391</v>
      </c>
      <c r="E124" s="13">
        <v>0</v>
      </c>
      <c r="F124" s="14">
        <v>0</v>
      </c>
    </row>
    <row r="125" spans="1:6" x14ac:dyDescent="0.3">
      <c r="A125" s="8">
        <v>123</v>
      </c>
      <c r="B125" s="8" t="s">
        <v>144</v>
      </c>
      <c r="C125" s="8" t="s">
        <v>392</v>
      </c>
      <c r="D125" s="8" t="s">
        <v>393</v>
      </c>
      <c r="E125" s="13">
        <v>0</v>
      </c>
      <c r="F125" s="14">
        <v>0</v>
      </c>
    </row>
    <row r="126" spans="1:6" x14ac:dyDescent="0.3">
      <c r="A126" s="8">
        <v>124</v>
      </c>
      <c r="B126" s="8" t="s">
        <v>144</v>
      </c>
      <c r="C126" s="8" t="s">
        <v>394</v>
      </c>
      <c r="D126" s="8" t="s">
        <v>395</v>
      </c>
      <c r="E126" s="13">
        <v>0</v>
      </c>
      <c r="F126" s="14">
        <v>2170370</v>
      </c>
    </row>
    <row r="127" spans="1:6" x14ac:dyDescent="0.3">
      <c r="A127" s="8">
        <v>125</v>
      </c>
      <c r="B127" s="8" t="s">
        <v>144</v>
      </c>
      <c r="C127" s="8" t="s">
        <v>396</v>
      </c>
      <c r="D127" s="8" t="s">
        <v>397</v>
      </c>
      <c r="E127" s="13">
        <v>0</v>
      </c>
      <c r="F127" s="14">
        <v>0</v>
      </c>
    </row>
    <row r="128" spans="1:6" x14ac:dyDescent="0.3">
      <c r="A128" s="8">
        <v>126</v>
      </c>
      <c r="B128" s="8" t="s">
        <v>144</v>
      </c>
      <c r="C128" s="8" t="s">
        <v>398</v>
      </c>
      <c r="D128" s="8" t="s">
        <v>399</v>
      </c>
      <c r="E128" s="13">
        <v>112600</v>
      </c>
      <c r="F128" s="14">
        <v>226000</v>
      </c>
    </row>
    <row r="129" spans="1:6" x14ac:dyDescent="0.3">
      <c r="A129" s="8">
        <v>127</v>
      </c>
      <c r="B129" s="8" t="s">
        <v>144</v>
      </c>
      <c r="C129" s="8" t="s">
        <v>400</v>
      </c>
      <c r="D129" s="8" t="s">
        <v>401</v>
      </c>
      <c r="E129" s="13">
        <v>99000</v>
      </c>
      <c r="F129" s="14">
        <v>198148</v>
      </c>
    </row>
    <row r="130" spans="1:6" x14ac:dyDescent="0.3">
      <c r="A130" s="8">
        <v>128</v>
      </c>
      <c r="B130" s="8" t="s">
        <v>144</v>
      </c>
      <c r="C130" s="8" t="s">
        <v>402</v>
      </c>
      <c r="D130" s="8" t="s">
        <v>403</v>
      </c>
      <c r="E130" s="13">
        <v>0</v>
      </c>
      <c r="F130" s="14">
        <v>0</v>
      </c>
    </row>
    <row r="131" spans="1:6" x14ac:dyDescent="0.3">
      <c r="A131" s="8">
        <v>129</v>
      </c>
      <c r="B131" s="8" t="s">
        <v>144</v>
      </c>
      <c r="C131" s="8" t="s">
        <v>404</v>
      </c>
      <c r="D131" s="8" t="s">
        <v>405</v>
      </c>
      <c r="E131" s="13">
        <v>0</v>
      </c>
      <c r="F131" s="14">
        <v>0</v>
      </c>
    </row>
    <row r="132" spans="1:6" x14ac:dyDescent="0.3">
      <c r="A132" s="8">
        <v>130</v>
      </c>
      <c r="B132" s="8" t="s">
        <v>144</v>
      </c>
      <c r="C132" s="8" t="s">
        <v>406</v>
      </c>
      <c r="D132" s="8" t="s">
        <v>407</v>
      </c>
      <c r="E132" s="13">
        <v>84900</v>
      </c>
      <c r="F132" s="14">
        <v>179630</v>
      </c>
    </row>
    <row r="133" spans="1:6" x14ac:dyDescent="0.3">
      <c r="A133" s="8">
        <v>131</v>
      </c>
      <c r="B133" s="8" t="s">
        <v>144</v>
      </c>
      <c r="C133" s="8" t="s">
        <v>408</v>
      </c>
      <c r="D133" s="8" t="s">
        <v>409</v>
      </c>
      <c r="E133" s="13">
        <v>0</v>
      </c>
      <c r="F133" s="14">
        <v>0</v>
      </c>
    </row>
    <row r="134" spans="1:6" x14ac:dyDescent="0.3">
      <c r="A134" s="8">
        <v>132</v>
      </c>
      <c r="B134" s="8" t="s">
        <v>144</v>
      </c>
      <c r="C134" s="8" t="s">
        <v>410</v>
      </c>
      <c r="D134" s="8" t="s">
        <v>411</v>
      </c>
      <c r="E134" s="13">
        <v>0</v>
      </c>
      <c r="F134" s="14">
        <v>0</v>
      </c>
    </row>
    <row r="135" spans="1:6" x14ac:dyDescent="0.3">
      <c r="A135" s="8">
        <v>133</v>
      </c>
      <c r="B135" s="8" t="s">
        <v>144</v>
      </c>
      <c r="C135" s="8" t="s">
        <v>412</v>
      </c>
      <c r="D135" s="8" t="s">
        <v>413</v>
      </c>
      <c r="E135" s="13">
        <v>0</v>
      </c>
      <c r="F135" s="14">
        <v>0</v>
      </c>
    </row>
    <row r="136" spans="1:6" x14ac:dyDescent="0.3">
      <c r="A136" s="8">
        <v>134</v>
      </c>
      <c r="B136" s="8" t="s">
        <v>144</v>
      </c>
      <c r="C136" s="8" t="s">
        <v>414</v>
      </c>
      <c r="D136" s="8" t="s">
        <v>415</v>
      </c>
      <c r="E136" s="13">
        <v>0</v>
      </c>
      <c r="F136" s="14">
        <v>0</v>
      </c>
    </row>
    <row r="137" spans="1:6" x14ac:dyDescent="0.3">
      <c r="A137" s="8">
        <v>135</v>
      </c>
      <c r="B137" s="8" t="s">
        <v>144</v>
      </c>
      <c r="C137" s="8" t="s">
        <v>416</v>
      </c>
      <c r="D137" s="8" t="s">
        <v>417</v>
      </c>
      <c r="E137" s="13">
        <v>99000</v>
      </c>
      <c r="F137" s="14">
        <v>198148</v>
      </c>
    </row>
    <row r="138" spans="1:6" x14ac:dyDescent="0.3">
      <c r="A138" s="8">
        <v>136</v>
      </c>
      <c r="B138" s="8" t="s">
        <v>144</v>
      </c>
      <c r="C138" s="8" t="s">
        <v>418</v>
      </c>
      <c r="D138" s="8" t="s">
        <v>419</v>
      </c>
      <c r="E138" s="13">
        <v>146000</v>
      </c>
      <c r="F138" s="14">
        <v>291667</v>
      </c>
    </row>
    <row r="139" spans="1:6" x14ac:dyDescent="0.3">
      <c r="A139" s="8">
        <v>137</v>
      </c>
      <c r="B139" s="8" t="s">
        <v>144</v>
      </c>
      <c r="C139" s="8" t="s">
        <v>420</v>
      </c>
      <c r="D139" s="8" t="s">
        <v>421</v>
      </c>
      <c r="E139" s="13">
        <v>71000</v>
      </c>
      <c r="F139" s="14">
        <v>141667</v>
      </c>
    </row>
    <row r="140" spans="1:6" x14ac:dyDescent="0.3">
      <c r="A140" s="8">
        <v>138</v>
      </c>
      <c r="B140" s="8" t="s">
        <v>144</v>
      </c>
      <c r="C140" s="8" t="s">
        <v>422</v>
      </c>
      <c r="D140" s="8" t="s">
        <v>423</v>
      </c>
      <c r="E140" s="13">
        <v>99000</v>
      </c>
      <c r="F140" s="14">
        <v>198148</v>
      </c>
    </row>
    <row r="141" spans="1:6" x14ac:dyDescent="0.3">
      <c r="A141" s="8">
        <v>139</v>
      </c>
      <c r="B141" s="8" t="s">
        <v>144</v>
      </c>
      <c r="C141" s="8" t="s">
        <v>424</v>
      </c>
      <c r="D141" s="8" t="s">
        <v>425</v>
      </c>
      <c r="E141" s="13">
        <v>0</v>
      </c>
      <c r="F141" s="14">
        <v>0</v>
      </c>
    </row>
    <row r="142" spans="1:6" x14ac:dyDescent="0.3">
      <c r="A142" s="8">
        <v>140</v>
      </c>
      <c r="B142" s="8" t="s">
        <v>144</v>
      </c>
      <c r="C142" s="8" t="s">
        <v>426</v>
      </c>
      <c r="D142" s="8" t="s">
        <v>427</v>
      </c>
      <c r="E142" s="13">
        <v>0</v>
      </c>
      <c r="F142" s="14">
        <v>0</v>
      </c>
    </row>
    <row r="143" spans="1:6" x14ac:dyDescent="0.3">
      <c r="A143" s="8">
        <v>141</v>
      </c>
      <c r="B143" s="8" t="s">
        <v>144</v>
      </c>
      <c r="C143" s="8" t="s">
        <v>428</v>
      </c>
      <c r="D143" s="8" t="s">
        <v>429</v>
      </c>
      <c r="E143" s="13">
        <v>0</v>
      </c>
      <c r="F143" s="14">
        <v>0</v>
      </c>
    </row>
    <row r="144" spans="1:6" x14ac:dyDescent="0.3">
      <c r="A144" s="8">
        <v>142</v>
      </c>
      <c r="B144" s="8" t="s">
        <v>144</v>
      </c>
      <c r="C144" s="8" t="s">
        <v>430</v>
      </c>
      <c r="D144" s="8" t="s">
        <v>431</v>
      </c>
      <c r="E144" s="13">
        <v>0</v>
      </c>
      <c r="F144" s="14">
        <v>560000</v>
      </c>
    </row>
    <row r="145" spans="1:6" x14ac:dyDescent="0.3">
      <c r="A145" s="8">
        <v>143</v>
      </c>
      <c r="B145" s="8" t="s">
        <v>144</v>
      </c>
      <c r="C145" s="8" t="s">
        <v>432</v>
      </c>
      <c r="D145" s="8" t="s">
        <v>433</v>
      </c>
      <c r="E145" s="13">
        <v>0</v>
      </c>
      <c r="F145" s="14">
        <v>0</v>
      </c>
    </row>
    <row r="146" spans="1:6" x14ac:dyDescent="0.3">
      <c r="A146" s="8">
        <v>144</v>
      </c>
      <c r="B146" s="8" t="s">
        <v>144</v>
      </c>
      <c r="C146" s="8" t="s">
        <v>434</v>
      </c>
      <c r="D146" s="8" t="s">
        <v>435</v>
      </c>
      <c r="E146" s="13">
        <v>0</v>
      </c>
      <c r="F146" s="14">
        <v>0</v>
      </c>
    </row>
    <row r="147" spans="1:6" x14ac:dyDescent="0.3">
      <c r="A147" s="8">
        <v>145</v>
      </c>
      <c r="B147" s="8" t="s">
        <v>144</v>
      </c>
      <c r="C147" s="8" t="s">
        <v>436</v>
      </c>
      <c r="D147" s="8" t="s">
        <v>437</v>
      </c>
      <c r="E147" s="13">
        <v>0</v>
      </c>
      <c r="F147" s="14">
        <v>0</v>
      </c>
    </row>
    <row r="148" spans="1:6" x14ac:dyDescent="0.3">
      <c r="A148" s="8">
        <v>146</v>
      </c>
      <c r="B148" s="8" t="s">
        <v>144</v>
      </c>
      <c r="C148" s="8" t="s">
        <v>438</v>
      </c>
      <c r="D148" s="8" t="s">
        <v>439</v>
      </c>
      <c r="E148" s="13">
        <v>0</v>
      </c>
      <c r="F148" s="14">
        <v>0</v>
      </c>
    </row>
    <row r="149" spans="1:6" x14ac:dyDescent="0.3">
      <c r="A149" s="8">
        <v>147</v>
      </c>
      <c r="B149" s="8" t="s">
        <v>144</v>
      </c>
      <c r="C149" s="8" t="s">
        <v>440</v>
      </c>
      <c r="D149" s="8" t="s">
        <v>441</v>
      </c>
      <c r="E149" s="13">
        <v>0</v>
      </c>
      <c r="F149" s="14">
        <v>0</v>
      </c>
    </row>
    <row r="150" spans="1:6" x14ac:dyDescent="0.3">
      <c r="A150" s="8">
        <v>148</v>
      </c>
      <c r="B150" s="8" t="s">
        <v>144</v>
      </c>
      <c r="C150" s="8" t="s">
        <v>442</v>
      </c>
      <c r="D150" s="8" t="s">
        <v>443</v>
      </c>
      <c r="E150" s="13">
        <v>0</v>
      </c>
      <c r="F150" s="14">
        <v>0</v>
      </c>
    </row>
    <row r="151" spans="1:6" x14ac:dyDescent="0.3">
      <c r="A151" s="8">
        <v>149</v>
      </c>
      <c r="B151" s="8" t="s">
        <v>144</v>
      </c>
      <c r="C151" s="8" t="s">
        <v>444</v>
      </c>
      <c r="D151" s="8" t="s">
        <v>445</v>
      </c>
      <c r="E151" s="13">
        <v>0</v>
      </c>
      <c r="F151" s="14">
        <v>0</v>
      </c>
    </row>
    <row r="152" spans="1:6" x14ac:dyDescent="0.3">
      <c r="A152" s="8">
        <v>150</v>
      </c>
      <c r="B152" s="8" t="s">
        <v>144</v>
      </c>
      <c r="C152" s="8" t="s">
        <v>446</v>
      </c>
      <c r="D152" s="8" t="s">
        <v>447</v>
      </c>
      <c r="E152" s="13">
        <v>0</v>
      </c>
      <c r="F152" s="14">
        <v>1910000</v>
      </c>
    </row>
    <row r="153" spans="1:6" x14ac:dyDescent="0.3">
      <c r="A153" s="8">
        <v>151</v>
      </c>
      <c r="B153" s="8" t="s">
        <v>144</v>
      </c>
      <c r="C153" s="8" t="s">
        <v>448</v>
      </c>
      <c r="D153" s="8" t="s">
        <v>449</v>
      </c>
      <c r="E153" s="13">
        <v>78300</v>
      </c>
      <c r="F153" s="14">
        <v>140000</v>
      </c>
    </row>
    <row r="154" spans="1:6" x14ac:dyDescent="0.3">
      <c r="A154" s="8">
        <v>152</v>
      </c>
      <c r="B154" s="8" t="s">
        <v>144</v>
      </c>
      <c r="C154" s="8" t="s">
        <v>450</v>
      </c>
      <c r="D154" s="8" t="s">
        <v>451</v>
      </c>
      <c r="E154" s="13">
        <v>99000</v>
      </c>
      <c r="F154" s="14">
        <v>198148</v>
      </c>
    </row>
    <row r="155" spans="1:6" x14ac:dyDescent="0.3">
      <c r="A155" s="8">
        <v>153</v>
      </c>
      <c r="B155" s="8" t="s">
        <v>144</v>
      </c>
      <c r="C155" s="8" t="s">
        <v>452</v>
      </c>
      <c r="D155" s="8" t="s">
        <v>453</v>
      </c>
      <c r="E155" s="13">
        <v>0</v>
      </c>
      <c r="F155" s="14">
        <v>802000</v>
      </c>
    </row>
    <row r="156" spans="1:6" x14ac:dyDescent="0.3">
      <c r="A156" s="8">
        <v>154</v>
      </c>
      <c r="B156" s="8" t="s">
        <v>144</v>
      </c>
      <c r="C156" s="8" t="s">
        <v>454</v>
      </c>
      <c r="D156" s="8" t="s">
        <v>455</v>
      </c>
      <c r="E156" s="13">
        <v>0</v>
      </c>
      <c r="F156" s="14">
        <v>0</v>
      </c>
    </row>
    <row r="157" spans="1:6" x14ac:dyDescent="0.3">
      <c r="A157" s="8">
        <v>155</v>
      </c>
      <c r="B157" s="8" t="s">
        <v>144</v>
      </c>
      <c r="C157" s="8" t="s">
        <v>456</v>
      </c>
      <c r="D157" s="8" t="s">
        <v>457</v>
      </c>
      <c r="E157" s="13">
        <v>137000</v>
      </c>
      <c r="F157" s="14">
        <v>289815</v>
      </c>
    </row>
    <row r="158" spans="1:6" x14ac:dyDescent="0.3">
      <c r="A158" s="8">
        <v>156</v>
      </c>
      <c r="B158" s="8" t="s">
        <v>144</v>
      </c>
      <c r="C158" s="8" t="s">
        <v>458</v>
      </c>
      <c r="D158" s="8" t="s">
        <v>459</v>
      </c>
      <c r="E158" s="13">
        <v>84900</v>
      </c>
      <c r="F158" s="14">
        <v>179630</v>
      </c>
    </row>
    <row r="159" spans="1:6" x14ac:dyDescent="0.3">
      <c r="A159" s="8">
        <v>157</v>
      </c>
      <c r="B159" s="8" t="s">
        <v>144</v>
      </c>
      <c r="C159" s="8" t="s">
        <v>460</v>
      </c>
      <c r="D159" s="8" t="s">
        <v>461</v>
      </c>
      <c r="E159" s="13">
        <v>0</v>
      </c>
      <c r="F159" s="14">
        <v>0</v>
      </c>
    </row>
    <row r="160" spans="1:6" x14ac:dyDescent="0.3">
      <c r="A160" s="8">
        <v>158</v>
      </c>
      <c r="B160" s="8" t="s">
        <v>144</v>
      </c>
      <c r="C160" s="8" t="s">
        <v>462</v>
      </c>
      <c r="D160" s="8" t="s">
        <v>463</v>
      </c>
      <c r="E160" s="13">
        <v>0</v>
      </c>
      <c r="F160" s="14">
        <v>0</v>
      </c>
    </row>
    <row r="161" spans="1:6" x14ac:dyDescent="0.3">
      <c r="A161" s="8">
        <v>159</v>
      </c>
      <c r="B161" s="8" t="s">
        <v>144</v>
      </c>
      <c r="C161" s="8" t="s">
        <v>464</v>
      </c>
      <c r="D161" s="8" t="s">
        <v>465</v>
      </c>
      <c r="E161" s="13">
        <v>503000</v>
      </c>
      <c r="F161" s="14">
        <v>1006000</v>
      </c>
    </row>
    <row r="162" spans="1:6" x14ac:dyDescent="0.3">
      <c r="A162" s="8">
        <v>160</v>
      </c>
      <c r="B162" s="8" t="s">
        <v>144</v>
      </c>
      <c r="C162" s="8" t="s">
        <v>466</v>
      </c>
      <c r="D162" s="8" t="s">
        <v>467</v>
      </c>
      <c r="E162" s="13">
        <v>0</v>
      </c>
      <c r="F162" s="14">
        <v>0</v>
      </c>
    </row>
    <row r="163" spans="1:6" x14ac:dyDescent="0.3">
      <c r="A163" s="8">
        <v>161</v>
      </c>
      <c r="B163" s="8" t="s">
        <v>144</v>
      </c>
      <c r="C163" s="8" t="s">
        <v>468</v>
      </c>
      <c r="D163" s="8" t="s">
        <v>469</v>
      </c>
      <c r="E163" s="13">
        <v>0</v>
      </c>
      <c r="F163" s="14">
        <v>0</v>
      </c>
    </row>
    <row r="164" spans="1:6" x14ac:dyDescent="0.3">
      <c r="A164" s="8">
        <v>162</v>
      </c>
      <c r="B164" s="8" t="s">
        <v>144</v>
      </c>
      <c r="C164" s="8" t="s">
        <v>470</v>
      </c>
      <c r="D164" s="8" t="s">
        <v>471</v>
      </c>
      <c r="E164" s="13">
        <v>442000</v>
      </c>
      <c r="F164" s="14">
        <v>710185</v>
      </c>
    </row>
    <row r="165" spans="1:6" x14ac:dyDescent="0.3">
      <c r="A165" s="8">
        <v>163</v>
      </c>
      <c r="B165" s="8" t="s">
        <v>144</v>
      </c>
      <c r="C165" s="8" t="s">
        <v>472</v>
      </c>
      <c r="D165" s="8" t="s">
        <v>473</v>
      </c>
      <c r="E165" s="13">
        <v>0</v>
      </c>
      <c r="F165" s="14">
        <v>6200000</v>
      </c>
    </row>
    <row r="166" spans="1:6" x14ac:dyDescent="0.3">
      <c r="A166" s="8">
        <v>164</v>
      </c>
      <c r="B166" s="8" t="s">
        <v>144</v>
      </c>
      <c r="C166" s="8" t="s">
        <v>474</v>
      </c>
      <c r="D166" s="8" t="s">
        <v>475</v>
      </c>
      <c r="E166" s="13">
        <v>77900</v>
      </c>
      <c r="F166" s="14">
        <v>146296</v>
      </c>
    </row>
    <row r="167" spans="1:6" x14ac:dyDescent="0.3">
      <c r="A167" s="8">
        <v>165</v>
      </c>
      <c r="B167" s="8" t="s">
        <v>144</v>
      </c>
      <c r="C167" s="8" t="s">
        <v>476</v>
      </c>
      <c r="D167" s="8" t="s">
        <v>477</v>
      </c>
      <c r="E167" s="13">
        <v>0</v>
      </c>
      <c r="F167" s="14">
        <v>0</v>
      </c>
    </row>
    <row r="168" spans="1:6" x14ac:dyDescent="0.3">
      <c r="A168" s="8">
        <v>166</v>
      </c>
      <c r="B168" s="8" t="s">
        <v>144</v>
      </c>
      <c r="C168" s="8" t="s">
        <v>478</v>
      </c>
      <c r="D168" s="8" t="s">
        <v>479</v>
      </c>
      <c r="E168" s="13">
        <v>0</v>
      </c>
      <c r="F168" s="14">
        <v>1210185</v>
      </c>
    </row>
    <row r="169" spans="1:6" x14ac:dyDescent="0.3">
      <c r="A169" s="8">
        <v>167</v>
      </c>
      <c r="B169" s="8" t="s">
        <v>144</v>
      </c>
      <c r="C169" s="8" t="s">
        <v>480</v>
      </c>
      <c r="D169" s="8" t="s">
        <v>481</v>
      </c>
      <c r="E169" s="13">
        <v>0</v>
      </c>
      <c r="F169" s="14">
        <v>0</v>
      </c>
    </row>
    <row r="170" spans="1:6" x14ac:dyDescent="0.3">
      <c r="A170" s="8">
        <v>168</v>
      </c>
      <c r="B170" s="8" t="s">
        <v>144</v>
      </c>
      <c r="C170" s="8" t="s">
        <v>482</v>
      </c>
      <c r="D170" s="8" t="s">
        <v>483</v>
      </c>
      <c r="E170" s="13">
        <v>0</v>
      </c>
      <c r="F170" s="14">
        <v>0</v>
      </c>
    </row>
    <row r="171" spans="1:6" x14ac:dyDescent="0.3">
      <c r="A171" s="8">
        <v>169</v>
      </c>
      <c r="B171" s="8" t="s">
        <v>144</v>
      </c>
      <c r="C171" s="8" t="s">
        <v>484</v>
      </c>
      <c r="D171" s="8" t="s">
        <v>485</v>
      </c>
      <c r="E171" s="13">
        <v>2903400</v>
      </c>
      <c r="F171" s="14">
        <v>5648148</v>
      </c>
    </row>
    <row r="172" spans="1:6" x14ac:dyDescent="0.3">
      <c r="A172" s="8">
        <v>170</v>
      </c>
      <c r="B172" s="8" t="s">
        <v>144</v>
      </c>
      <c r="C172" s="8" t="s">
        <v>486</v>
      </c>
      <c r="D172" s="8" t="s">
        <v>487</v>
      </c>
      <c r="E172" s="13">
        <v>98600</v>
      </c>
      <c r="F172" s="14">
        <v>197222</v>
      </c>
    </row>
    <row r="173" spans="1:6" x14ac:dyDescent="0.3">
      <c r="A173" s="8">
        <v>171</v>
      </c>
      <c r="B173" s="8" t="s">
        <v>144</v>
      </c>
      <c r="C173" s="8" t="s">
        <v>488</v>
      </c>
      <c r="D173" s="8" t="s">
        <v>489</v>
      </c>
      <c r="E173" s="13">
        <v>0</v>
      </c>
      <c r="F173" s="14">
        <v>0</v>
      </c>
    </row>
    <row r="174" spans="1:6" x14ac:dyDescent="0.3">
      <c r="A174" s="8">
        <v>172</v>
      </c>
      <c r="B174" s="8" t="s">
        <v>144</v>
      </c>
      <c r="C174" s="8" t="s">
        <v>490</v>
      </c>
      <c r="D174" s="8" t="s">
        <v>491</v>
      </c>
      <c r="E174" s="13">
        <v>0</v>
      </c>
      <c r="F174" s="14">
        <v>0</v>
      </c>
    </row>
    <row r="175" spans="1:6" x14ac:dyDescent="0.3">
      <c r="A175" s="8">
        <v>173</v>
      </c>
      <c r="B175" s="8" t="s">
        <v>144</v>
      </c>
      <c r="C175" s="8" t="s">
        <v>492</v>
      </c>
      <c r="D175" s="8" t="s">
        <v>493</v>
      </c>
      <c r="E175" s="13">
        <v>99000</v>
      </c>
      <c r="F175" s="14">
        <v>198148</v>
      </c>
    </row>
    <row r="176" spans="1:6" x14ac:dyDescent="0.3">
      <c r="A176" s="8">
        <v>174</v>
      </c>
      <c r="B176" s="8" t="s">
        <v>144</v>
      </c>
      <c r="C176" s="8" t="s">
        <v>494</v>
      </c>
      <c r="D176" s="8" t="s">
        <v>495</v>
      </c>
      <c r="E176" s="13">
        <v>180600</v>
      </c>
      <c r="F176" s="14">
        <v>361111</v>
      </c>
    </row>
    <row r="177" spans="1:6" x14ac:dyDescent="0.3">
      <c r="A177" s="8">
        <v>175</v>
      </c>
      <c r="B177" s="8" t="s">
        <v>144</v>
      </c>
      <c r="C177" s="8" t="s">
        <v>496</v>
      </c>
      <c r="D177" s="8" t="s">
        <v>497</v>
      </c>
      <c r="E177" s="13">
        <v>0</v>
      </c>
      <c r="F177" s="14">
        <v>0</v>
      </c>
    </row>
    <row r="178" spans="1:6" x14ac:dyDescent="0.3">
      <c r="A178" s="8">
        <v>176</v>
      </c>
      <c r="B178" s="8" t="s">
        <v>144</v>
      </c>
      <c r="C178" s="8" t="s">
        <v>498</v>
      </c>
      <c r="D178" s="8" t="s">
        <v>499</v>
      </c>
      <c r="E178" s="13">
        <v>71100</v>
      </c>
      <c r="F178" s="14">
        <v>125926</v>
      </c>
    </row>
    <row r="179" spans="1:6" x14ac:dyDescent="0.3">
      <c r="A179" s="8">
        <v>177</v>
      </c>
      <c r="B179" s="8" t="s">
        <v>144</v>
      </c>
      <c r="C179" s="8" t="s">
        <v>500</v>
      </c>
      <c r="D179" s="8" t="s">
        <v>501</v>
      </c>
      <c r="E179" s="13">
        <v>0</v>
      </c>
      <c r="F179" s="14">
        <v>503000</v>
      </c>
    </row>
    <row r="180" spans="1:6" x14ac:dyDescent="0.3">
      <c r="A180" s="8">
        <v>178</v>
      </c>
      <c r="B180" s="8" t="s">
        <v>144</v>
      </c>
      <c r="C180" s="8" t="s">
        <v>502</v>
      </c>
      <c r="D180" s="8" t="s">
        <v>503</v>
      </c>
      <c r="E180" s="13">
        <v>0</v>
      </c>
      <c r="F180" s="14">
        <v>475000</v>
      </c>
    </row>
    <row r="181" spans="1:6" x14ac:dyDescent="0.3">
      <c r="A181" s="8">
        <v>179</v>
      </c>
      <c r="B181" s="8" t="s">
        <v>144</v>
      </c>
      <c r="C181" s="8" t="s">
        <v>504</v>
      </c>
      <c r="D181" s="8" t="s">
        <v>505</v>
      </c>
      <c r="E181" s="13">
        <v>0</v>
      </c>
      <c r="F181" s="14">
        <v>0</v>
      </c>
    </row>
    <row r="182" spans="1:6" x14ac:dyDescent="0.3">
      <c r="A182" s="8">
        <v>180</v>
      </c>
      <c r="B182" s="8" t="s">
        <v>144</v>
      </c>
      <c r="C182" s="8" t="s">
        <v>506</v>
      </c>
      <c r="D182" s="8" t="s">
        <v>507</v>
      </c>
      <c r="E182" s="13">
        <v>0</v>
      </c>
      <c r="F182" s="14">
        <v>0</v>
      </c>
    </row>
    <row r="183" spans="1:6" x14ac:dyDescent="0.3">
      <c r="A183" s="8">
        <v>181</v>
      </c>
      <c r="B183" s="8" t="s">
        <v>144</v>
      </c>
      <c r="C183" s="8" t="s">
        <v>508</v>
      </c>
      <c r="D183" s="8" t="s">
        <v>509</v>
      </c>
      <c r="E183" s="13">
        <v>0</v>
      </c>
      <c r="F183" s="14">
        <v>0</v>
      </c>
    </row>
    <row r="184" spans="1:6" x14ac:dyDescent="0.3">
      <c r="A184" s="8">
        <v>182</v>
      </c>
      <c r="B184" s="8" t="s">
        <v>144</v>
      </c>
      <c r="C184" s="8" t="s">
        <v>510</v>
      </c>
      <c r="D184" s="8" t="s">
        <v>511</v>
      </c>
      <c r="E184" s="13">
        <v>200000</v>
      </c>
      <c r="F184" s="14">
        <v>424000</v>
      </c>
    </row>
    <row r="185" spans="1:6" x14ac:dyDescent="0.3">
      <c r="A185" s="8">
        <v>183</v>
      </c>
      <c r="B185" s="8" t="s">
        <v>144</v>
      </c>
      <c r="C185" s="8" t="s">
        <v>512</v>
      </c>
      <c r="D185" s="8" t="s">
        <v>513</v>
      </c>
      <c r="E185" s="13">
        <v>0</v>
      </c>
      <c r="F185" s="14">
        <v>0</v>
      </c>
    </row>
    <row r="186" spans="1:6" x14ac:dyDescent="0.3">
      <c r="A186" s="8">
        <v>184</v>
      </c>
      <c r="B186" s="8" t="s">
        <v>144</v>
      </c>
      <c r="C186" s="8" t="s">
        <v>514</v>
      </c>
      <c r="D186" s="8" t="s">
        <v>515</v>
      </c>
      <c r="E186" s="13">
        <v>0</v>
      </c>
      <c r="F186" s="14">
        <v>0</v>
      </c>
    </row>
    <row r="187" spans="1:6" x14ac:dyDescent="0.3">
      <c r="A187" s="8">
        <v>185</v>
      </c>
      <c r="B187" s="8" t="s">
        <v>144</v>
      </c>
      <c r="C187" s="8" t="s">
        <v>516</v>
      </c>
      <c r="D187" s="8" t="s">
        <v>517</v>
      </c>
      <c r="E187" s="13">
        <v>141500</v>
      </c>
      <c r="F187" s="14">
        <v>260000</v>
      </c>
    </row>
    <row r="188" spans="1:6" x14ac:dyDescent="0.3">
      <c r="A188" s="8">
        <v>186</v>
      </c>
      <c r="B188" s="8" t="s">
        <v>144</v>
      </c>
      <c r="C188" s="8" t="s">
        <v>518</v>
      </c>
      <c r="D188" s="8" t="s">
        <v>519</v>
      </c>
      <c r="E188" s="13">
        <v>430000</v>
      </c>
      <c r="F188" s="14">
        <v>860000</v>
      </c>
    </row>
    <row r="189" spans="1:6" x14ac:dyDescent="0.3">
      <c r="A189" s="8">
        <v>187</v>
      </c>
      <c r="B189" s="8" t="s">
        <v>144</v>
      </c>
      <c r="C189" s="8" t="s">
        <v>520</v>
      </c>
      <c r="D189" s="8" t="s">
        <v>521</v>
      </c>
      <c r="E189" s="13">
        <v>155000</v>
      </c>
      <c r="F189" s="14">
        <v>310185</v>
      </c>
    </row>
    <row r="190" spans="1:6" x14ac:dyDescent="0.3">
      <c r="A190" s="8">
        <v>188</v>
      </c>
      <c r="B190" s="8" t="s">
        <v>144</v>
      </c>
      <c r="C190" s="8" t="s">
        <v>522</v>
      </c>
      <c r="D190" s="8" t="s">
        <v>523</v>
      </c>
      <c r="E190" s="13">
        <v>0</v>
      </c>
      <c r="F190" s="14">
        <v>6439815</v>
      </c>
    </row>
    <row r="191" spans="1:6" x14ac:dyDescent="0.3">
      <c r="A191" s="8">
        <v>189</v>
      </c>
      <c r="B191" s="8" t="s">
        <v>144</v>
      </c>
      <c r="C191" s="8" t="s">
        <v>524</v>
      </c>
      <c r="D191" s="8" t="s">
        <v>525</v>
      </c>
      <c r="E191" s="13">
        <v>0</v>
      </c>
      <c r="F191" s="14">
        <v>0</v>
      </c>
    </row>
    <row r="192" spans="1:6" x14ac:dyDescent="0.3">
      <c r="A192" s="8">
        <v>190</v>
      </c>
      <c r="B192" s="8" t="s">
        <v>144</v>
      </c>
      <c r="C192" s="8" t="s">
        <v>526</v>
      </c>
      <c r="D192" s="8" t="s">
        <v>527</v>
      </c>
      <c r="E192" s="13">
        <v>0</v>
      </c>
      <c r="F192" s="14">
        <v>0</v>
      </c>
    </row>
    <row r="193" spans="1:6" x14ac:dyDescent="0.3">
      <c r="A193" s="8">
        <v>191</v>
      </c>
      <c r="B193" s="8" t="s">
        <v>144</v>
      </c>
      <c r="C193" s="8" t="s">
        <v>528</v>
      </c>
      <c r="D193" s="8" t="s">
        <v>529</v>
      </c>
      <c r="E193" s="13">
        <v>126000</v>
      </c>
      <c r="F193" s="14">
        <v>251852</v>
      </c>
    </row>
    <row r="194" spans="1:6" x14ac:dyDescent="0.3">
      <c r="A194" s="8">
        <v>192</v>
      </c>
      <c r="B194" s="8" t="s">
        <v>144</v>
      </c>
      <c r="C194" s="8" t="s">
        <v>530</v>
      </c>
      <c r="D194" s="8" t="s">
        <v>531</v>
      </c>
      <c r="E194" s="13">
        <v>126000</v>
      </c>
      <c r="F194" s="14">
        <v>251852</v>
      </c>
    </row>
    <row r="195" spans="1:6" x14ac:dyDescent="0.3">
      <c r="A195" s="8">
        <v>193</v>
      </c>
      <c r="B195" s="8" t="s">
        <v>144</v>
      </c>
      <c r="C195" s="8" t="s">
        <v>532</v>
      </c>
      <c r="D195" s="8" t="s">
        <v>533</v>
      </c>
      <c r="E195" s="13">
        <v>56000</v>
      </c>
      <c r="F195" s="14">
        <v>112037</v>
      </c>
    </row>
    <row r="196" spans="1:6" x14ac:dyDescent="0.3">
      <c r="A196" s="8">
        <v>194</v>
      </c>
      <c r="B196" s="8" t="s">
        <v>144</v>
      </c>
      <c r="C196" s="8" t="s">
        <v>534</v>
      </c>
      <c r="D196" s="8" t="s">
        <v>535</v>
      </c>
      <c r="E196" s="13">
        <v>98600</v>
      </c>
      <c r="F196" s="14">
        <v>197222</v>
      </c>
    </row>
    <row r="197" spans="1:6" x14ac:dyDescent="0.3">
      <c r="A197" s="8">
        <v>195</v>
      </c>
      <c r="B197" s="8" t="s">
        <v>144</v>
      </c>
      <c r="C197" s="8" t="s">
        <v>536</v>
      </c>
      <c r="D197" s="8" t="s">
        <v>537</v>
      </c>
      <c r="E197" s="13">
        <v>0</v>
      </c>
      <c r="F197" s="14">
        <v>0</v>
      </c>
    </row>
    <row r="198" spans="1:6" x14ac:dyDescent="0.3">
      <c r="A198" s="8">
        <v>196</v>
      </c>
      <c r="B198" s="8" t="s">
        <v>144</v>
      </c>
      <c r="C198" s="8" t="s">
        <v>538</v>
      </c>
      <c r="D198" s="8" t="s">
        <v>539</v>
      </c>
      <c r="E198" s="13">
        <v>0</v>
      </c>
      <c r="F198" s="14">
        <v>0</v>
      </c>
    </row>
    <row r="199" spans="1:6" x14ac:dyDescent="0.3">
      <c r="A199" s="8">
        <v>197</v>
      </c>
      <c r="B199" s="8" t="s">
        <v>144</v>
      </c>
      <c r="C199" s="8" t="s">
        <v>540</v>
      </c>
      <c r="D199" s="8" t="s">
        <v>541</v>
      </c>
      <c r="E199" s="13">
        <v>0</v>
      </c>
      <c r="F199" s="14">
        <v>0</v>
      </c>
    </row>
    <row r="200" spans="1:6" x14ac:dyDescent="0.3">
      <c r="A200" s="8">
        <v>198</v>
      </c>
      <c r="B200" s="8" t="s">
        <v>144</v>
      </c>
      <c r="C200" s="8" t="s">
        <v>542</v>
      </c>
      <c r="D200" s="8" t="s">
        <v>543</v>
      </c>
      <c r="E200" s="13">
        <v>0</v>
      </c>
      <c r="F200" s="14">
        <v>2170370</v>
      </c>
    </row>
    <row r="201" spans="1:6" x14ac:dyDescent="0.3">
      <c r="A201" s="8">
        <v>199</v>
      </c>
      <c r="B201" s="8" t="s">
        <v>144</v>
      </c>
      <c r="C201" s="8" t="s">
        <v>544</v>
      </c>
      <c r="D201" s="8" t="s">
        <v>545</v>
      </c>
      <c r="E201" s="13">
        <v>0</v>
      </c>
      <c r="F201" s="14">
        <v>0</v>
      </c>
    </row>
    <row r="202" spans="1:6" x14ac:dyDescent="0.3">
      <c r="A202" s="8">
        <v>200</v>
      </c>
      <c r="B202" s="8" t="s">
        <v>144</v>
      </c>
      <c r="C202" s="8" t="s">
        <v>546</v>
      </c>
      <c r="D202" s="8" t="s">
        <v>547</v>
      </c>
      <c r="E202" s="13">
        <v>0</v>
      </c>
      <c r="F202" s="14">
        <v>503000</v>
      </c>
    </row>
    <row r="203" spans="1:6" x14ac:dyDescent="0.3">
      <c r="A203" s="8">
        <v>201</v>
      </c>
      <c r="B203" s="8" t="s">
        <v>144</v>
      </c>
      <c r="C203" s="8" t="s">
        <v>548</v>
      </c>
      <c r="D203" s="8" t="s">
        <v>549</v>
      </c>
      <c r="E203" s="13">
        <v>112600</v>
      </c>
      <c r="F203" s="14">
        <v>226000</v>
      </c>
    </row>
    <row r="204" spans="1:6" x14ac:dyDescent="0.3">
      <c r="A204" s="8">
        <v>202</v>
      </c>
      <c r="B204" s="8" t="s">
        <v>144</v>
      </c>
      <c r="C204" s="8" t="s">
        <v>550</v>
      </c>
      <c r="D204" s="8" t="s">
        <v>551</v>
      </c>
      <c r="E204" s="13">
        <v>79200</v>
      </c>
      <c r="F204" s="14">
        <v>166000</v>
      </c>
    </row>
    <row r="205" spans="1:6" x14ac:dyDescent="0.3">
      <c r="A205" s="8">
        <v>203</v>
      </c>
      <c r="B205" s="8" t="s">
        <v>144</v>
      </c>
      <c r="C205" s="8" t="s">
        <v>552</v>
      </c>
      <c r="D205" s="8" t="s">
        <v>553</v>
      </c>
      <c r="E205" s="13">
        <v>0</v>
      </c>
      <c r="F205" s="14">
        <v>847000</v>
      </c>
    </row>
    <row r="206" spans="1:6" x14ac:dyDescent="0.3">
      <c r="A206" s="8">
        <v>204</v>
      </c>
      <c r="B206" s="8" t="s">
        <v>144</v>
      </c>
      <c r="C206" s="8" t="s">
        <v>554</v>
      </c>
      <c r="D206" s="8" t="s">
        <v>555</v>
      </c>
      <c r="E206" s="13">
        <v>52700</v>
      </c>
      <c r="F206" s="14">
        <v>97963</v>
      </c>
    </row>
    <row r="207" spans="1:6" x14ac:dyDescent="0.3">
      <c r="A207" s="8">
        <v>205</v>
      </c>
      <c r="B207" s="8" t="s">
        <v>144</v>
      </c>
      <c r="C207" s="8" t="s">
        <v>556</v>
      </c>
      <c r="D207" s="8" t="s">
        <v>557</v>
      </c>
      <c r="E207" s="13">
        <v>453000</v>
      </c>
      <c r="F207" s="14">
        <v>816000</v>
      </c>
    </row>
    <row r="208" spans="1:6" x14ac:dyDescent="0.3">
      <c r="A208" s="8">
        <v>206</v>
      </c>
      <c r="B208" s="8" t="s">
        <v>144</v>
      </c>
      <c r="C208" s="8" t="s">
        <v>558</v>
      </c>
      <c r="D208" s="8" t="s">
        <v>559</v>
      </c>
      <c r="E208" s="13">
        <v>0</v>
      </c>
      <c r="F208" s="14">
        <v>0</v>
      </c>
    </row>
    <row r="209" spans="1:6" x14ac:dyDescent="0.3">
      <c r="A209" s="8">
        <v>207</v>
      </c>
      <c r="B209" s="8" t="s">
        <v>144</v>
      </c>
      <c r="C209" s="8" t="s">
        <v>560</v>
      </c>
      <c r="D209" s="8" t="s">
        <v>561</v>
      </c>
      <c r="E209" s="13">
        <v>0</v>
      </c>
      <c r="F209" s="14">
        <v>0</v>
      </c>
    </row>
    <row r="210" spans="1:6" x14ac:dyDescent="0.3">
      <c r="A210" s="8">
        <v>208</v>
      </c>
      <c r="B210" s="8" t="s">
        <v>144</v>
      </c>
      <c r="C210" s="8" t="s">
        <v>562</v>
      </c>
      <c r="D210" s="8" t="s">
        <v>563</v>
      </c>
      <c r="E210" s="13">
        <v>0</v>
      </c>
      <c r="F210" s="14">
        <v>0</v>
      </c>
    </row>
    <row r="211" spans="1:6" x14ac:dyDescent="0.3">
      <c r="A211" s="8">
        <v>209</v>
      </c>
      <c r="B211" s="8" t="s">
        <v>144</v>
      </c>
      <c r="C211" s="8" t="s">
        <v>564</v>
      </c>
      <c r="D211" s="8" t="s">
        <v>565</v>
      </c>
      <c r="E211" s="13">
        <v>137000</v>
      </c>
      <c r="F211" s="14">
        <v>289815</v>
      </c>
    </row>
    <row r="212" spans="1:6" x14ac:dyDescent="0.3">
      <c r="A212" s="8">
        <v>210</v>
      </c>
      <c r="B212" s="8" t="s">
        <v>144</v>
      </c>
      <c r="C212" s="8" t="s">
        <v>566</v>
      </c>
      <c r="D212" s="8" t="s">
        <v>567</v>
      </c>
      <c r="E212" s="13">
        <v>314000</v>
      </c>
      <c r="F212" s="14">
        <v>504630</v>
      </c>
    </row>
    <row r="213" spans="1:6" x14ac:dyDescent="0.3">
      <c r="A213" s="8">
        <v>211</v>
      </c>
      <c r="B213" s="8" t="s">
        <v>144</v>
      </c>
      <c r="C213" s="8" t="s">
        <v>568</v>
      </c>
      <c r="D213" s="8" t="s">
        <v>569</v>
      </c>
      <c r="E213" s="13">
        <v>0</v>
      </c>
      <c r="F213" s="14">
        <v>0</v>
      </c>
    </row>
    <row r="214" spans="1:6" x14ac:dyDescent="0.3">
      <c r="A214" s="8">
        <v>212</v>
      </c>
      <c r="B214" s="8" t="s">
        <v>144</v>
      </c>
      <c r="C214" s="8" t="s">
        <v>570</v>
      </c>
      <c r="D214" s="8" t="s">
        <v>571</v>
      </c>
      <c r="E214" s="13">
        <v>0</v>
      </c>
      <c r="F214" s="14">
        <v>0</v>
      </c>
    </row>
    <row r="215" spans="1:6" x14ac:dyDescent="0.3">
      <c r="A215" s="8">
        <v>213</v>
      </c>
      <c r="B215" s="8" t="s">
        <v>144</v>
      </c>
      <c r="C215" s="8" t="s">
        <v>572</v>
      </c>
      <c r="D215" s="8" t="s">
        <v>573</v>
      </c>
      <c r="E215" s="13">
        <v>1713400</v>
      </c>
      <c r="F215" s="14">
        <v>3333333</v>
      </c>
    </row>
    <row r="216" spans="1:6" x14ac:dyDescent="0.3">
      <c r="A216" s="8">
        <v>214</v>
      </c>
      <c r="B216" s="8" t="s">
        <v>144</v>
      </c>
      <c r="C216" s="8" t="s">
        <v>574</v>
      </c>
      <c r="D216" s="8" t="s">
        <v>575</v>
      </c>
      <c r="E216" s="13">
        <v>0</v>
      </c>
      <c r="F216" s="14">
        <v>0</v>
      </c>
    </row>
    <row r="217" spans="1:6" x14ac:dyDescent="0.3">
      <c r="A217" s="8">
        <v>215</v>
      </c>
      <c r="B217" s="8" t="s">
        <v>144</v>
      </c>
      <c r="C217" s="8" t="s">
        <v>576</v>
      </c>
      <c r="D217" s="8" t="s">
        <v>577</v>
      </c>
      <c r="E217" s="13">
        <v>365000</v>
      </c>
      <c r="F217" s="14">
        <v>729630</v>
      </c>
    </row>
    <row r="218" spans="1:6" x14ac:dyDescent="0.3">
      <c r="A218" s="8">
        <v>216</v>
      </c>
      <c r="B218" s="8" t="s">
        <v>144</v>
      </c>
      <c r="C218" s="8" t="s">
        <v>578</v>
      </c>
      <c r="D218" s="8" t="s">
        <v>579</v>
      </c>
      <c r="E218" s="13">
        <v>0</v>
      </c>
      <c r="F218" s="14">
        <v>0</v>
      </c>
    </row>
    <row r="219" spans="1:6" x14ac:dyDescent="0.3">
      <c r="A219" s="8">
        <v>217</v>
      </c>
      <c r="B219" s="8" t="s">
        <v>144</v>
      </c>
      <c r="C219" s="8" t="s">
        <v>580</v>
      </c>
      <c r="D219" s="8" t="s">
        <v>581</v>
      </c>
      <c r="E219" s="13">
        <v>0</v>
      </c>
      <c r="F219" s="14">
        <v>0</v>
      </c>
    </row>
    <row r="220" spans="1:6" x14ac:dyDescent="0.3">
      <c r="A220" s="8">
        <v>218</v>
      </c>
      <c r="B220" s="8" t="s">
        <v>144</v>
      </c>
      <c r="C220" s="8" t="s">
        <v>582</v>
      </c>
      <c r="D220" s="8" t="s">
        <v>583</v>
      </c>
      <c r="E220" s="13">
        <v>0</v>
      </c>
      <c r="F220" s="14">
        <v>0</v>
      </c>
    </row>
    <row r="221" spans="1:6" x14ac:dyDescent="0.3">
      <c r="A221" s="8">
        <v>219</v>
      </c>
      <c r="B221" s="8" t="s">
        <v>144</v>
      </c>
      <c r="C221" s="8" t="s">
        <v>584</v>
      </c>
      <c r="D221" s="8" t="s">
        <v>585</v>
      </c>
      <c r="E221" s="13">
        <v>0</v>
      </c>
      <c r="F221" s="14">
        <v>0</v>
      </c>
    </row>
    <row r="222" spans="1:6" x14ac:dyDescent="0.3">
      <c r="A222" s="8">
        <v>220</v>
      </c>
      <c r="B222" s="8" t="s">
        <v>144</v>
      </c>
      <c r="C222" s="8" t="s">
        <v>586</v>
      </c>
      <c r="D222" s="8" t="s">
        <v>587</v>
      </c>
      <c r="E222" s="13">
        <v>0</v>
      </c>
      <c r="F222" s="14">
        <v>580000</v>
      </c>
    </row>
    <row r="223" spans="1:6" x14ac:dyDescent="0.3">
      <c r="A223" s="8">
        <v>221</v>
      </c>
      <c r="B223" s="8" t="s">
        <v>144</v>
      </c>
      <c r="C223" s="8" t="s">
        <v>588</v>
      </c>
      <c r="D223" s="8" t="s">
        <v>589</v>
      </c>
      <c r="E223" s="13">
        <v>0</v>
      </c>
      <c r="F223" s="14">
        <v>0</v>
      </c>
    </row>
    <row r="224" spans="1:6" x14ac:dyDescent="0.3">
      <c r="A224" s="8">
        <v>222</v>
      </c>
      <c r="B224" s="8" t="s">
        <v>144</v>
      </c>
      <c r="C224" s="8" t="s">
        <v>590</v>
      </c>
      <c r="D224" s="8" t="s">
        <v>591</v>
      </c>
      <c r="E224" s="13">
        <v>0</v>
      </c>
      <c r="F224" s="14">
        <v>0</v>
      </c>
    </row>
    <row r="225" spans="1:6" x14ac:dyDescent="0.3">
      <c r="A225" s="8">
        <v>223</v>
      </c>
      <c r="B225" s="8" t="s">
        <v>144</v>
      </c>
      <c r="C225" s="8" t="s">
        <v>592</v>
      </c>
      <c r="D225" s="8" t="s">
        <v>593</v>
      </c>
      <c r="E225" s="13">
        <v>0</v>
      </c>
      <c r="F225" s="14">
        <v>0</v>
      </c>
    </row>
    <row r="226" spans="1:6" x14ac:dyDescent="0.3">
      <c r="A226" s="8">
        <v>224</v>
      </c>
      <c r="B226" s="8" t="s">
        <v>144</v>
      </c>
      <c r="C226" s="8" t="s">
        <v>594</v>
      </c>
      <c r="D226" s="8" t="s">
        <v>595</v>
      </c>
      <c r="E226" s="13">
        <v>0</v>
      </c>
      <c r="F226" s="14">
        <v>0</v>
      </c>
    </row>
    <row r="227" spans="1:6" x14ac:dyDescent="0.3">
      <c r="A227" s="8">
        <v>225</v>
      </c>
      <c r="B227" s="8" t="s">
        <v>144</v>
      </c>
      <c r="C227" s="8" t="s">
        <v>596</v>
      </c>
      <c r="D227" s="8" t="s">
        <v>597</v>
      </c>
      <c r="E227" s="13">
        <v>0</v>
      </c>
      <c r="F227" s="14">
        <v>0</v>
      </c>
    </row>
    <row r="228" spans="1:6" x14ac:dyDescent="0.3">
      <c r="A228" s="8">
        <v>226</v>
      </c>
      <c r="B228" s="8" t="s">
        <v>144</v>
      </c>
      <c r="C228" s="8" t="s">
        <v>598</v>
      </c>
      <c r="D228" s="8" t="s">
        <v>599</v>
      </c>
      <c r="E228" s="13">
        <v>0</v>
      </c>
      <c r="F228" s="14">
        <v>0</v>
      </c>
    </row>
    <row r="229" spans="1:6" x14ac:dyDescent="0.3">
      <c r="A229" s="8">
        <v>227</v>
      </c>
      <c r="B229" s="8" t="s">
        <v>144</v>
      </c>
      <c r="C229" s="8" t="s">
        <v>600</v>
      </c>
      <c r="D229" s="8" t="s">
        <v>601</v>
      </c>
      <c r="E229" s="13">
        <v>124000</v>
      </c>
      <c r="F229" s="14">
        <v>248000</v>
      </c>
    </row>
    <row r="230" spans="1:6" x14ac:dyDescent="0.3">
      <c r="A230" s="8">
        <v>228</v>
      </c>
      <c r="B230" s="8" t="s">
        <v>144</v>
      </c>
      <c r="C230" s="8" t="s">
        <v>602</v>
      </c>
      <c r="D230" s="8" t="s">
        <v>603</v>
      </c>
      <c r="E230" s="13">
        <v>81000</v>
      </c>
      <c r="F230" s="14">
        <v>180000</v>
      </c>
    </row>
    <row r="231" spans="1:6" x14ac:dyDescent="0.3">
      <c r="A231" s="8">
        <v>229</v>
      </c>
      <c r="B231" s="8" t="s">
        <v>144</v>
      </c>
      <c r="C231" s="8" t="s">
        <v>604</v>
      </c>
      <c r="D231" s="8" t="s">
        <v>605</v>
      </c>
      <c r="E231" s="13">
        <v>84900</v>
      </c>
      <c r="F231" s="14">
        <v>179630</v>
      </c>
    </row>
    <row r="232" spans="1:6" x14ac:dyDescent="0.3">
      <c r="A232" s="8">
        <v>230</v>
      </c>
      <c r="B232" s="8" t="s">
        <v>144</v>
      </c>
      <c r="C232" s="8" t="s">
        <v>606</v>
      </c>
      <c r="D232" s="8" t="s">
        <v>607</v>
      </c>
      <c r="E232" s="13">
        <v>0</v>
      </c>
      <c r="F232" s="14">
        <v>0</v>
      </c>
    </row>
    <row r="233" spans="1:6" x14ac:dyDescent="0.3">
      <c r="A233" s="8">
        <v>231</v>
      </c>
      <c r="B233" s="8" t="s">
        <v>144</v>
      </c>
      <c r="C233" s="8" t="s">
        <v>608</v>
      </c>
      <c r="D233" s="8" t="s">
        <v>609</v>
      </c>
      <c r="E233" s="13">
        <v>126000</v>
      </c>
      <c r="F233" s="14">
        <v>251852</v>
      </c>
    </row>
    <row r="234" spans="1:6" x14ac:dyDescent="0.3">
      <c r="A234" s="8">
        <v>232</v>
      </c>
      <c r="B234" s="8" t="s">
        <v>144</v>
      </c>
      <c r="C234" s="8" t="s">
        <v>610</v>
      </c>
      <c r="D234" s="8" t="s">
        <v>611</v>
      </c>
      <c r="E234" s="13">
        <v>0</v>
      </c>
      <c r="F234" s="14">
        <v>430000</v>
      </c>
    </row>
    <row r="235" spans="1:6" x14ac:dyDescent="0.3">
      <c r="A235" s="8">
        <v>233</v>
      </c>
      <c r="B235" s="8" t="s">
        <v>144</v>
      </c>
      <c r="C235" s="8" t="s">
        <v>612</v>
      </c>
      <c r="D235" s="8" t="s">
        <v>613</v>
      </c>
      <c r="E235" s="13">
        <v>361000</v>
      </c>
      <c r="F235" s="14">
        <v>722222</v>
      </c>
    </row>
    <row r="236" spans="1:6" x14ac:dyDescent="0.3">
      <c r="A236" s="8">
        <v>234</v>
      </c>
      <c r="B236" s="8" t="s">
        <v>144</v>
      </c>
      <c r="C236" s="8" t="s">
        <v>614</v>
      </c>
      <c r="D236" s="8" t="s">
        <v>615</v>
      </c>
      <c r="E236" s="13">
        <v>71000</v>
      </c>
      <c r="F236" s="14">
        <v>141667</v>
      </c>
    </row>
    <row r="237" spans="1:6" x14ac:dyDescent="0.3">
      <c r="A237" s="8">
        <v>235</v>
      </c>
      <c r="B237" s="8" t="s">
        <v>144</v>
      </c>
      <c r="C237" s="8" t="s">
        <v>616</v>
      </c>
      <c r="D237" s="8" t="s">
        <v>617</v>
      </c>
      <c r="E237" s="13">
        <v>0</v>
      </c>
      <c r="F237" s="14">
        <v>3210185</v>
      </c>
    </row>
    <row r="238" spans="1:6" x14ac:dyDescent="0.3">
      <c r="A238" s="8">
        <v>236</v>
      </c>
      <c r="B238" s="8" t="s">
        <v>144</v>
      </c>
      <c r="C238" s="8" t="s">
        <v>618</v>
      </c>
      <c r="D238" s="8" t="s">
        <v>619</v>
      </c>
      <c r="E238" s="13">
        <v>0</v>
      </c>
      <c r="F238" s="14">
        <v>0</v>
      </c>
    </row>
    <row r="239" spans="1:6" x14ac:dyDescent="0.3">
      <c r="A239" s="8">
        <v>237</v>
      </c>
      <c r="B239" s="8" t="s">
        <v>144</v>
      </c>
      <c r="C239" s="8" t="s">
        <v>620</v>
      </c>
      <c r="D239" s="8" t="s">
        <v>621</v>
      </c>
      <c r="E239" s="13">
        <v>530000</v>
      </c>
      <c r="F239" s="14">
        <v>1060185</v>
      </c>
    </row>
    <row r="240" spans="1:6" x14ac:dyDescent="0.3">
      <c r="A240" s="8">
        <v>238</v>
      </c>
      <c r="B240" s="8" t="s">
        <v>144</v>
      </c>
      <c r="C240" s="8" t="s">
        <v>622</v>
      </c>
      <c r="D240" s="8" t="s">
        <v>623</v>
      </c>
      <c r="E240" s="13">
        <v>0</v>
      </c>
      <c r="F240" s="14">
        <v>0</v>
      </c>
    </row>
    <row r="241" spans="1:6" x14ac:dyDescent="0.3">
      <c r="A241" s="8">
        <v>239</v>
      </c>
      <c r="B241" s="8" t="s">
        <v>144</v>
      </c>
      <c r="C241" s="8" t="s">
        <v>624</v>
      </c>
      <c r="D241" s="8" t="s">
        <v>625</v>
      </c>
      <c r="E241" s="13">
        <v>442000</v>
      </c>
      <c r="F241" s="14">
        <v>710185</v>
      </c>
    </row>
    <row r="242" spans="1:6" x14ac:dyDescent="0.3">
      <c r="A242" s="8">
        <v>240</v>
      </c>
      <c r="B242" s="8" t="s">
        <v>144</v>
      </c>
      <c r="C242" s="8" t="s">
        <v>626</v>
      </c>
      <c r="D242" s="8" t="s">
        <v>627</v>
      </c>
      <c r="E242" s="13">
        <v>0</v>
      </c>
      <c r="F242" s="14">
        <v>0</v>
      </c>
    </row>
    <row r="243" spans="1:6" x14ac:dyDescent="0.3">
      <c r="A243" s="8">
        <v>241</v>
      </c>
      <c r="B243" s="8" t="s">
        <v>144</v>
      </c>
      <c r="C243" s="8" t="s">
        <v>628</v>
      </c>
      <c r="D243" s="8" t="s">
        <v>629</v>
      </c>
      <c r="E243" s="13">
        <v>0</v>
      </c>
      <c r="F243" s="14">
        <v>0</v>
      </c>
    </row>
    <row r="244" spans="1:6" x14ac:dyDescent="0.3">
      <c r="A244" s="8">
        <v>242</v>
      </c>
      <c r="B244" s="8" t="s">
        <v>144</v>
      </c>
      <c r="C244" s="8" t="s">
        <v>630</v>
      </c>
      <c r="D244" s="8" t="s">
        <v>631</v>
      </c>
      <c r="E244" s="13">
        <v>361000</v>
      </c>
      <c r="F244" s="14">
        <v>722222</v>
      </c>
    </row>
    <row r="245" spans="1:6" x14ac:dyDescent="0.3">
      <c r="A245" s="8">
        <v>243</v>
      </c>
      <c r="B245" s="8" t="s">
        <v>144</v>
      </c>
      <c r="C245" s="8" t="s">
        <v>632</v>
      </c>
      <c r="D245" s="8" t="s">
        <v>633</v>
      </c>
      <c r="E245" s="13">
        <v>550000</v>
      </c>
      <c r="F245" s="14">
        <v>882407</v>
      </c>
    </row>
    <row r="246" spans="1:6" x14ac:dyDescent="0.3">
      <c r="A246" s="8">
        <v>244</v>
      </c>
      <c r="B246" s="8" t="s">
        <v>144</v>
      </c>
      <c r="C246" s="8" t="s">
        <v>634</v>
      </c>
      <c r="D246" s="8" t="s">
        <v>635</v>
      </c>
      <c r="E246" s="13">
        <v>85800</v>
      </c>
      <c r="F246" s="14">
        <v>151852</v>
      </c>
    </row>
    <row r="247" spans="1:6" x14ac:dyDescent="0.3">
      <c r="A247" s="8">
        <v>245</v>
      </c>
      <c r="B247" s="8" t="s">
        <v>144</v>
      </c>
      <c r="C247" s="8" t="s">
        <v>636</v>
      </c>
      <c r="D247" s="8" t="s">
        <v>637</v>
      </c>
      <c r="E247" s="13">
        <v>98600</v>
      </c>
      <c r="F247" s="14">
        <v>197222</v>
      </c>
    </row>
    <row r="248" spans="1:6" x14ac:dyDescent="0.3">
      <c r="A248" s="8">
        <v>246</v>
      </c>
      <c r="B248" s="8" t="s">
        <v>144</v>
      </c>
      <c r="C248" s="8" t="s">
        <v>638</v>
      </c>
      <c r="D248" s="8" t="s">
        <v>639</v>
      </c>
      <c r="E248" s="13">
        <v>0</v>
      </c>
      <c r="F248" s="14">
        <v>0</v>
      </c>
    </row>
    <row r="249" spans="1:6" x14ac:dyDescent="0.3">
      <c r="A249" s="8">
        <v>247</v>
      </c>
      <c r="B249" s="8" t="s">
        <v>144</v>
      </c>
      <c r="C249" s="8" t="s">
        <v>640</v>
      </c>
      <c r="D249" s="8" t="s">
        <v>641</v>
      </c>
      <c r="E249" s="13">
        <v>0</v>
      </c>
      <c r="F249" s="14">
        <v>0</v>
      </c>
    </row>
    <row r="250" spans="1:6" x14ac:dyDescent="0.3">
      <c r="A250" s="8">
        <v>248</v>
      </c>
      <c r="B250" s="8" t="s">
        <v>144</v>
      </c>
      <c r="C250" s="8" t="s">
        <v>642</v>
      </c>
      <c r="D250" s="8" t="s">
        <v>643</v>
      </c>
      <c r="E250" s="13">
        <v>0</v>
      </c>
      <c r="F250" s="14">
        <v>0</v>
      </c>
    </row>
    <row r="251" spans="1:6" x14ac:dyDescent="0.3">
      <c r="A251" s="8">
        <v>249</v>
      </c>
      <c r="B251" s="8" t="s">
        <v>144</v>
      </c>
      <c r="C251" s="8" t="s">
        <v>644</v>
      </c>
      <c r="D251" s="8" t="s">
        <v>645</v>
      </c>
      <c r="E251" s="13">
        <v>0</v>
      </c>
      <c r="F251" s="14">
        <v>0</v>
      </c>
    </row>
    <row r="252" spans="1:6" x14ac:dyDescent="0.3">
      <c r="A252" s="8">
        <v>250</v>
      </c>
      <c r="B252" s="8" t="s">
        <v>144</v>
      </c>
      <c r="C252" s="8" t="s">
        <v>646</v>
      </c>
      <c r="D252" s="8" t="s">
        <v>647</v>
      </c>
      <c r="E252" s="13">
        <v>149000</v>
      </c>
      <c r="F252" s="14">
        <v>268000</v>
      </c>
    </row>
    <row r="253" spans="1:6" x14ac:dyDescent="0.3">
      <c r="A253" s="8">
        <v>251</v>
      </c>
      <c r="B253" s="8" t="s">
        <v>144</v>
      </c>
      <c r="C253" s="8" t="s">
        <v>648</v>
      </c>
      <c r="D253" s="8" t="s">
        <v>649</v>
      </c>
      <c r="E253" s="13">
        <v>0</v>
      </c>
      <c r="F253" s="14">
        <v>0</v>
      </c>
    </row>
    <row r="254" spans="1:6" x14ac:dyDescent="0.3">
      <c r="A254" s="8">
        <v>252</v>
      </c>
      <c r="B254" s="8" t="s">
        <v>144</v>
      </c>
      <c r="C254" s="8" t="s">
        <v>650</v>
      </c>
      <c r="D254" s="8" t="s">
        <v>651</v>
      </c>
      <c r="E254" s="13">
        <v>0</v>
      </c>
      <c r="F254" s="14">
        <v>0</v>
      </c>
    </row>
    <row r="255" spans="1:6" x14ac:dyDescent="0.3">
      <c r="A255" s="8">
        <v>253</v>
      </c>
      <c r="B255" s="8" t="s">
        <v>144</v>
      </c>
      <c r="C255" s="8" t="s">
        <v>652</v>
      </c>
      <c r="D255" s="8" t="s">
        <v>653</v>
      </c>
      <c r="E255" s="13">
        <v>0</v>
      </c>
      <c r="F255" s="14">
        <v>0</v>
      </c>
    </row>
    <row r="256" spans="1:6" x14ac:dyDescent="0.3">
      <c r="A256" s="8">
        <v>254</v>
      </c>
      <c r="B256" s="8" t="s">
        <v>144</v>
      </c>
      <c r="C256" s="8" t="s">
        <v>654</v>
      </c>
      <c r="D256" s="8" t="s">
        <v>655</v>
      </c>
      <c r="E256" s="13">
        <v>70000</v>
      </c>
      <c r="F256" s="14">
        <v>139815</v>
      </c>
    </row>
    <row r="257" spans="1:6" x14ac:dyDescent="0.3">
      <c r="A257" s="8">
        <v>255</v>
      </c>
      <c r="B257" s="8" t="s">
        <v>144</v>
      </c>
      <c r="C257" s="8" t="s">
        <v>656</v>
      </c>
      <c r="D257" s="8" t="s">
        <v>657</v>
      </c>
      <c r="E257" s="13">
        <v>96900</v>
      </c>
      <c r="F257" s="14">
        <v>176000</v>
      </c>
    </row>
    <row r="258" spans="1:6" x14ac:dyDescent="0.3">
      <c r="A258" s="8">
        <v>256</v>
      </c>
      <c r="B258" s="8" t="s">
        <v>144</v>
      </c>
      <c r="C258" s="8" t="s">
        <v>658</v>
      </c>
      <c r="D258" s="8" t="s">
        <v>659</v>
      </c>
      <c r="E258" s="13">
        <v>96900</v>
      </c>
      <c r="F258" s="14">
        <v>176000</v>
      </c>
    </row>
    <row r="259" spans="1:6" x14ac:dyDescent="0.3">
      <c r="A259" s="8">
        <v>257</v>
      </c>
      <c r="B259" s="8" t="s">
        <v>144</v>
      </c>
      <c r="C259" s="8" t="s">
        <v>660</v>
      </c>
      <c r="D259" s="8" t="s">
        <v>661</v>
      </c>
      <c r="E259" s="13">
        <v>56000</v>
      </c>
      <c r="F259" s="14">
        <v>112037</v>
      </c>
    </row>
    <row r="260" spans="1:6" x14ac:dyDescent="0.3">
      <c r="A260" s="8">
        <v>258</v>
      </c>
      <c r="B260" s="8" t="s">
        <v>144</v>
      </c>
      <c r="C260" s="8" t="s">
        <v>662</v>
      </c>
      <c r="D260" s="8" t="s">
        <v>663</v>
      </c>
      <c r="E260" s="13">
        <v>0</v>
      </c>
      <c r="F260" s="14">
        <v>1539815</v>
      </c>
    </row>
    <row r="261" spans="1:6" x14ac:dyDescent="0.3">
      <c r="A261" s="8">
        <v>259</v>
      </c>
      <c r="B261" s="8" t="s">
        <v>144</v>
      </c>
      <c r="C261" s="8" t="s">
        <v>664</v>
      </c>
      <c r="D261" s="8" t="s">
        <v>665</v>
      </c>
      <c r="E261" s="13">
        <v>0</v>
      </c>
      <c r="F261" s="14">
        <v>0</v>
      </c>
    </row>
    <row r="262" spans="1:6" x14ac:dyDescent="0.3">
      <c r="A262" s="8">
        <v>260</v>
      </c>
      <c r="B262" s="8" t="s">
        <v>144</v>
      </c>
      <c r="C262" s="8" t="s">
        <v>666</v>
      </c>
      <c r="D262" s="8" t="s">
        <v>667</v>
      </c>
      <c r="E262" s="13">
        <v>0</v>
      </c>
      <c r="F262" s="14">
        <v>0</v>
      </c>
    </row>
    <row r="263" spans="1:6" x14ac:dyDescent="0.3">
      <c r="A263" s="8">
        <v>261</v>
      </c>
      <c r="B263" s="8" t="s">
        <v>144</v>
      </c>
      <c r="C263" s="8" t="s">
        <v>668</v>
      </c>
      <c r="D263" s="8" t="s">
        <v>669</v>
      </c>
      <c r="E263" s="13">
        <v>126000</v>
      </c>
      <c r="F263" s="14">
        <v>251852</v>
      </c>
    </row>
    <row r="264" spans="1:6" x14ac:dyDescent="0.3">
      <c r="A264" s="8">
        <v>262</v>
      </c>
      <c r="B264" s="8" t="s">
        <v>144</v>
      </c>
      <c r="C264" s="8" t="s">
        <v>670</v>
      </c>
      <c r="D264" s="8" t="s">
        <v>671</v>
      </c>
      <c r="E264" s="13">
        <v>0</v>
      </c>
      <c r="F264" s="14">
        <v>0</v>
      </c>
    </row>
    <row r="265" spans="1:6" x14ac:dyDescent="0.3">
      <c r="A265" s="8">
        <v>263</v>
      </c>
      <c r="B265" s="8" t="s">
        <v>144</v>
      </c>
      <c r="C265" s="8" t="s">
        <v>672</v>
      </c>
      <c r="D265" s="8" t="s">
        <v>673</v>
      </c>
      <c r="E265" s="13">
        <v>0</v>
      </c>
      <c r="F265" s="14">
        <v>0</v>
      </c>
    </row>
    <row r="266" spans="1:6" x14ac:dyDescent="0.3">
      <c r="A266" s="8">
        <v>264</v>
      </c>
      <c r="B266" s="8" t="s">
        <v>144</v>
      </c>
      <c r="C266" s="8" t="s">
        <v>674</v>
      </c>
      <c r="D266" s="8" t="s">
        <v>675</v>
      </c>
      <c r="E266" s="13">
        <v>0</v>
      </c>
      <c r="F266" s="14">
        <v>0</v>
      </c>
    </row>
    <row r="267" spans="1:6" x14ac:dyDescent="0.3">
      <c r="A267" s="8">
        <v>265</v>
      </c>
      <c r="B267" s="8" t="s">
        <v>144</v>
      </c>
      <c r="C267" s="8" t="s">
        <v>676</v>
      </c>
      <c r="D267" s="8" t="s">
        <v>677</v>
      </c>
      <c r="E267" s="13">
        <v>0</v>
      </c>
      <c r="F267" s="14">
        <v>0</v>
      </c>
    </row>
    <row r="268" spans="1:6" x14ac:dyDescent="0.3">
      <c r="A268" s="8">
        <v>266</v>
      </c>
      <c r="B268" s="8" t="s">
        <v>144</v>
      </c>
      <c r="C268" s="8" t="s">
        <v>678</v>
      </c>
      <c r="D268" s="8" t="s">
        <v>679</v>
      </c>
      <c r="E268" s="13">
        <v>0</v>
      </c>
      <c r="F268" s="14">
        <v>0</v>
      </c>
    </row>
    <row r="269" spans="1:6" x14ac:dyDescent="0.3">
      <c r="A269" s="8">
        <v>267</v>
      </c>
      <c r="B269" s="8" t="s">
        <v>144</v>
      </c>
      <c r="C269" s="8" t="s">
        <v>680</v>
      </c>
      <c r="D269" s="8" t="s">
        <v>681</v>
      </c>
      <c r="E269" s="13">
        <v>474000</v>
      </c>
      <c r="F269" s="14">
        <v>948148</v>
      </c>
    </row>
    <row r="270" spans="1:6" x14ac:dyDescent="0.3">
      <c r="A270" s="8">
        <v>268</v>
      </c>
      <c r="B270" s="8" t="s">
        <v>144</v>
      </c>
      <c r="C270" s="8" t="s">
        <v>682</v>
      </c>
      <c r="D270" s="8" t="s">
        <v>683</v>
      </c>
      <c r="E270" s="13">
        <v>98600</v>
      </c>
      <c r="F270" s="14">
        <v>197222</v>
      </c>
    </row>
    <row r="271" spans="1:6" x14ac:dyDescent="0.3">
      <c r="A271" s="8">
        <v>269</v>
      </c>
      <c r="B271" s="8" t="s">
        <v>144</v>
      </c>
      <c r="C271" s="8" t="s">
        <v>684</v>
      </c>
      <c r="D271" s="8" t="s">
        <v>685</v>
      </c>
      <c r="E271" s="13">
        <v>0</v>
      </c>
      <c r="F271" s="14">
        <v>2170000</v>
      </c>
    </row>
    <row r="272" spans="1:6" x14ac:dyDescent="0.3">
      <c r="A272" s="8">
        <v>270</v>
      </c>
      <c r="B272" s="8" t="s">
        <v>144</v>
      </c>
      <c r="C272" s="8" t="s">
        <v>686</v>
      </c>
      <c r="D272" s="8" t="s">
        <v>687</v>
      </c>
      <c r="E272" s="13">
        <v>148200</v>
      </c>
      <c r="F272" s="14">
        <v>296296</v>
      </c>
    </row>
    <row r="273" spans="1:6" x14ac:dyDescent="0.3">
      <c r="A273" s="8">
        <v>271</v>
      </c>
      <c r="B273" s="8" t="s">
        <v>144</v>
      </c>
      <c r="C273" s="8" t="s">
        <v>688</v>
      </c>
      <c r="D273" s="8" t="s">
        <v>689</v>
      </c>
      <c r="E273" s="13">
        <v>0</v>
      </c>
      <c r="F273" s="14">
        <v>0</v>
      </c>
    </row>
    <row r="274" spans="1:6" x14ac:dyDescent="0.3">
      <c r="A274" s="8">
        <v>272</v>
      </c>
      <c r="B274" s="8" t="s">
        <v>144</v>
      </c>
      <c r="C274" s="8" t="s">
        <v>690</v>
      </c>
      <c r="D274" s="8" t="s">
        <v>691</v>
      </c>
      <c r="E274" s="13">
        <v>176000</v>
      </c>
      <c r="F274" s="14">
        <v>351852</v>
      </c>
    </row>
    <row r="275" spans="1:6" x14ac:dyDescent="0.3">
      <c r="A275" s="8">
        <v>273</v>
      </c>
      <c r="B275" s="8" t="s">
        <v>144</v>
      </c>
      <c r="C275" s="8" t="s">
        <v>692</v>
      </c>
      <c r="D275" s="8" t="s">
        <v>693</v>
      </c>
      <c r="E275" s="13">
        <v>0</v>
      </c>
      <c r="F275" s="14">
        <v>0</v>
      </c>
    </row>
    <row r="276" spans="1:6" x14ac:dyDescent="0.3">
      <c r="A276" s="8">
        <v>274</v>
      </c>
      <c r="B276" s="8" t="s">
        <v>144</v>
      </c>
      <c r="C276" s="8" t="s">
        <v>694</v>
      </c>
      <c r="D276" s="8" t="s">
        <v>695</v>
      </c>
      <c r="E276" s="13">
        <v>0</v>
      </c>
      <c r="F276" s="14">
        <v>0</v>
      </c>
    </row>
    <row r="277" spans="1:6" x14ac:dyDescent="0.3">
      <c r="A277" s="8">
        <v>275</v>
      </c>
      <c r="B277" s="8" t="s">
        <v>144</v>
      </c>
      <c r="C277" s="8" t="s">
        <v>696</v>
      </c>
      <c r="D277" s="8" t="s">
        <v>697</v>
      </c>
      <c r="E277" s="13">
        <v>48900</v>
      </c>
      <c r="F277" s="14">
        <v>84000</v>
      </c>
    </row>
    <row r="278" spans="1:6" x14ac:dyDescent="0.3">
      <c r="A278" s="8">
        <v>276</v>
      </c>
      <c r="B278" s="8" t="s">
        <v>144</v>
      </c>
      <c r="C278" s="8" t="s">
        <v>698</v>
      </c>
      <c r="D278" s="8" t="s">
        <v>699</v>
      </c>
      <c r="E278" s="13">
        <v>67200</v>
      </c>
      <c r="F278" s="14">
        <v>115500</v>
      </c>
    </row>
    <row r="279" spans="1:6" x14ac:dyDescent="0.3">
      <c r="A279" s="8">
        <v>277</v>
      </c>
      <c r="B279" s="8" t="s">
        <v>144</v>
      </c>
      <c r="C279" s="8" t="s">
        <v>700</v>
      </c>
      <c r="D279" s="8" t="s">
        <v>701</v>
      </c>
      <c r="E279" s="13">
        <v>141500</v>
      </c>
      <c r="F279" s="14">
        <v>260000</v>
      </c>
    </row>
    <row r="280" spans="1:6" x14ac:dyDescent="0.3">
      <c r="A280" s="8">
        <v>278</v>
      </c>
      <c r="B280" s="8" t="s">
        <v>144</v>
      </c>
      <c r="C280" s="8" t="s">
        <v>702</v>
      </c>
      <c r="D280" s="8" t="s">
        <v>703</v>
      </c>
      <c r="E280" s="13">
        <v>71100</v>
      </c>
      <c r="F280" s="14">
        <v>125926</v>
      </c>
    </row>
    <row r="281" spans="1:6" x14ac:dyDescent="0.3">
      <c r="A281" s="8">
        <v>279</v>
      </c>
      <c r="B281" s="8" t="s">
        <v>144</v>
      </c>
      <c r="C281" s="8" t="s">
        <v>704</v>
      </c>
      <c r="D281" s="8" t="s">
        <v>705</v>
      </c>
      <c r="E281" s="13">
        <v>453000</v>
      </c>
      <c r="F281" s="14">
        <v>816000</v>
      </c>
    </row>
    <row r="282" spans="1:6" x14ac:dyDescent="0.3">
      <c r="A282" s="8">
        <v>280</v>
      </c>
      <c r="B282" s="8" t="s">
        <v>144</v>
      </c>
      <c r="C282" s="8" t="s">
        <v>706</v>
      </c>
      <c r="D282" s="8" t="s">
        <v>707</v>
      </c>
      <c r="E282" s="13">
        <v>70000</v>
      </c>
      <c r="F282" s="14">
        <v>139815</v>
      </c>
    </row>
    <row r="283" spans="1:6" x14ac:dyDescent="0.3">
      <c r="A283" s="8">
        <v>281</v>
      </c>
      <c r="B283" s="8" t="s">
        <v>144</v>
      </c>
      <c r="C283" s="8" t="s">
        <v>708</v>
      </c>
      <c r="D283" s="8" t="s">
        <v>709</v>
      </c>
      <c r="E283" s="13">
        <v>0</v>
      </c>
      <c r="F283" s="14">
        <v>0</v>
      </c>
    </row>
    <row r="284" spans="1:6" x14ac:dyDescent="0.3">
      <c r="A284" s="8">
        <v>282</v>
      </c>
      <c r="B284" s="8" t="s">
        <v>144</v>
      </c>
      <c r="C284" s="8" t="s">
        <v>710</v>
      </c>
      <c r="D284" s="8" t="s">
        <v>711</v>
      </c>
      <c r="E284" s="13">
        <v>0</v>
      </c>
      <c r="F284" s="14">
        <v>1210185</v>
      </c>
    </row>
    <row r="285" spans="1:6" x14ac:dyDescent="0.3">
      <c r="A285" s="8">
        <v>283</v>
      </c>
      <c r="B285" s="8" t="s">
        <v>144</v>
      </c>
      <c r="C285" s="8" t="s">
        <v>712</v>
      </c>
      <c r="D285" s="8" t="s">
        <v>713</v>
      </c>
      <c r="E285" s="13">
        <v>0</v>
      </c>
      <c r="F285" s="14">
        <v>0</v>
      </c>
    </row>
    <row r="286" spans="1:6" x14ac:dyDescent="0.3">
      <c r="A286" s="8">
        <v>284</v>
      </c>
      <c r="B286" s="8" t="s">
        <v>144</v>
      </c>
      <c r="C286" s="8" t="s">
        <v>714</v>
      </c>
      <c r="D286" s="8" t="s">
        <v>715</v>
      </c>
      <c r="E286" s="13">
        <v>0</v>
      </c>
      <c r="F286" s="14">
        <v>5740741</v>
      </c>
    </row>
    <row r="287" spans="1:6" x14ac:dyDescent="0.3">
      <c r="A287" s="8">
        <v>285</v>
      </c>
      <c r="B287" s="8" t="s">
        <v>144</v>
      </c>
      <c r="C287" s="8" t="s">
        <v>716</v>
      </c>
      <c r="D287" s="8" t="s">
        <v>717</v>
      </c>
      <c r="E287" s="13">
        <v>0</v>
      </c>
      <c r="F287" s="14">
        <v>0</v>
      </c>
    </row>
    <row r="288" spans="1:6" x14ac:dyDescent="0.3">
      <c r="A288" s="8">
        <v>286</v>
      </c>
      <c r="B288" s="8" t="s">
        <v>144</v>
      </c>
      <c r="C288" s="8" t="s">
        <v>718</v>
      </c>
      <c r="D288" s="8" t="s">
        <v>719</v>
      </c>
      <c r="E288" s="13">
        <v>85100</v>
      </c>
      <c r="F288" s="14">
        <v>178704</v>
      </c>
    </row>
    <row r="289" spans="1:6" x14ac:dyDescent="0.3">
      <c r="A289" s="8">
        <v>287</v>
      </c>
      <c r="B289" s="8" t="s">
        <v>144</v>
      </c>
      <c r="C289" s="8" t="s">
        <v>720</v>
      </c>
      <c r="D289" s="8" t="s">
        <v>721</v>
      </c>
      <c r="E289" s="13">
        <v>158000</v>
      </c>
      <c r="F289" s="14">
        <v>315741</v>
      </c>
    </row>
    <row r="290" spans="1:6" x14ac:dyDescent="0.3">
      <c r="A290" s="8">
        <v>288</v>
      </c>
      <c r="B290" s="8" t="s">
        <v>144</v>
      </c>
      <c r="C290" s="8" t="s">
        <v>722</v>
      </c>
      <c r="D290" s="8" t="s">
        <v>723</v>
      </c>
      <c r="E290" s="13">
        <v>98600</v>
      </c>
      <c r="F290" s="14">
        <v>197222</v>
      </c>
    </row>
    <row r="291" spans="1:6" x14ac:dyDescent="0.3">
      <c r="A291" s="8">
        <v>289</v>
      </c>
      <c r="B291" s="8" t="s">
        <v>144</v>
      </c>
      <c r="C291" s="8" t="s">
        <v>724</v>
      </c>
      <c r="D291" s="8" t="s">
        <v>725</v>
      </c>
      <c r="E291" s="13">
        <v>0</v>
      </c>
      <c r="F291" s="14">
        <v>0</v>
      </c>
    </row>
    <row r="292" spans="1:6" x14ac:dyDescent="0.3">
      <c r="A292" s="8">
        <v>290</v>
      </c>
      <c r="B292" s="8" t="s">
        <v>144</v>
      </c>
      <c r="C292" s="8" t="s">
        <v>726</v>
      </c>
      <c r="D292" s="8" t="s">
        <v>727</v>
      </c>
      <c r="E292" s="13">
        <v>0</v>
      </c>
      <c r="F292" s="14">
        <v>0</v>
      </c>
    </row>
    <row r="293" spans="1:6" x14ac:dyDescent="0.3">
      <c r="A293" s="8">
        <v>291</v>
      </c>
      <c r="B293" s="8" t="s">
        <v>144</v>
      </c>
      <c r="C293" s="8" t="s">
        <v>728</v>
      </c>
      <c r="D293" s="8" t="s">
        <v>729</v>
      </c>
      <c r="E293" s="13">
        <v>0</v>
      </c>
      <c r="F293" s="14">
        <v>0</v>
      </c>
    </row>
    <row r="294" spans="1:6" x14ac:dyDescent="0.3">
      <c r="A294" s="8">
        <v>292</v>
      </c>
      <c r="B294" s="8" t="s">
        <v>144</v>
      </c>
      <c r="C294" s="8" t="s">
        <v>730</v>
      </c>
      <c r="D294" s="8" t="s">
        <v>731</v>
      </c>
      <c r="E294" s="13">
        <v>240000</v>
      </c>
      <c r="F294" s="14">
        <v>479630</v>
      </c>
    </row>
    <row r="295" spans="1:6" x14ac:dyDescent="0.3">
      <c r="A295" s="8">
        <v>293</v>
      </c>
      <c r="B295" s="8" t="s">
        <v>144</v>
      </c>
      <c r="C295" s="8" t="s">
        <v>732</v>
      </c>
      <c r="D295" s="8" t="s">
        <v>733</v>
      </c>
      <c r="E295" s="13">
        <v>200000</v>
      </c>
      <c r="F295" s="14">
        <v>400000</v>
      </c>
    </row>
    <row r="296" spans="1:6" x14ac:dyDescent="0.3">
      <c r="A296" s="8">
        <v>294</v>
      </c>
      <c r="B296" s="8" t="s">
        <v>144</v>
      </c>
      <c r="C296" s="8" t="s">
        <v>734</v>
      </c>
      <c r="D296" s="8" t="s">
        <v>735</v>
      </c>
      <c r="E296" s="13">
        <v>0</v>
      </c>
      <c r="F296" s="14">
        <v>0</v>
      </c>
    </row>
    <row r="297" spans="1:6" x14ac:dyDescent="0.3">
      <c r="A297" s="8">
        <v>295</v>
      </c>
      <c r="B297" s="8" t="s">
        <v>144</v>
      </c>
      <c r="C297" s="8" t="s">
        <v>736</v>
      </c>
      <c r="D297" s="8" t="s">
        <v>737</v>
      </c>
      <c r="E297" s="13">
        <v>0</v>
      </c>
      <c r="F297" s="14">
        <v>1910185</v>
      </c>
    </row>
    <row r="298" spans="1:6" x14ac:dyDescent="0.3">
      <c r="A298" s="8">
        <v>296</v>
      </c>
      <c r="B298" s="8" t="s">
        <v>144</v>
      </c>
      <c r="C298" s="8" t="s">
        <v>738</v>
      </c>
      <c r="D298" s="8" t="s">
        <v>739</v>
      </c>
      <c r="E298" s="13">
        <v>0</v>
      </c>
      <c r="F298" s="14">
        <v>0</v>
      </c>
    </row>
    <row r="299" spans="1:6" x14ac:dyDescent="0.3">
      <c r="A299" s="8">
        <v>297</v>
      </c>
      <c r="B299" s="8" t="s">
        <v>144</v>
      </c>
      <c r="C299" s="8" t="s">
        <v>740</v>
      </c>
      <c r="D299" s="8" t="s">
        <v>741</v>
      </c>
      <c r="E299" s="13">
        <v>0</v>
      </c>
      <c r="F299" s="14">
        <v>0</v>
      </c>
    </row>
    <row r="300" spans="1:6" x14ac:dyDescent="0.3">
      <c r="A300" s="8">
        <v>298</v>
      </c>
      <c r="B300" s="8" t="s">
        <v>144</v>
      </c>
      <c r="C300" s="8" t="s">
        <v>742</v>
      </c>
      <c r="D300" s="8" t="s">
        <v>743</v>
      </c>
      <c r="E300" s="13">
        <v>0</v>
      </c>
      <c r="F300" s="14">
        <v>0</v>
      </c>
    </row>
    <row r="301" spans="1:6" x14ac:dyDescent="0.3">
      <c r="A301" s="8">
        <v>299</v>
      </c>
      <c r="B301" s="8" t="s">
        <v>144</v>
      </c>
      <c r="C301" s="8" t="s">
        <v>744</v>
      </c>
      <c r="D301" s="8" t="s">
        <v>745</v>
      </c>
      <c r="E301" s="13">
        <v>0</v>
      </c>
      <c r="F301" s="14">
        <v>0</v>
      </c>
    </row>
    <row r="302" spans="1:6" x14ac:dyDescent="0.3">
      <c r="A302" s="8">
        <v>300</v>
      </c>
      <c r="B302" s="8" t="s">
        <v>144</v>
      </c>
      <c r="C302" s="8" t="s">
        <v>746</v>
      </c>
      <c r="D302" s="8" t="s">
        <v>747</v>
      </c>
      <c r="E302" s="13">
        <v>0</v>
      </c>
      <c r="F302" s="14">
        <v>0</v>
      </c>
    </row>
    <row r="303" spans="1:6" x14ac:dyDescent="0.3">
      <c r="A303" s="8">
        <v>301</v>
      </c>
      <c r="B303" s="8" t="s">
        <v>144</v>
      </c>
      <c r="C303" s="8" t="s">
        <v>748</v>
      </c>
      <c r="D303" s="8" t="s">
        <v>749</v>
      </c>
      <c r="E303" s="13">
        <v>73300</v>
      </c>
      <c r="F303" s="14">
        <v>153704</v>
      </c>
    </row>
    <row r="304" spans="1:6" x14ac:dyDescent="0.3">
      <c r="A304" s="8">
        <v>302</v>
      </c>
      <c r="B304" s="8" t="s">
        <v>144</v>
      </c>
      <c r="C304" s="8" t="s">
        <v>750</v>
      </c>
      <c r="D304" s="8" t="s">
        <v>751</v>
      </c>
      <c r="E304" s="13">
        <v>58600</v>
      </c>
      <c r="F304" s="14">
        <v>103704</v>
      </c>
    </row>
    <row r="305" spans="1:6" x14ac:dyDescent="0.3">
      <c r="A305" s="8">
        <v>303</v>
      </c>
      <c r="B305" s="8" t="s">
        <v>144</v>
      </c>
      <c r="C305" s="8" t="s">
        <v>752</v>
      </c>
      <c r="D305" s="8" t="s">
        <v>753</v>
      </c>
      <c r="E305" s="13">
        <v>0</v>
      </c>
      <c r="F305" s="14">
        <v>0</v>
      </c>
    </row>
    <row r="306" spans="1:6" x14ac:dyDescent="0.3">
      <c r="A306" s="8">
        <v>304</v>
      </c>
      <c r="B306" s="8" t="s">
        <v>144</v>
      </c>
      <c r="C306" s="8" t="s">
        <v>754</v>
      </c>
      <c r="D306" s="8" t="s">
        <v>755</v>
      </c>
      <c r="E306" s="13">
        <v>66000</v>
      </c>
      <c r="F306" s="14">
        <v>138000</v>
      </c>
    </row>
    <row r="307" spans="1:6" x14ac:dyDescent="0.3">
      <c r="A307" s="8">
        <v>305</v>
      </c>
      <c r="B307" s="8" t="s">
        <v>144</v>
      </c>
      <c r="C307" s="8" t="s">
        <v>756</v>
      </c>
      <c r="D307" s="8" t="s">
        <v>757</v>
      </c>
      <c r="E307" s="13">
        <v>77100</v>
      </c>
      <c r="F307" s="14">
        <v>171000</v>
      </c>
    </row>
    <row r="308" spans="1:6" x14ac:dyDescent="0.3">
      <c r="A308" s="8">
        <v>306</v>
      </c>
      <c r="B308" s="8" t="s">
        <v>144</v>
      </c>
      <c r="C308" s="8" t="s">
        <v>758</v>
      </c>
      <c r="D308" s="8" t="s">
        <v>759</v>
      </c>
      <c r="E308" s="13">
        <v>0</v>
      </c>
      <c r="F308" s="14">
        <v>0</v>
      </c>
    </row>
    <row r="309" spans="1:6" x14ac:dyDescent="0.3">
      <c r="A309" s="8">
        <v>307</v>
      </c>
      <c r="B309" s="8" t="s">
        <v>144</v>
      </c>
      <c r="C309" s="8" t="s">
        <v>760</v>
      </c>
      <c r="D309" s="8" t="s">
        <v>761</v>
      </c>
      <c r="E309" s="13">
        <v>0</v>
      </c>
      <c r="F309" s="14">
        <v>0</v>
      </c>
    </row>
    <row r="310" spans="1:6" x14ac:dyDescent="0.3">
      <c r="A310" s="8">
        <v>308</v>
      </c>
      <c r="B310" s="8" t="s">
        <v>144</v>
      </c>
      <c r="C310" s="8" t="s">
        <v>762</v>
      </c>
      <c r="D310" s="8" t="s">
        <v>763</v>
      </c>
      <c r="E310" s="13">
        <v>66000</v>
      </c>
      <c r="F310" s="14">
        <v>138000</v>
      </c>
    </row>
    <row r="311" spans="1:6" x14ac:dyDescent="0.3">
      <c r="A311" s="8">
        <v>309</v>
      </c>
      <c r="B311" s="8" t="s">
        <v>144</v>
      </c>
      <c r="C311" s="8" t="s">
        <v>764</v>
      </c>
      <c r="D311" s="8" t="s">
        <v>765</v>
      </c>
      <c r="E311" s="13">
        <v>162000</v>
      </c>
      <c r="F311" s="14">
        <v>324074</v>
      </c>
    </row>
    <row r="312" spans="1:6" x14ac:dyDescent="0.3">
      <c r="A312" s="8">
        <v>310</v>
      </c>
      <c r="B312" s="8" t="s">
        <v>144</v>
      </c>
      <c r="C312" s="8" t="s">
        <v>766</v>
      </c>
      <c r="D312" s="8" t="s">
        <v>767</v>
      </c>
      <c r="E312" s="13">
        <v>0</v>
      </c>
      <c r="F312" s="14">
        <v>0</v>
      </c>
    </row>
    <row r="313" spans="1:6" x14ac:dyDescent="0.3">
      <c r="A313" s="8">
        <v>311</v>
      </c>
      <c r="B313" s="8" t="s">
        <v>144</v>
      </c>
      <c r="C313" s="8" t="s">
        <v>768</v>
      </c>
      <c r="D313" s="8" t="s">
        <v>769</v>
      </c>
      <c r="E313" s="13">
        <v>0</v>
      </c>
      <c r="F313" s="14">
        <v>0</v>
      </c>
    </row>
    <row r="314" spans="1:6" x14ac:dyDescent="0.3">
      <c r="A314" s="8">
        <v>312</v>
      </c>
      <c r="B314" s="8" t="s">
        <v>144</v>
      </c>
      <c r="C314" s="8" t="s">
        <v>770</v>
      </c>
      <c r="D314" s="8" t="s">
        <v>771</v>
      </c>
      <c r="E314" s="13">
        <v>0</v>
      </c>
      <c r="F314" s="14">
        <v>0</v>
      </c>
    </row>
    <row r="315" spans="1:6" x14ac:dyDescent="0.3">
      <c r="A315" s="8">
        <v>313</v>
      </c>
      <c r="B315" s="8" t="s">
        <v>144</v>
      </c>
      <c r="C315" s="8" t="s">
        <v>772</v>
      </c>
      <c r="D315" s="8" t="s">
        <v>773</v>
      </c>
      <c r="E315" s="13">
        <v>0</v>
      </c>
      <c r="F315" s="14">
        <v>0</v>
      </c>
    </row>
    <row r="316" spans="1:6" x14ac:dyDescent="0.3">
      <c r="A316" s="8">
        <v>314</v>
      </c>
      <c r="B316" s="8" t="s">
        <v>144</v>
      </c>
      <c r="C316" s="8" t="s">
        <v>774</v>
      </c>
      <c r="D316" s="8" t="s">
        <v>775</v>
      </c>
      <c r="E316" s="13">
        <v>0</v>
      </c>
      <c r="F316" s="14">
        <v>0</v>
      </c>
    </row>
    <row r="317" spans="1:6" x14ac:dyDescent="0.3">
      <c r="A317" s="8">
        <v>315</v>
      </c>
      <c r="B317" s="8" t="s">
        <v>144</v>
      </c>
      <c r="C317" s="8" t="s">
        <v>776</v>
      </c>
      <c r="D317" s="8" t="s">
        <v>777</v>
      </c>
      <c r="E317" s="13">
        <v>0</v>
      </c>
      <c r="F317" s="14">
        <v>0</v>
      </c>
    </row>
    <row r="318" spans="1:6" x14ac:dyDescent="0.3">
      <c r="A318" s="8">
        <v>316</v>
      </c>
      <c r="B318" s="8" t="s">
        <v>144</v>
      </c>
      <c r="C318" s="8" t="s">
        <v>778</v>
      </c>
      <c r="D318" s="8" t="s">
        <v>779</v>
      </c>
      <c r="E318" s="13">
        <v>0</v>
      </c>
      <c r="F318" s="14">
        <v>0</v>
      </c>
    </row>
    <row r="319" spans="1:6" x14ac:dyDescent="0.3">
      <c r="A319" s="8">
        <v>317</v>
      </c>
      <c r="B319" s="8" t="s">
        <v>144</v>
      </c>
      <c r="C319" s="8" t="s">
        <v>780</v>
      </c>
      <c r="D319" s="8" t="s">
        <v>781</v>
      </c>
      <c r="E319" s="13">
        <v>0</v>
      </c>
      <c r="F319" s="14">
        <v>0</v>
      </c>
    </row>
    <row r="320" spans="1:6" x14ac:dyDescent="0.3">
      <c r="A320" s="8">
        <v>318</v>
      </c>
      <c r="B320" s="8" t="s">
        <v>144</v>
      </c>
      <c r="C320" s="8" t="s">
        <v>782</v>
      </c>
      <c r="D320" s="8" t="s">
        <v>783</v>
      </c>
      <c r="E320" s="13">
        <v>0</v>
      </c>
      <c r="F320" s="14">
        <v>0</v>
      </c>
    </row>
    <row r="321" spans="1:6" x14ac:dyDescent="0.3">
      <c r="A321" s="8">
        <v>319</v>
      </c>
      <c r="B321" s="8" t="s">
        <v>144</v>
      </c>
      <c r="C321" s="8" t="s">
        <v>784</v>
      </c>
      <c r="D321" s="8" t="s">
        <v>785</v>
      </c>
      <c r="E321" s="13">
        <v>0</v>
      </c>
      <c r="F321" s="14">
        <v>1165000</v>
      </c>
    </row>
    <row r="322" spans="1:6" x14ac:dyDescent="0.3">
      <c r="A322" s="8">
        <v>320</v>
      </c>
      <c r="B322" s="8" t="s">
        <v>144</v>
      </c>
      <c r="C322" s="8" t="s">
        <v>786</v>
      </c>
      <c r="D322" s="8" t="s">
        <v>787</v>
      </c>
      <c r="E322" s="13">
        <v>126000</v>
      </c>
      <c r="F322" s="14">
        <v>251852</v>
      </c>
    </row>
    <row r="323" spans="1:6" x14ac:dyDescent="0.3">
      <c r="A323" s="8">
        <v>321</v>
      </c>
      <c r="B323" s="8" t="s">
        <v>144</v>
      </c>
      <c r="C323" s="8" t="s">
        <v>788</v>
      </c>
      <c r="D323" s="8" t="s">
        <v>789</v>
      </c>
      <c r="E323" s="13">
        <v>0</v>
      </c>
      <c r="F323" s="14">
        <v>0</v>
      </c>
    </row>
    <row r="324" spans="1:6" x14ac:dyDescent="0.3">
      <c r="A324" s="8">
        <v>322</v>
      </c>
      <c r="B324" s="8" t="s">
        <v>144</v>
      </c>
      <c r="C324" s="8" t="s">
        <v>790</v>
      </c>
      <c r="D324" s="8" t="s">
        <v>791</v>
      </c>
      <c r="E324" s="13">
        <v>0</v>
      </c>
      <c r="F324" s="14">
        <v>0</v>
      </c>
    </row>
    <row r="325" spans="1:6" x14ac:dyDescent="0.3">
      <c r="A325" s="8">
        <v>323</v>
      </c>
      <c r="B325" s="8" t="s">
        <v>144</v>
      </c>
      <c r="C325" s="8" t="s">
        <v>792</v>
      </c>
      <c r="D325" s="8" t="s">
        <v>793</v>
      </c>
      <c r="E325" s="13">
        <v>0</v>
      </c>
      <c r="F325" s="14">
        <v>0</v>
      </c>
    </row>
    <row r="326" spans="1:6" x14ac:dyDescent="0.3">
      <c r="A326" s="8">
        <v>324</v>
      </c>
      <c r="B326" s="8" t="s">
        <v>144</v>
      </c>
      <c r="C326" s="8" t="s">
        <v>794</v>
      </c>
      <c r="D326" s="8" t="s">
        <v>795</v>
      </c>
      <c r="E326" s="13">
        <v>0</v>
      </c>
      <c r="F326" s="14">
        <v>0</v>
      </c>
    </row>
    <row r="327" spans="1:6" x14ac:dyDescent="0.3">
      <c r="A327" s="8">
        <v>325</v>
      </c>
      <c r="B327" s="8" t="s">
        <v>144</v>
      </c>
      <c r="C327" s="8" t="s">
        <v>796</v>
      </c>
      <c r="D327" s="8" t="s">
        <v>797</v>
      </c>
      <c r="E327" s="13">
        <v>113900</v>
      </c>
      <c r="F327" s="14">
        <v>239000</v>
      </c>
    </row>
    <row r="328" spans="1:6" x14ac:dyDescent="0.3">
      <c r="A328" s="8">
        <v>326</v>
      </c>
      <c r="B328" s="8" t="s">
        <v>144</v>
      </c>
      <c r="C328" s="8" t="s">
        <v>798</v>
      </c>
      <c r="D328" s="8" t="s">
        <v>799</v>
      </c>
      <c r="E328" s="13">
        <v>249000</v>
      </c>
      <c r="F328" s="14">
        <v>430000</v>
      </c>
    </row>
    <row r="329" spans="1:6" x14ac:dyDescent="0.3">
      <c r="A329" s="8">
        <v>327</v>
      </c>
      <c r="B329" s="8" t="s">
        <v>144</v>
      </c>
      <c r="C329" s="8" t="s">
        <v>800</v>
      </c>
      <c r="D329" s="8" t="s">
        <v>801</v>
      </c>
      <c r="E329" s="13">
        <v>0</v>
      </c>
      <c r="F329" s="14">
        <v>0</v>
      </c>
    </row>
    <row r="330" spans="1:6" x14ac:dyDescent="0.3">
      <c r="A330" s="8">
        <v>328</v>
      </c>
      <c r="B330" s="8" t="s">
        <v>144</v>
      </c>
      <c r="C330" s="8" t="s">
        <v>802</v>
      </c>
      <c r="D330" s="8" t="s">
        <v>803</v>
      </c>
      <c r="E330" s="13">
        <v>0</v>
      </c>
      <c r="F330" s="14">
        <v>0</v>
      </c>
    </row>
    <row r="331" spans="1:6" x14ac:dyDescent="0.3">
      <c r="A331" s="8">
        <v>329</v>
      </c>
      <c r="B331" s="8" t="s">
        <v>144</v>
      </c>
      <c r="C331" s="8" t="s">
        <v>804</v>
      </c>
      <c r="D331" s="8" t="s">
        <v>805</v>
      </c>
      <c r="E331" s="13">
        <v>0</v>
      </c>
      <c r="F331" s="14">
        <v>0</v>
      </c>
    </row>
    <row r="332" spans="1:6" x14ac:dyDescent="0.3">
      <c r="A332" s="8">
        <v>330</v>
      </c>
      <c r="B332" s="8" t="s">
        <v>144</v>
      </c>
      <c r="C332" s="8" t="s">
        <v>806</v>
      </c>
      <c r="D332" s="8" t="s">
        <v>807</v>
      </c>
      <c r="E332" s="13">
        <v>137000</v>
      </c>
      <c r="F332" s="14">
        <v>289815</v>
      </c>
    </row>
    <row r="333" spans="1:6" x14ac:dyDescent="0.3">
      <c r="A333" s="8">
        <v>331</v>
      </c>
      <c r="B333" s="8" t="s">
        <v>144</v>
      </c>
      <c r="C333" s="8" t="s">
        <v>808</v>
      </c>
      <c r="D333" s="8" t="s">
        <v>809</v>
      </c>
      <c r="E333" s="13">
        <v>70000</v>
      </c>
      <c r="F333" s="14">
        <v>139815</v>
      </c>
    </row>
    <row r="334" spans="1:6" x14ac:dyDescent="0.3">
      <c r="A334" s="8">
        <v>332</v>
      </c>
      <c r="B334" s="8" t="s">
        <v>144</v>
      </c>
      <c r="C334" s="8" t="s">
        <v>810</v>
      </c>
      <c r="D334" s="8" t="s">
        <v>811</v>
      </c>
      <c r="E334" s="13">
        <v>327000</v>
      </c>
      <c r="F334" s="14">
        <v>654000</v>
      </c>
    </row>
    <row r="335" spans="1:6" x14ac:dyDescent="0.3">
      <c r="A335" s="8">
        <v>333</v>
      </c>
      <c r="B335" s="8" t="s">
        <v>144</v>
      </c>
      <c r="C335" s="8" t="s">
        <v>812</v>
      </c>
      <c r="D335" s="8" t="s">
        <v>813</v>
      </c>
      <c r="E335" s="13">
        <v>98600</v>
      </c>
      <c r="F335" s="14">
        <v>197222</v>
      </c>
    </row>
    <row r="336" spans="1:6" x14ac:dyDescent="0.3">
      <c r="A336" s="8">
        <v>334</v>
      </c>
      <c r="B336" s="8" t="s">
        <v>144</v>
      </c>
      <c r="C336" s="8" t="s">
        <v>814</v>
      </c>
      <c r="D336" s="8" t="s">
        <v>815</v>
      </c>
      <c r="E336" s="13">
        <v>0</v>
      </c>
      <c r="F336" s="14">
        <v>0</v>
      </c>
    </row>
    <row r="337" spans="1:6" x14ac:dyDescent="0.3">
      <c r="A337" s="8">
        <v>335</v>
      </c>
      <c r="B337" s="8" t="s">
        <v>144</v>
      </c>
      <c r="C337" s="8" t="s">
        <v>816</v>
      </c>
      <c r="D337" s="8" t="s">
        <v>817</v>
      </c>
      <c r="E337" s="13">
        <v>0</v>
      </c>
      <c r="F337" s="14">
        <v>0</v>
      </c>
    </row>
    <row r="338" spans="1:6" x14ac:dyDescent="0.3">
      <c r="A338" s="8">
        <v>336</v>
      </c>
      <c r="B338" s="8" t="s">
        <v>144</v>
      </c>
      <c r="C338" s="8" t="s">
        <v>818</v>
      </c>
      <c r="D338" s="8" t="s">
        <v>819</v>
      </c>
      <c r="E338" s="13">
        <v>0</v>
      </c>
      <c r="F338" s="14">
        <v>0</v>
      </c>
    </row>
    <row r="339" spans="1:6" x14ac:dyDescent="0.3">
      <c r="A339" s="8">
        <v>337</v>
      </c>
      <c r="B339" s="8" t="s">
        <v>144</v>
      </c>
      <c r="C339" s="8" t="s">
        <v>820</v>
      </c>
      <c r="D339" s="8" t="s">
        <v>821</v>
      </c>
      <c r="E339" s="13">
        <v>314000</v>
      </c>
      <c r="F339" s="14">
        <v>504630</v>
      </c>
    </row>
    <row r="340" spans="1:6" x14ac:dyDescent="0.3">
      <c r="A340" s="8">
        <v>338</v>
      </c>
      <c r="B340" s="8" t="s">
        <v>144</v>
      </c>
      <c r="C340" s="8" t="s">
        <v>822</v>
      </c>
      <c r="D340" s="8" t="s">
        <v>823</v>
      </c>
      <c r="E340" s="13">
        <v>0</v>
      </c>
      <c r="F340" s="14">
        <v>0</v>
      </c>
    </row>
    <row r="341" spans="1:6" x14ac:dyDescent="0.3">
      <c r="A341" s="8">
        <v>339</v>
      </c>
      <c r="B341" s="8" t="s">
        <v>144</v>
      </c>
      <c r="C341" s="8" t="s">
        <v>824</v>
      </c>
      <c r="D341" s="8" t="s">
        <v>825</v>
      </c>
      <c r="E341" s="13">
        <v>0</v>
      </c>
      <c r="F341" s="14">
        <v>0</v>
      </c>
    </row>
    <row r="342" spans="1:6" x14ac:dyDescent="0.3">
      <c r="A342" s="8">
        <v>340</v>
      </c>
      <c r="B342" s="8" t="s">
        <v>144</v>
      </c>
      <c r="C342" s="8" t="s">
        <v>826</v>
      </c>
      <c r="D342" s="8" t="s">
        <v>827</v>
      </c>
      <c r="E342" s="13">
        <v>0</v>
      </c>
      <c r="F342" s="14">
        <v>0</v>
      </c>
    </row>
    <row r="343" spans="1:6" x14ac:dyDescent="0.3">
      <c r="A343" s="8">
        <v>341</v>
      </c>
      <c r="B343" s="8" t="s">
        <v>144</v>
      </c>
      <c r="C343" s="8" t="s">
        <v>828</v>
      </c>
      <c r="D343" s="8" t="s">
        <v>829</v>
      </c>
      <c r="E343" s="13">
        <v>0</v>
      </c>
      <c r="F343" s="14">
        <v>0</v>
      </c>
    </row>
    <row r="344" spans="1:6" x14ac:dyDescent="0.3">
      <c r="A344" s="8">
        <v>342</v>
      </c>
      <c r="B344" s="8" t="s">
        <v>144</v>
      </c>
      <c r="C344" s="8" t="s">
        <v>830</v>
      </c>
      <c r="D344" s="8" t="s">
        <v>831</v>
      </c>
      <c r="E344" s="13">
        <v>0</v>
      </c>
      <c r="F344" s="14">
        <v>0</v>
      </c>
    </row>
    <row r="345" spans="1:6" x14ac:dyDescent="0.3">
      <c r="A345" s="8">
        <v>343</v>
      </c>
      <c r="B345" s="8" t="s">
        <v>144</v>
      </c>
      <c r="C345" s="8" t="s">
        <v>832</v>
      </c>
      <c r="D345" s="8" t="s">
        <v>833</v>
      </c>
      <c r="E345" s="13">
        <v>365000</v>
      </c>
      <c r="F345" s="14">
        <v>586111</v>
      </c>
    </row>
    <row r="346" spans="1:6" x14ac:dyDescent="0.3">
      <c r="A346" s="8">
        <v>344</v>
      </c>
      <c r="B346" s="8" t="s">
        <v>144</v>
      </c>
      <c r="C346" s="8" t="s">
        <v>834</v>
      </c>
      <c r="D346" s="8" t="s">
        <v>835</v>
      </c>
      <c r="E346" s="13">
        <v>443300</v>
      </c>
      <c r="F346" s="14">
        <v>862037</v>
      </c>
    </row>
    <row r="347" spans="1:6" x14ac:dyDescent="0.3">
      <c r="A347" s="8">
        <v>345</v>
      </c>
      <c r="B347" s="8" t="s">
        <v>144</v>
      </c>
      <c r="C347" s="8" t="s">
        <v>836</v>
      </c>
      <c r="D347" s="8" t="s">
        <v>837</v>
      </c>
      <c r="E347" s="13">
        <v>56000</v>
      </c>
      <c r="F347" s="14">
        <v>112037</v>
      </c>
    </row>
    <row r="348" spans="1:6" x14ac:dyDescent="0.3">
      <c r="A348" s="8">
        <v>346</v>
      </c>
      <c r="B348" s="8" t="s">
        <v>144</v>
      </c>
      <c r="C348" s="8" t="s">
        <v>838</v>
      </c>
      <c r="D348" s="8" t="s">
        <v>839</v>
      </c>
      <c r="E348" s="13">
        <v>0</v>
      </c>
      <c r="F348" s="14">
        <v>0</v>
      </c>
    </row>
    <row r="349" spans="1:6" x14ac:dyDescent="0.3">
      <c r="A349" s="8">
        <v>347</v>
      </c>
      <c r="B349" s="8" t="s">
        <v>144</v>
      </c>
      <c r="C349" s="8" t="s">
        <v>840</v>
      </c>
      <c r="D349" s="8" t="s">
        <v>841</v>
      </c>
      <c r="E349" s="13">
        <v>0</v>
      </c>
      <c r="F349" s="14">
        <v>0</v>
      </c>
    </row>
    <row r="350" spans="1:6" x14ac:dyDescent="0.3">
      <c r="A350" s="8">
        <v>348</v>
      </c>
      <c r="B350" s="8" t="s">
        <v>144</v>
      </c>
      <c r="C350" s="8" t="s">
        <v>842</v>
      </c>
      <c r="D350" s="8" t="s">
        <v>843</v>
      </c>
      <c r="E350" s="13">
        <v>0</v>
      </c>
      <c r="F350" s="14">
        <v>0</v>
      </c>
    </row>
    <row r="351" spans="1:6" x14ac:dyDescent="0.3">
      <c r="A351" s="8">
        <v>349</v>
      </c>
      <c r="B351" s="8" t="s">
        <v>144</v>
      </c>
      <c r="C351" s="8" t="s">
        <v>844</v>
      </c>
      <c r="D351" s="8" t="s">
        <v>845</v>
      </c>
      <c r="E351" s="13">
        <v>0</v>
      </c>
      <c r="F351" s="14">
        <v>0</v>
      </c>
    </row>
    <row r="352" spans="1:6" x14ac:dyDescent="0.3">
      <c r="A352" s="8">
        <v>350</v>
      </c>
      <c r="B352" s="8" t="s">
        <v>144</v>
      </c>
      <c r="C352" s="8" t="s">
        <v>846</v>
      </c>
      <c r="D352" s="8" t="s">
        <v>847</v>
      </c>
      <c r="E352" s="13">
        <v>113900</v>
      </c>
      <c r="F352" s="14">
        <v>239000</v>
      </c>
    </row>
    <row r="353" spans="1:6" x14ac:dyDescent="0.3">
      <c r="A353" s="8">
        <v>351</v>
      </c>
      <c r="B353" s="8" t="s">
        <v>144</v>
      </c>
      <c r="C353" s="8" t="s">
        <v>848</v>
      </c>
      <c r="D353" s="8" t="s">
        <v>849</v>
      </c>
      <c r="E353" s="13">
        <v>137000</v>
      </c>
      <c r="F353" s="14">
        <v>289815</v>
      </c>
    </row>
    <row r="354" spans="1:6" x14ac:dyDescent="0.3">
      <c r="A354" s="8">
        <v>352</v>
      </c>
      <c r="B354" s="8" t="s">
        <v>144</v>
      </c>
      <c r="C354" s="8" t="s">
        <v>850</v>
      </c>
      <c r="D354" s="8" t="s">
        <v>851</v>
      </c>
      <c r="E354" s="13">
        <v>0</v>
      </c>
      <c r="F354" s="14">
        <v>0</v>
      </c>
    </row>
    <row r="355" spans="1:6" x14ac:dyDescent="0.3">
      <c r="A355" s="8">
        <v>353</v>
      </c>
      <c r="B355" s="8" t="s">
        <v>144</v>
      </c>
      <c r="C355" s="8" t="s">
        <v>852</v>
      </c>
      <c r="D355" s="8" t="s">
        <v>853</v>
      </c>
      <c r="E355" s="13">
        <v>84900</v>
      </c>
      <c r="F355" s="14">
        <v>179630</v>
      </c>
    </row>
    <row r="356" spans="1:6" x14ac:dyDescent="0.3">
      <c r="A356" s="8">
        <v>354</v>
      </c>
      <c r="B356" s="8" t="s">
        <v>144</v>
      </c>
      <c r="C356" s="8" t="s">
        <v>854</v>
      </c>
      <c r="D356" s="8" t="s">
        <v>855</v>
      </c>
      <c r="E356" s="13">
        <v>137000</v>
      </c>
      <c r="F356" s="14">
        <v>289815</v>
      </c>
    </row>
    <row r="357" spans="1:6" x14ac:dyDescent="0.3">
      <c r="A357" s="8">
        <v>355</v>
      </c>
      <c r="B357" s="8" t="s">
        <v>144</v>
      </c>
      <c r="C357" s="8" t="s">
        <v>856</v>
      </c>
      <c r="D357" s="8" t="s">
        <v>857</v>
      </c>
      <c r="E357" s="13">
        <v>0</v>
      </c>
      <c r="F357" s="14">
        <v>0</v>
      </c>
    </row>
    <row r="358" spans="1:6" x14ac:dyDescent="0.3">
      <c r="A358" s="8">
        <v>356</v>
      </c>
      <c r="B358" s="8" t="s">
        <v>144</v>
      </c>
      <c r="C358" s="8" t="s">
        <v>858</v>
      </c>
      <c r="D358" s="8" t="s">
        <v>859</v>
      </c>
      <c r="E358" s="13">
        <v>98600</v>
      </c>
      <c r="F358" s="14">
        <v>197222</v>
      </c>
    </row>
    <row r="359" spans="1:6" x14ac:dyDescent="0.3">
      <c r="A359" s="8">
        <v>357</v>
      </c>
      <c r="B359" s="8" t="s">
        <v>144</v>
      </c>
      <c r="C359" s="8" t="s">
        <v>860</v>
      </c>
      <c r="D359" s="8" t="s">
        <v>861</v>
      </c>
      <c r="E359" s="13">
        <v>0</v>
      </c>
      <c r="F359" s="14">
        <v>1910000</v>
      </c>
    </row>
    <row r="360" spans="1:6" x14ac:dyDescent="0.3">
      <c r="A360" s="8">
        <v>358</v>
      </c>
      <c r="B360" s="8" t="s">
        <v>144</v>
      </c>
      <c r="C360" s="8" t="s">
        <v>862</v>
      </c>
      <c r="D360" s="8" t="s">
        <v>863</v>
      </c>
      <c r="E360" s="13">
        <v>0</v>
      </c>
      <c r="F360" s="14">
        <v>0</v>
      </c>
    </row>
    <row r="361" spans="1:6" x14ac:dyDescent="0.3">
      <c r="A361" s="8">
        <v>359</v>
      </c>
      <c r="B361" s="8" t="s">
        <v>144</v>
      </c>
      <c r="C361" s="8" t="s">
        <v>864</v>
      </c>
      <c r="D361" s="8" t="s">
        <v>865</v>
      </c>
      <c r="E361" s="13">
        <v>126000</v>
      </c>
      <c r="F361" s="14">
        <v>251852</v>
      </c>
    </row>
    <row r="362" spans="1:6" x14ac:dyDescent="0.3">
      <c r="A362" s="8">
        <v>360</v>
      </c>
      <c r="B362" s="8" t="s">
        <v>144</v>
      </c>
      <c r="C362" s="8" t="s">
        <v>866</v>
      </c>
      <c r="D362" s="8" t="s">
        <v>867</v>
      </c>
      <c r="E362" s="13">
        <v>0</v>
      </c>
      <c r="F362" s="14">
        <v>0</v>
      </c>
    </row>
    <row r="363" spans="1:6" x14ac:dyDescent="0.3">
      <c r="A363" s="8">
        <v>361</v>
      </c>
      <c r="B363" s="8" t="s">
        <v>144</v>
      </c>
      <c r="C363" s="8" t="s">
        <v>868</v>
      </c>
      <c r="D363" s="8" t="s">
        <v>869</v>
      </c>
      <c r="E363" s="13">
        <v>158000</v>
      </c>
      <c r="F363" s="14">
        <v>315741</v>
      </c>
    </row>
    <row r="364" spans="1:6" x14ac:dyDescent="0.3">
      <c r="A364" s="8">
        <v>362</v>
      </c>
      <c r="B364" s="8" t="s">
        <v>144</v>
      </c>
      <c r="C364" s="8" t="s">
        <v>870</v>
      </c>
      <c r="D364" s="8" t="s">
        <v>871</v>
      </c>
      <c r="E364" s="13">
        <v>0</v>
      </c>
      <c r="F364" s="14">
        <v>1539815</v>
      </c>
    </row>
    <row r="365" spans="1:6" x14ac:dyDescent="0.3">
      <c r="A365" s="8">
        <v>363</v>
      </c>
      <c r="B365" s="8" t="s">
        <v>144</v>
      </c>
      <c r="C365" s="8" t="s">
        <v>872</v>
      </c>
      <c r="D365" s="8" t="s">
        <v>873</v>
      </c>
      <c r="E365" s="13">
        <v>0</v>
      </c>
      <c r="F365" s="14">
        <v>0</v>
      </c>
    </row>
    <row r="366" spans="1:6" x14ac:dyDescent="0.3">
      <c r="A366" s="8">
        <v>364</v>
      </c>
      <c r="B366" s="8" t="s">
        <v>144</v>
      </c>
      <c r="C366" s="8" t="s">
        <v>874</v>
      </c>
      <c r="D366" s="8" t="s">
        <v>875</v>
      </c>
      <c r="E366" s="13">
        <v>550000</v>
      </c>
      <c r="F366" s="14">
        <v>882407</v>
      </c>
    </row>
    <row r="367" spans="1:6" x14ac:dyDescent="0.3">
      <c r="A367" s="8">
        <v>365</v>
      </c>
      <c r="B367" s="8" t="s">
        <v>144</v>
      </c>
      <c r="C367" s="8" t="s">
        <v>876</v>
      </c>
      <c r="D367" s="8" t="s">
        <v>877</v>
      </c>
      <c r="E367" s="13">
        <v>146000</v>
      </c>
      <c r="F367" s="14">
        <v>291667</v>
      </c>
    </row>
    <row r="368" spans="1:6" x14ac:dyDescent="0.3">
      <c r="A368" s="8">
        <v>366</v>
      </c>
      <c r="B368" s="8" t="s">
        <v>144</v>
      </c>
      <c r="C368" s="8" t="s">
        <v>878</v>
      </c>
      <c r="D368" s="8" t="s">
        <v>879</v>
      </c>
      <c r="E368" s="13">
        <v>98600</v>
      </c>
      <c r="F368" s="14">
        <v>197222</v>
      </c>
    </row>
    <row r="369" spans="1:6" x14ac:dyDescent="0.3">
      <c r="A369" s="8">
        <v>367</v>
      </c>
      <c r="B369" s="8" t="s">
        <v>144</v>
      </c>
      <c r="C369" s="8" t="s">
        <v>880</v>
      </c>
      <c r="D369" s="8" t="s">
        <v>881</v>
      </c>
      <c r="E369" s="13">
        <v>0</v>
      </c>
      <c r="F369" s="14">
        <v>0</v>
      </c>
    </row>
    <row r="370" spans="1:6" x14ac:dyDescent="0.3">
      <c r="A370" s="8">
        <v>368</v>
      </c>
      <c r="B370" s="8" t="s">
        <v>144</v>
      </c>
      <c r="C370" s="8" t="s">
        <v>882</v>
      </c>
      <c r="D370" s="8" t="s">
        <v>883</v>
      </c>
      <c r="E370" s="13">
        <v>0</v>
      </c>
      <c r="F370" s="14">
        <v>0</v>
      </c>
    </row>
    <row r="371" spans="1:6" x14ac:dyDescent="0.3">
      <c r="A371" s="8">
        <v>369</v>
      </c>
      <c r="B371" s="8" t="s">
        <v>144</v>
      </c>
      <c r="C371" s="8" t="s">
        <v>884</v>
      </c>
      <c r="D371" s="8" t="s">
        <v>885</v>
      </c>
      <c r="E371" s="13">
        <v>118000</v>
      </c>
      <c r="F371" s="14">
        <v>236111</v>
      </c>
    </row>
    <row r="372" spans="1:6" x14ac:dyDescent="0.3">
      <c r="A372" s="8">
        <v>370</v>
      </c>
      <c r="B372" s="8" t="s">
        <v>144</v>
      </c>
      <c r="C372" s="8" t="s">
        <v>886</v>
      </c>
      <c r="D372" s="8" t="s">
        <v>887</v>
      </c>
      <c r="E372" s="13">
        <v>0</v>
      </c>
      <c r="F372" s="14">
        <v>0</v>
      </c>
    </row>
    <row r="373" spans="1:6" x14ac:dyDescent="0.3">
      <c r="A373" s="8">
        <v>371</v>
      </c>
      <c r="B373" s="8" t="s">
        <v>144</v>
      </c>
      <c r="C373" s="8" t="s">
        <v>888</v>
      </c>
      <c r="D373" s="8" t="s">
        <v>889</v>
      </c>
      <c r="E373" s="13">
        <v>0</v>
      </c>
      <c r="F373" s="14">
        <v>0</v>
      </c>
    </row>
    <row r="374" spans="1:6" x14ac:dyDescent="0.3">
      <c r="A374" s="8">
        <v>372</v>
      </c>
      <c r="B374" s="8" t="s">
        <v>144</v>
      </c>
      <c r="C374" s="8" t="s">
        <v>890</v>
      </c>
      <c r="D374" s="8" t="s">
        <v>891</v>
      </c>
      <c r="E374" s="13">
        <v>0</v>
      </c>
      <c r="F374" s="14">
        <v>0</v>
      </c>
    </row>
    <row r="375" spans="1:6" x14ac:dyDescent="0.3">
      <c r="A375" s="8">
        <v>373</v>
      </c>
      <c r="B375" s="8" t="s">
        <v>144</v>
      </c>
      <c r="C375" s="8" t="s">
        <v>892</v>
      </c>
      <c r="D375" s="8" t="s">
        <v>893</v>
      </c>
      <c r="E375" s="13">
        <v>0</v>
      </c>
      <c r="F375" s="14">
        <v>0</v>
      </c>
    </row>
    <row r="376" spans="1:6" x14ac:dyDescent="0.3">
      <c r="A376" s="8">
        <v>374</v>
      </c>
      <c r="B376" s="8" t="s">
        <v>144</v>
      </c>
      <c r="C376" s="8" t="s">
        <v>894</v>
      </c>
      <c r="D376" s="8" t="s">
        <v>895</v>
      </c>
      <c r="E376" s="13">
        <v>0</v>
      </c>
      <c r="F376" s="14">
        <v>0</v>
      </c>
    </row>
    <row r="377" spans="1:6" x14ac:dyDescent="0.3">
      <c r="A377" s="8">
        <v>375</v>
      </c>
      <c r="B377" s="8" t="s">
        <v>144</v>
      </c>
      <c r="C377" s="8" t="s">
        <v>896</v>
      </c>
      <c r="D377" s="8" t="s">
        <v>897</v>
      </c>
      <c r="E377" s="13">
        <v>430000</v>
      </c>
      <c r="F377" s="14">
        <v>860000</v>
      </c>
    </row>
    <row r="378" spans="1:6" x14ac:dyDescent="0.3">
      <c r="A378" s="8">
        <v>376</v>
      </c>
      <c r="B378" s="8" t="s">
        <v>144</v>
      </c>
      <c r="C378" s="8" t="s">
        <v>898</v>
      </c>
      <c r="D378" s="8" t="s">
        <v>899</v>
      </c>
      <c r="E378" s="13">
        <v>0</v>
      </c>
      <c r="F378" s="14">
        <v>0</v>
      </c>
    </row>
    <row r="379" spans="1:6" x14ac:dyDescent="0.3">
      <c r="A379" s="8">
        <v>377</v>
      </c>
      <c r="B379" s="8" t="s">
        <v>144</v>
      </c>
      <c r="C379" s="8" t="s">
        <v>900</v>
      </c>
      <c r="D379" s="8" t="s">
        <v>901</v>
      </c>
      <c r="E379" s="13">
        <v>34600</v>
      </c>
      <c r="F379" s="14">
        <v>59500</v>
      </c>
    </row>
    <row r="380" spans="1:6" x14ac:dyDescent="0.3">
      <c r="A380" s="8">
        <v>378</v>
      </c>
      <c r="B380" s="8" t="s">
        <v>144</v>
      </c>
      <c r="C380" s="8" t="s">
        <v>902</v>
      </c>
      <c r="D380" s="8" t="s">
        <v>903</v>
      </c>
      <c r="E380" s="13">
        <v>110800</v>
      </c>
      <c r="F380" s="14">
        <v>200000</v>
      </c>
    </row>
    <row r="381" spans="1:6" x14ac:dyDescent="0.3">
      <c r="A381" s="8">
        <v>379</v>
      </c>
      <c r="B381" s="8" t="s">
        <v>144</v>
      </c>
      <c r="C381" s="8" t="s">
        <v>904</v>
      </c>
      <c r="D381" s="8" t="s">
        <v>905</v>
      </c>
      <c r="E381" s="13">
        <v>0</v>
      </c>
      <c r="F381" s="14">
        <v>0</v>
      </c>
    </row>
    <row r="382" spans="1:6" x14ac:dyDescent="0.3">
      <c r="A382" s="8">
        <v>380</v>
      </c>
      <c r="B382" s="8" t="s">
        <v>144</v>
      </c>
      <c r="C382" s="8" t="s">
        <v>906</v>
      </c>
      <c r="D382" s="8" t="s">
        <v>907</v>
      </c>
      <c r="E382" s="13">
        <v>500600</v>
      </c>
      <c r="F382" s="14">
        <v>1000000</v>
      </c>
    </row>
    <row r="383" spans="1:6" x14ac:dyDescent="0.3">
      <c r="A383" s="8">
        <v>381</v>
      </c>
      <c r="B383" s="8" t="s">
        <v>144</v>
      </c>
      <c r="C383" s="8" t="s">
        <v>908</v>
      </c>
      <c r="D383" s="8" t="s">
        <v>909</v>
      </c>
      <c r="E383" s="13">
        <v>0</v>
      </c>
      <c r="F383" s="14">
        <v>0</v>
      </c>
    </row>
    <row r="384" spans="1:6" x14ac:dyDescent="0.3">
      <c r="A384" s="8">
        <v>382</v>
      </c>
      <c r="B384" s="8" t="s">
        <v>144</v>
      </c>
      <c r="C384" s="8" t="s">
        <v>910</v>
      </c>
      <c r="D384" s="8" t="s">
        <v>911</v>
      </c>
      <c r="E384" s="13">
        <v>0</v>
      </c>
      <c r="F384" s="14">
        <v>283000</v>
      </c>
    </row>
    <row r="385" spans="1:6" x14ac:dyDescent="0.3">
      <c r="A385" s="8">
        <v>383</v>
      </c>
      <c r="B385" s="8" t="s">
        <v>144</v>
      </c>
      <c r="C385" s="8" t="s">
        <v>912</v>
      </c>
      <c r="D385" s="8" t="s">
        <v>913</v>
      </c>
      <c r="E385" s="13">
        <v>77100</v>
      </c>
      <c r="F385" s="14">
        <v>171000</v>
      </c>
    </row>
    <row r="386" spans="1:6" x14ac:dyDescent="0.3">
      <c r="A386" s="8">
        <v>384</v>
      </c>
      <c r="B386" s="8" t="s">
        <v>144</v>
      </c>
      <c r="C386" s="8" t="s">
        <v>914</v>
      </c>
      <c r="D386" s="8" t="s">
        <v>915</v>
      </c>
      <c r="E386" s="13">
        <v>0</v>
      </c>
      <c r="F386" s="14">
        <v>0</v>
      </c>
    </row>
    <row r="387" spans="1:6" x14ac:dyDescent="0.3">
      <c r="A387" s="8">
        <v>385</v>
      </c>
      <c r="B387" s="8" t="s">
        <v>144</v>
      </c>
      <c r="C387" s="8" t="s">
        <v>916</v>
      </c>
      <c r="D387" s="8" t="s">
        <v>917</v>
      </c>
      <c r="E387" s="13">
        <v>314000</v>
      </c>
      <c r="F387" s="14">
        <v>504630</v>
      </c>
    </row>
    <row r="388" spans="1:6" x14ac:dyDescent="0.3">
      <c r="A388" s="8">
        <v>386</v>
      </c>
      <c r="B388" s="8" t="s">
        <v>144</v>
      </c>
      <c r="C388" s="8" t="s">
        <v>918</v>
      </c>
      <c r="D388" s="8" t="s">
        <v>919</v>
      </c>
      <c r="E388" s="13">
        <v>0</v>
      </c>
      <c r="F388" s="14">
        <v>283000</v>
      </c>
    </row>
    <row r="389" spans="1:6" x14ac:dyDescent="0.3">
      <c r="A389" s="8">
        <v>387</v>
      </c>
      <c r="B389" s="8" t="s">
        <v>144</v>
      </c>
      <c r="C389" s="8" t="s">
        <v>920</v>
      </c>
      <c r="D389" s="8" t="s">
        <v>921</v>
      </c>
      <c r="E389" s="13">
        <v>0</v>
      </c>
      <c r="F389" s="14">
        <v>0</v>
      </c>
    </row>
    <row r="390" spans="1:6" x14ac:dyDescent="0.3">
      <c r="A390" s="8">
        <v>388</v>
      </c>
      <c r="B390" s="8" t="s">
        <v>144</v>
      </c>
      <c r="C390" s="8" t="s">
        <v>922</v>
      </c>
      <c r="D390" s="8" t="s">
        <v>923</v>
      </c>
      <c r="E390" s="13">
        <v>0</v>
      </c>
      <c r="F390" s="14">
        <v>0</v>
      </c>
    </row>
    <row r="391" spans="1:6" x14ac:dyDescent="0.3">
      <c r="A391" s="8">
        <v>389</v>
      </c>
      <c r="B391" s="8" t="s">
        <v>144</v>
      </c>
      <c r="C391" s="8" t="s">
        <v>924</v>
      </c>
      <c r="D391" s="8" t="s">
        <v>925</v>
      </c>
      <c r="E391" s="13">
        <v>480000</v>
      </c>
      <c r="F391" s="14">
        <v>960185</v>
      </c>
    </row>
    <row r="392" spans="1:6" x14ac:dyDescent="0.3">
      <c r="A392" s="8">
        <v>390</v>
      </c>
      <c r="B392" s="8" t="s">
        <v>144</v>
      </c>
      <c r="C392" s="8" t="s">
        <v>926</v>
      </c>
      <c r="D392" s="8" t="s">
        <v>927</v>
      </c>
      <c r="E392" s="13">
        <v>0</v>
      </c>
      <c r="F392" s="14">
        <v>0</v>
      </c>
    </row>
    <row r="393" spans="1:6" x14ac:dyDescent="0.3">
      <c r="A393" s="8">
        <v>391</v>
      </c>
      <c r="B393" s="8" t="s">
        <v>144</v>
      </c>
      <c r="C393" s="8" t="s">
        <v>928</v>
      </c>
      <c r="D393" s="8" t="s">
        <v>929</v>
      </c>
      <c r="E393" s="13">
        <v>0</v>
      </c>
      <c r="F393" s="14">
        <v>340000</v>
      </c>
    </row>
    <row r="394" spans="1:6" x14ac:dyDescent="0.3">
      <c r="A394" s="8">
        <v>392</v>
      </c>
      <c r="B394" s="8" t="s">
        <v>144</v>
      </c>
      <c r="C394" s="8" t="s">
        <v>930</v>
      </c>
      <c r="D394" s="8" t="s">
        <v>931</v>
      </c>
      <c r="E394" s="13">
        <v>126000</v>
      </c>
      <c r="F394" s="14">
        <v>251852</v>
      </c>
    </row>
    <row r="395" spans="1:6" x14ac:dyDescent="0.3">
      <c r="A395" s="8">
        <v>393</v>
      </c>
      <c r="B395" s="8" t="s">
        <v>144</v>
      </c>
      <c r="C395" s="8" t="s">
        <v>932</v>
      </c>
      <c r="D395" s="8" t="s">
        <v>933</v>
      </c>
      <c r="E395" s="13">
        <v>0</v>
      </c>
      <c r="F395" s="14">
        <v>0</v>
      </c>
    </row>
    <row r="396" spans="1:6" x14ac:dyDescent="0.3">
      <c r="A396" s="8">
        <v>394</v>
      </c>
      <c r="B396" s="8" t="s">
        <v>144</v>
      </c>
      <c r="C396" s="8" t="s">
        <v>934</v>
      </c>
      <c r="D396" s="8" t="s">
        <v>935</v>
      </c>
      <c r="E396" s="13">
        <v>0</v>
      </c>
      <c r="F396" s="14">
        <v>0</v>
      </c>
    </row>
    <row r="397" spans="1:6" x14ac:dyDescent="0.3">
      <c r="A397" s="8">
        <v>395</v>
      </c>
      <c r="B397" s="8" t="s">
        <v>144</v>
      </c>
      <c r="C397" s="8" t="s">
        <v>936</v>
      </c>
      <c r="D397" s="8" t="s">
        <v>937</v>
      </c>
      <c r="E397" s="13">
        <v>0</v>
      </c>
      <c r="F397" s="14">
        <v>0</v>
      </c>
    </row>
    <row r="398" spans="1:6" x14ac:dyDescent="0.3">
      <c r="A398" s="8">
        <v>396</v>
      </c>
      <c r="B398" s="8" t="s">
        <v>144</v>
      </c>
      <c r="C398" s="8" t="s">
        <v>938</v>
      </c>
      <c r="D398" s="8" t="s">
        <v>939</v>
      </c>
      <c r="E398" s="13">
        <v>0</v>
      </c>
      <c r="F398" s="14">
        <v>0</v>
      </c>
    </row>
    <row r="399" spans="1:6" x14ac:dyDescent="0.3">
      <c r="A399" s="8">
        <v>397</v>
      </c>
      <c r="B399" s="8" t="s">
        <v>144</v>
      </c>
      <c r="C399" s="8" t="s">
        <v>940</v>
      </c>
      <c r="D399" s="8" t="s">
        <v>941</v>
      </c>
      <c r="E399" s="13">
        <v>0</v>
      </c>
      <c r="F399" s="14">
        <v>0</v>
      </c>
    </row>
    <row r="400" spans="1:6" x14ac:dyDescent="0.3">
      <c r="A400" s="8">
        <v>398</v>
      </c>
      <c r="B400" s="8" t="s">
        <v>144</v>
      </c>
      <c r="C400" s="8" t="s">
        <v>942</v>
      </c>
      <c r="D400" s="8" t="s">
        <v>943</v>
      </c>
      <c r="E400" s="13">
        <v>0</v>
      </c>
      <c r="F400" s="14">
        <v>450000</v>
      </c>
    </row>
    <row r="401" spans="1:6" x14ac:dyDescent="0.3">
      <c r="A401" s="8">
        <v>399</v>
      </c>
      <c r="B401" s="8" t="s">
        <v>144</v>
      </c>
      <c r="C401" s="8" t="s">
        <v>944</v>
      </c>
      <c r="D401" s="8" t="s">
        <v>945</v>
      </c>
      <c r="E401" s="13">
        <v>0</v>
      </c>
      <c r="F401" s="14">
        <v>0</v>
      </c>
    </row>
    <row r="402" spans="1:6" x14ac:dyDescent="0.3">
      <c r="A402" s="8">
        <v>400</v>
      </c>
      <c r="B402" s="8" t="s">
        <v>144</v>
      </c>
      <c r="C402" s="8" t="s">
        <v>946</v>
      </c>
      <c r="D402" s="8" t="s">
        <v>947</v>
      </c>
      <c r="E402" s="13">
        <v>99000</v>
      </c>
      <c r="F402" s="14">
        <v>198148</v>
      </c>
    </row>
    <row r="403" spans="1:6" x14ac:dyDescent="0.3">
      <c r="A403" s="8">
        <v>401</v>
      </c>
      <c r="B403" s="8" t="s">
        <v>144</v>
      </c>
      <c r="C403" s="8" t="s">
        <v>948</v>
      </c>
      <c r="D403" s="8" t="s">
        <v>949</v>
      </c>
      <c r="E403" s="13">
        <v>555000</v>
      </c>
      <c r="F403" s="14">
        <v>1110185</v>
      </c>
    </row>
    <row r="404" spans="1:6" x14ac:dyDescent="0.3">
      <c r="A404" s="8">
        <v>402</v>
      </c>
      <c r="B404" s="8" t="s">
        <v>144</v>
      </c>
      <c r="C404" s="8" t="s">
        <v>950</v>
      </c>
      <c r="D404" s="8" t="s">
        <v>951</v>
      </c>
      <c r="E404" s="13">
        <v>0</v>
      </c>
      <c r="F404" s="14">
        <v>756000</v>
      </c>
    </row>
    <row r="405" spans="1:6" x14ac:dyDescent="0.3">
      <c r="A405" s="8">
        <v>403</v>
      </c>
      <c r="B405" s="8" t="s">
        <v>144</v>
      </c>
      <c r="C405" s="8" t="s">
        <v>952</v>
      </c>
      <c r="D405" s="8" t="s">
        <v>953</v>
      </c>
      <c r="E405" s="13">
        <v>0</v>
      </c>
      <c r="F405" s="14">
        <v>430000</v>
      </c>
    </row>
    <row r="406" spans="1:6" x14ac:dyDescent="0.3">
      <c r="A406" s="8">
        <v>404</v>
      </c>
      <c r="B406" s="8" t="s">
        <v>144</v>
      </c>
      <c r="C406" s="8" t="s">
        <v>954</v>
      </c>
      <c r="D406" s="8" t="s">
        <v>955</v>
      </c>
      <c r="E406" s="13">
        <v>0</v>
      </c>
      <c r="F406" s="14">
        <v>0</v>
      </c>
    </row>
    <row r="407" spans="1:6" x14ac:dyDescent="0.3">
      <c r="A407" s="8">
        <v>405</v>
      </c>
      <c r="B407" s="8" t="s">
        <v>144</v>
      </c>
      <c r="C407" s="8" t="s">
        <v>956</v>
      </c>
      <c r="D407" s="8" t="s">
        <v>957</v>
      </c>
      <c r="E407" s="13">
        <v>78300</v>
      </c>
      <c r="F407" s="14">
        <v>140000</v>
      </c>
    </row>
    <row r="408" spans="1:6" x14ac:dyDescent="0.3">
      <c r="A408" s="8">
        <v>406</v>
      </c>
      <c r="B408" s="8" t="s">
        <v>144</v>
      </c>
      <c r="C408" s="8" t="s">
        <v>958</v>
      </c>
      <c r="D408" s="8" t="s">
        <v>959</v>
      </c>
      <c r="E408" s="13">
        <v>75800</v>
      </c>
      <c r="F408" s="14">
        <v>152000</v>
      </c>
    </row>
    <row r="409" spans="1:6" x14ac:dyDescent="0.3">
      <c r="A409" s="8">
        <v>407</v>
      </c>
      <c r="B409" s="8" t="s">
        <v>144</v>
      </c>
      <c r="C409" s="8" t="s">
        <v>960</v>
      </c>
      <c r="D409" s="8" t="s">
        <v>961</v>
      </c>
      <c r="E409" s="13">
        <v>0</v>
      </c>
      <c r="F409" s="14">
        <v>0</v>
      </c>
    </row>
    <row r="410" spans="1:6" x14ac:dyDescent="0.3">
      <c r="A410" s="8">
        <v>408</v>
      </c>
      <c r="B410" s="8" t="s">
        <v>144</v>
      </c>
      <c r="C410" s="8" t="s">
        <v>962</v>
      </c>
      <c r="D410" s="8" t="s">
        <v>963</v>
      </c>
      <c r="E410" s="13">
        <v>0</v>
      </c>
      <c r="F410" s="14">
        <v>610000</v>
      </c>
    </row>
    <row r="411" spans="1:6" x14ac:dyDescent="0.3">
      <c r="A411" s="8">
        <v>409</v>
      </c>
      <c r="B411" s="8" t="s">
        <v>144</v>
      </c>
      <c r="C411" s="8" t="s">
        <v>964</v>
      </c>
      <c r="D411" s="8" t="s">
        <v>965</v>
      </c>
      <c r="E411" s="13">
        <v>0</v>
      </c>
      <c r="F411" s="14">
        <v>0</v>
      </c>
    </row>
    <row r="412" spans="1:6" x14ac:dyDescent="0.3">
      <c r="A412" s="8">
        <v>410</v>
      </c>
      <c r="B412" s="8" t="s">
        <v>144</v>
      </c>
      <c r="C412" s="8" t="s">
        <v>966</v>
      </c>
      <c r="D412" s="8" t="s">
        <v>967</v>
      </c>
      <c r="E412" s="13">
        <v>85100</v>
      </c>
      <c r="F412" s="14">
        <v>178704</v>
      </c>
    </row>
    <row r="413" spans="1:6" x14ac:dyDescent="0.3">
      <c r="A413" s="8">
        <v>411</v>
      </c>
      <c r="B413" s="8" t="s">
        <v>144</v>
      </c>
      <c r="C413" s="8" t="s">
        <v>968</v>
      </c>
      <c r="D413" s="8" t="s">
        <v>969</v>
      </c>
      <c r="E413" s="13">
        <v>0</v>
      </c>
      <c r="F413" s="14">
        <v>0</v>
      </c>
    </row>
    <row r="414" spans="1:6" x14ac:dyDescent="0.3">
      <c r="A414" s="8">
        <v>412</v>
      </c>
      <c r="B414" s="8" t="s">
        <v>144</v>
      </c>
      <c r="C414" s="8" t="s">
        <v>970</v>
      </c>
      <c r="D414" s="8" t="s">
        <v>971</v>
      </c>
      <c r="E414" s="13">
        <v>0</v>
      </c>
      <c r="F414" s="14">
        <v>660185</v>
      </c>
    </row>
    <row r="415" spans="1:6" x14ac:dyDescent="0.3">
      <c r="A415" s="8">
        <v>413</v>
      </c>
      <c r="B415" s="8" t="s">
        <v>144</v>
      </c>
      <c r="C415" s="8" t="s">
        <v>972</v>
      </c>
      <c r="D415" s="8" t="s">
        <v>973</v>
      </c>
      <c r="E415" s="13">
        <v>155000</v>
      </c>
      <c r="F415" s="14">
        <v>310185</v>
      </c>
    </row>
    <row r="416" spans="1:6" x14ac:dyDescent="0.3">
      <c r="A416" s="8">
        <v>414</v>
      </c>
      <c r="B416" s="8" t="s">
        <v>144</v>
      </c>
      <c r="C416" s="8" t="s">
        <v>974</v>
      </c>
      <c r="D416" s="8" t="s">
        <v>975</v>
      </c>
      <c r="E416" s="13">
        <v>0</v>
      </c>
      <c r="F416" s="14">
        <v>0</v>
      </c>
    </row>
    <row r="417" spans="1:6" x14ac:dyDescent="0.3">
      <c r="A417" s="8">
        <v>415</v>
      </c>
      <c r="B417" s="8" t="s">
        <v>144</v>
      </c>
      <c r="C417" s="8" t="s">
        <v>976</v>
      </c>
      <c r="D417" s="8" t="s">
        <v>977</v>
      </c>
      <c r="E417" s="13">
        <v>0</v>
      </c>
      <c r="F417" s="14">
        <v>0</v>
      </c>
    </row>
    <row r="418" spans="1:6" x14ac:dyDescent="0.3">
      <c r="A418" s="8">
        <v>416</v>
      </c>
      <c r="B418" s="8" t="s">
        <v>144</v>
      </c>
      <c r="C418" s="8" t="s">
        <v>978</v>
      </c>
      <c r="D418" s="8" t="s">
        <v>979</v>
      </c>
      <c r="E418" s="13">
        <v>0</v>
      </c>
      <c r="F418" s="14">
        <v>0</v>
      </c>
    </row>
    <row r="419" spans="1:6" x14ac:dyDescent="0.3">
      <c r="A419" s="8">
        <v>417</v>
      </c>
      <c r="B419" s="8" t="s">
        <v>144</v>
      </c>
      <c r="C419" s="8" t="s">
        <v>980</v>
      </c>
      <c r="D419" s="8" t="s">
        <v>981</v>
      </c>
      <c r="E419" s="13">
        <v>146000</v>
      </c>
      <c r="F419" s="14">
        <v>291667</v>
      </c>
    </row>
    <row r="420" spans="1:6" x14ac:dyDescent="0.3">
      <c r="A420" s="8">
        <v>418</v>
      </c>
      <c r="B420" s="8" t="s">
        <v>144</v>
      </c>
      <c r="C420" s="8" t="s">
        <v>982</v>
      </c>
      <c r="D420" s="8" t="s">
        <v>983</v>
      </c>
      <c r="E420" s="13">
        <v>146000</v>
      </c>
      <c r="F420" s="14">
        <v>291667</v>
      </c>
    </row>
    <row r="421" spans="1:6" x14ac:dyDescent="0.3">
      <c r="A421" s="8">
        <v>419</v>
      </c>
      <c r="B421" s="8" t="s">
        <v>144</v>
      </c>
      <c r="C421" s="8" t="s">
        <v>984</v>
      </c>
      <c r="D421" s="8" t="s">
        <v>985</v>
      </c>
      <c r="E421" s="13">
        <v>474000</v>
      </c>
      <c r="F421" s="14">
        <v>948148</v>
      </c>
    </row>
    <row r="422" spans="1:6" x14ac:dyDescent="0.3">
      <c r="A422" s="8">
        <v>420</v>
      </c>
      <c r="B422" s="8" t="s">
        <v>144</v>
      </c>
      <c r="C422" s="8" t="s">
        <v>986</v>
      </c>
      <c r="D422" s="8" t="s">
        <v>987</v>
      </c>
      <c r="E422" s="13">
        <v>0</v>
      </c>
      <c r="F422" s="14">
        <v>0</v>
      </c>
    </row>
    <row r="423" spans="1:6" x14ac:dyDescent="0.3">
      <c r="A423" s="8">
        <v>421</v>
      </c>
      <c r="B423" s="8" t="s">
        <v>144</v>
      </c>
      <c r="C423" s="8" t="s">
        <v>988</v>
      </c>
      <c r="D423" s="8" t="s">
        <v>989</v>
      </c>
      <c r="E423" s="13">
        <v>56000</v>
      </c>
      <c r="F423" s="14">
        <v>112037</v>
      </c>
    </row>
    <row r="424" spans="1:6" x14ac:dyDescent="0.3">
      <c r="A424" s="8">
        <v>422</v>
      </c>
      <c r="B424" s="8" t="s">
        <v>144</v>
      </c>
      <c r="C424" s="8" t="s">
        <v>990</v>
      </c>
      <c r="D424" s="8" t="s">
        <v>991</v>
      </c>
      <c r="E424" s="13">
        <v>126000</v>
      </c>
      <c r="F424" s="14">
        <v>251852</v>
      </c>
    </row>
    <row r="425" spans="1:6" x14ac:dyDescent="0.3">
      <c r="A425" s="8">
        <v>423</v>
      </c>
      <c r="B425" s="8" t="s">
        <v>144</v>
      </c>
      <c r="C425" s="8" t="s">
        <v>992</v>
      </c>
      <c r="D425" s="8" t="s">
        <v>993</v>
      </c>
      <c r="E425" s="13">
        <v>0</v>
      </c>
      <c r="F425" s="14">
        <v>0</v>
      </c>
    </row>
    <row r="426" spans="1:6" x14ac:dyDescent="0.3">
      <c r="A426" s="8">
        <v>424</v>
      </c>
      <c r="B426" s="8" t="s">
        <v>144</v>
      </c>
      <c r="C426" s="8" t="s">
        <v>994</v>
      </c>
      <c r="D426" s="8" t="s">
        <v>995</v>
      </c>
      <c r="E426" s="13">
        <v>0</v>
      </c>
      <c r="F426" s="14">
        <v>0</v>
      </c>
    </row>
    <row r="427" spans="1:6" x14ac:dyDescent="0.3">
      <c r="A427" s="8">
        <v>425</v>
      </c>
      <c r="B427" s="8" t="s">
        <v>144</v>
      </c>
      <c r="C427" s="8" t="s">
        <v>996</v>
      </c>
      <c r="D427" s="8" t="s">
        <v>997</v>
      </c>
      <c r="E427" s="13">
        <v>0</v>
      </c>
      <c r="F427" s="14">
        <v>0</v>
      </c>
    </row>
    <row r="428" spans="1:6" x14ac:dyDescent="0.3">
      <c r="A428" s="8">
        <v>426</v>
      </c>
      <c r="B428" s="8" t="s">
        <v>144</v>
      </c>
      <c r="C428" s="8" t="s">
        <v>998</v>
      </c>
      <c r="D428" s="8" t="s">
        <v>999</v>
      </c>
      <c r="E428" s="13">
        <v>110800</v>
      </c>
      <c r="F428" s="14">
        <v>200000</v>
      </c>
    </row>
    <row r="429" spans="1:6" x14ac:dyDescent="0.3">
      <c r="A429" s="8">
        <v>427</v>
      </c>
      <c r="B429" s="8" t="s">
        <v>144</v>
      </c>
      <c r="C429" s="8" t="s">
        <v>1000</v>
      </c>
      <c r="D429" s="8" t="s">
        <v>1001</v>
      </c>
      <c r="E429" s="13">
        <v>99000</v>
      </c>
      <c r="F429" s="14">
        <v>198148</v>
      </c>
    </row>
    <row r="430" spans="1:6" x14ac:dyDescent="0.3">
      <c r="A430" s="8">
        <v>428</v>
      </c>
      <c r="B430" s="8" t="s">
        <v>144</v>
      </c>
      <c r="C430" s="8" t="s">
        <v>1002</v>
      </c>
      <c r="D430" s="8" t="s">
        <v>1003</v>
      </c>
      <c r="E430" s="13">
        <v>0</v>
      </c>
      <c r="F430" s="14">
        <v>430000</v>
      </c>
    </row>
    <row r="431" spans="1:6" x14ac:dyDescent="0.3">
      <c r="A431" s="8">
        <v>429</v>
      </c>
      <c r="B431" s="8" t="s">
        <v>144</v>
      </c>
      <c r="C431" s="8" t="s">
        <v>1004</v>
      </c>
      <c r="D431" s="8" t="s">
        <v>1005</v>
      </c>
      <c r="E431" s="13">
        <v>82500</v>
      </c>
      <c r="F431" s="14">
        <v>146296</v>
      </c>
    </row>
    <row r="432" spans="1:6" x14ac:dyDescent="0.3">
      <c r="A432" s="8">
        <v>430</v>
      </c>
      <c r="B432" s="8" t="s">
        <v>144</v>
      </c>
      <c r="C432" s="8" t="s">
        <v>1006</v>
      </c>
      <c r="D432" s="8" t="s">
        <v>1007</v>
      </c>
      <c r="E432" s="13">
        <v>0</v>
      </c>
      <c r="F432" s="14">
        <v>802000</v>
      </c>
    </row>
    <row r="433" spans="1:6" x14ac:dyDescent="0.3">
      <c r="A433" s="8">
        <v>431</v>
      </c>
      <c r="B433" s="8" t="s">
        <v>144</v>
      </c>
      <c r="C433" s="8" t="s">
        <v>1008</v>
      </c>
      <c r="D433" s="8" t="s">
        <v>1009</v>
      </c>
      <c r="E433" s="13">
        <v>0</v>
      </c>
      <c r="F433" s="14">
        <v>0</v>
      </c>
    </row>
    <row r="434" spans="1:6" x14ac:dyDescent="0.3">
      <c r="A434" s="8">
        <v>432</v>
      </c>
      <c r="B434" s="8" t="s">
        <v>144</v>
      </c>
      <c r="C434" s="8" t="s">
        <v>1010</v>
      </c>
      <c r="D434" s="8" t="s">
        <v>1011</v>
      </c>
      <c r="E434" s="13">
        <v>0</v>
      </c>
      <c r="F434" s="14">
        <v>0</v>
      </c>
    </row>
    <row r="435" spans="1:6" x14ac:dyDescent="0.3">
      <c r="A435" s="8">
        <v>433</v>
      </c>
      <c r="B435" s="8" t="s">
        <v>144</v>
      </c>
      <c r="C435" s="8" t="s">
        <v>1012</v>
      </c>
      <c r="D435" s="8" t="s">
        <v>1013</v>
      </c>
      <c r="E435" s="13">
        <v>137000</v>
      </c>
      <c r="F435" s="14">
        <v>289815</v>
      </c>
    </row>
    <row r="436" spans="1:6" x14ac:dyDescent="0.3">
      <c r="A436" s="8">
        <v>434</v>
      </c>
      <c r="B436" s="8" t="s">
        <v>144</v>
      </c>
      <c r="C436" s="8" t="s">
        <v>1014</v>
      </c>
      <c r="D436" s="8" t="s">
        <v>1015</v>
      </c>
      <c r="E436" s="13">
        <v>0</v>
      </c>
      <c r="F436" s="14">
        <v>0</v>
      </c>
    </row>
    <row r="437" spans="1:6" x14ac:dyDescent="0.3">
      <c r="A437" s="8">
        <v>435</v>
      </c>
      <c r="B437" s="8" t="s">
        <v>144</v>
      </c>
      <c r="C437" s="8" t="s">
        <v>1016</v>
      </c>
      <c r="D437" s="8" t="s">
        <v>1017</v>
      </c>
      <c r="E437" s="13">
        <v>0</v>
      </c>
      <c r="F437" s="14">
        <v>0</v>
      </c>
    </row>
    <row r="438" spans="1:6" x14ac:dyDescent="0.3">
      <c r="A438" s="8">
        <v>436</v>
      </c>
      <c r="B438" s="8" t="s">
        <v>144</v>
      </c>
      <c r="C438" s="8" t="s">
        <v>1018</v>
      </c>
      <c r="D438" s="8" t="s">
        <v>1019</v>
      </c>
      <c r="E438" s="13">
        <v>0</v>
      </c>
      <c r="F438" s="14">
        <v>0</v>
      </c>
    </row>
    <row r="439" spans="1:6" x14ac:dyDescent="0.3">
      <c r="A439" s="8">
        <v>437</v>
      </c>
      <c r="B439" s="8" t="s">
        <v>144</v>
      </c>
      <c r="C439" s="8" t="s">
        <v>1020</v>
      </c>
      <c r="D439" s="8" t="s">
        <v>1021</v>
      </c>
      <c r="E439" s="13">
        <v>0</v>
      </c>
      <c r="F439" s="14">
        <v>0</v>
      </c>
    </row>
    <row r="440" spans="1:6" x14ac:dyDescent="0.3">
      <c r="A440" s="8">
        <v>438</v>
      </c>
      <c r="B440" s="8" t="s">
        <v>144</v>
      </c>
      <c r="C440" s="8" t="s">
        <v>1022</v>
      </c>
      <c r="D440" s="8" t="s">
        <v>1023</v>
      </c>
      <c r="E440" s="13">
        <v>0</v>
      </c>
      <c r="F440" s="14">
        <v>6439815</v>
      </c>
    </row>
    <row r="441" spans="1:6" x14ac:dyDescent="0.3">
      <c r="A441" s="8">
        <v>439</v>
      </c>
      <c r="B441" s="8" t="s">
        <v>144</v>
      </c>
      <c r="C441" s="8" t="s">
        <v>1024</v>
      </c>
      <c r="D441" s="8" t="s">
        <v>1025</v>
      </c>
      <c r="E441" s="13">
        <v>0</v>
      </c>
      <c r="F441" s="14">
        <v>0</v>
      </c>
    </row>
    <row r="442" spans="1:6" x14ac:dyDescent="0.3">
      <c r="A442" s="8">
        <v>440</v>
      </c>
      <c r="B442" s="8" t="s">
        <v>144</v>
      </c>
      <c r="C442" s="8" t="s">
        <v>1026</v>
      </c>
      <c r="D442" s="8" t="s">
        <v>1027</v>
      </c>
      <c r="E442" s="13">
        <v>0</v>
      </c>
      <c r="F442" s="14">
        <v>0</v>
      </c>
    </row>
    <row r="443" spans="1:6" x14ac:dyDescent="0.3">
      <c r="A443" s="8">
        <v>441</v>
      </c>
      <c r="B443" s="8" t="s">
        <v>144</v>
      </c>
      <c r="C443" s="8" t="s">
        <v>1028</v>
      </c>
      <c r="D443" s="8" t="s">
        <v>1029</v>
      </c>
      <c r="E443" s="13">
        <v>56000</v>
      </c>
      <c r="F443" s="14">
        <v>112037</v>
      </c>
    </row>
    <row r="444" spans="1:6" x14ac:dyDescent="0.3">
      <c r="A444" s="8">
        <v>442</v>
      </c>
      <c r="B444" s="8" t="s">
        <v>144</v>
      </c>
      <c r="C444" s="8" t="s">
        <v>1030</v>
      </c>
      <c r="D444" s="8" t="s">
        <v>1031</v>
      </c>
      <c r="E444" s="13">
        <v>0</v>
      </c>
      <c r="F444" s="14">
        <v>0</v>
      </c>
    </row>
    <row r="445" spans="1:6" x14ac:dyDescent="0.3">
      <c r="A445" s="8">
        <v>443</v>
      </c>
      <c r="B445" s="8" t="s">
        <v>144</v>
      </c>
      <c r="C445" s="8" t="s">
        <v>1032</v>
      </c>
      <c r="D445" s="8" t="s">
        <v>1033</v>
      </c>
      <c r="E445" s="13">
        <v>0</v>
      </c>
      <c r="F445" s="14">
        <v>0</v>
      </c>
    </row>
    <row r="446" spans="1:6" x14ac:dyDescent="0.3">
      <c r="A446" s="8">
        <v>444</v>
      </c>
      <c r="B446" s="8" t="s">
        <v>144</v>
      </c>
      <c r="C446" s="8" t="s">
        <v>1034</v>
      </c>
      <c r="D446" s="8" t="s">
        <v>1035</v>
      </c>
      <c r="E446" s="13">
        <v>0</v>
      </c>
      <c r="F446" s="14">
        <v>0</v>
      </c>
    </row>
    <row r="447" spans="1:6" x14ac:dyDescent="0.3">
      <c r="A447" s="8">
        <v>445</v>
      </c>
      <c r="B447" s="8" t="s">
        <v>144</v>
      </c>
      <c r="C447" s="8" t="s">
        <v>1036</v>
      </c>
      <c r="D447" s="8" t="s">
        <v>1037</v>
      </c>
      <c r="E447" s="13">
        <v>0</v>
      </c>
      <c r="F447" s="14">
        <v>0</v>
      </c>
    </row>
    <row r="448" spans="1:6" x14ac:dyDescent="0.3">
      <c r="A448" s="8">
        <v>446</v>
      </c>
      <c r="B448" s="8" t="s">
        <v>144</v>
      </c>
      <c r="C448" s="8" t="s">
        <v>1038</v>
      </c>
      <c r="D448" s="8" t="s">
        <v>1039</v>
      </c>
      <c r="E448" s="13">
        <v>2903400</v>
      </c>
      <c r="F448" s="14">
        <v>5648148</v>
      </c>
    </row>
    <row r="449" spans="1:6" x14ac:dyDescent="0.3">
      <c r="A449" s="8">
        <v>447</v>
      </c>
      <c r="B449" s="8" t="s">
        <v>144</v>
      </c>
      <c r="C449" s="8" t="s">
        <v>1040</v>
      </c>
      <c r="D449" s="8" t="s">
        <v>1041</v>
      </c>
      <c r="E449" s="13">
        <v>0</v>
      </c>
      <c r="F449" s="14">
        <v>0</v>
      </c>
    </row>
    <row r="450" spans="1:6" x14ac:dyDescent="0.3">
      <c r="A450" s="8">
        <v>448</v>
      </c>
      <c r="B450" s="8" t="s">
        <v>144</v>
      </c>
      <c r="C450" s="8" t="s">
        <v>1042</v>
      </c>
      <c r="D450" s="8" t="s">
        <v>1043</v>
      </c>
      <c r="E450" s="13">
        <v>0</v>
      </c>
      <c r="F450" s="14">
        <v>0</v>
      </c>
    </row>
    <row r="451" spans="1:6" x14ac:dyDescent="0.3">
      <c r="A451" s="8">
        <v>449</v>
      </c>
      <c r="B451" s="8" t="s">
        <v>144</v>
      </c>
      <c r="C451" s="8" t="s">
        <v>1044</v>
      </c>
      <c r="D451" s="8" t="s">
        <v>1045</v>
      </c>
      <c r="E451" s="13">
        <v>0</v>
      </c>
      <c r="F451" s="14">
        <v>0</v>
      </c>
    </row>
    <row r="452" spans="1:6" x14ac:dyDescent="0.3">
      <c r="A452" s="8">
        <v>450</v>
      </c>
      <c r="B452" s="8" t="s">
        <v>144</v>
      </c>
      <c r="C452" s="8" t="s">
        <v>1046</v>
      </c>
      <c r="D452" s="8" t="s">
        <v>1047</v>
      </c>
      <c r="E452" s="13">
        <v>0</v>
      </c>
      <c r="F452" s="14">
        <v>0</v>
      </c>
    </row>
    <row r="453" spans="1:6" x14ac:dyDescent="0.3">
      <c r="A453" s="8">
        <v>451</v>
      </c>
      <c r="B453" s="8" t="s">
        <v>144</v>
      </c>
      <c r="C453" s="8" t="s">
        <v>1048</v>
      </c>
      <c r="D453" s="8" t="s">
        <v>1049</v>
      </c>
      <c r="E453" s="13">
        <v>82500</v>
      </c>
      <c r="F453" s="14">
        <v>146296</v>
      </c>
    </row>
    <row r="454" spans="1:6" x14ac:dyDescent="0.3">
      <c r="A454" s="8">
        <v>452</v>
      </c>
      <c r="B454" s="8" t="s">
        <v>144</v>
      </c>
      <c r="C454" s="8" t="s">
        <v>1050</v>
      </c>
      <c r="D454" s="8" t="s">
        <v>1051</v>
      </c>
      <c r="E454" s="13">
        <v>0</v>
      </c>
      <c r="F454" s="14">
        <v>850000</v>
      </c>
    </row>
    <row r="455" spans="1:6" x14ac:dyDescent="0.3">
      <c r="A455" s="8">
        <v>453</v>
      </c>
      <c r="B455" s="8" t="s">
        <v>144</v>
      </c>
      <c r="C455" s="8" t="s">
        <v>1052</v>
      </c>
      <c r="D455" s="8" t="s">
        <v>1053</v>
      </c>
      <c r="E455" s="13">
        <v>0</v>
      </c>
      <c r="F455" s="14">
        <v>283000</v>
      </c>
    </row>
    <row r="456" spans="1:6" x14ac:dyDescent="0.3">
      <c r="A456" s="8">
        <v>454</v>
      </c>
      <c r="B456" s="8" t="s">
        <v>144</v>
      </c>
      <c r="C456" s="8" t="s">
        <v>1054</v>
      </c>
      <c r="D456" s="8" t="s">
        <v>1055</v>
      </c>
      <c r="E456" s="13">
        <v>0</v>
      </c>
      <c r="F456" s="14">
        <v>430000</v>
      </c>
    </row>
    <row r="457" spans="1:6" x14ac:dyDescent="0.3">
      <c r="A457" s="8">
        <v>455</v>
      </c>
      <c r="B457" s="8" t="s">
        <v>144</v>
      </c>
      <c r="C457" s="8" t="s">
        <v>1056</v>
      </c>
      <c r="D457" s="8" t="s">
        <v>1057</v>
      </c>
      <c r="E457" s="13">
        <v>0</v>
      </c>
      <c r="F457" s="14">
        <v>0</v>
      </c>
    </row>
    <row r="458" spans="1:6" x14ac:dyDescent="0.3">
      <c r="A458" s="8">
        <v>456</v>
      </c>
      <c r="B458" s="8" t="s">
        <v>144</v>
      </c>
      <c r="C458" s="8" t="s">
        <v>1058</v>
      </c>
      <c r="D458" s="8" t="s">
        <v>1059</v>
      </c>
      <c r="E458" s="13">
        <v>98600</v>
      </c>
      <c r="F458" s="14">
        <v>197222</v>
      </c>
    </row>
    <row r="459" spans="1:6" x14ac:dyDescent="0.3">
      <c r="A459" s="8">
        <v>457</v>
      </c>
      <c r="B459" s="8" t="s">
        <v>144</v>
      </c>
      <c r="C459" s="8" t="s">
        <v>1060</v>
      </c>
      <c r="D459" s="8" t="s">
        <v>1061</v>
      </c>
      <c r="E459" s="13">
        <v>0</v>
      </c>
      <c r="F459" s="14">
        <v>0</v>
      </c>
    </row>
    <row r="460" spans="1:6" x14ac:dyDescent="0.3">
      <c r="A460" s="8">
        <v>458</v>
      </c>
      <c r="B460" s="8" t="s">
        <v>144</v>
      </c>
      <c r="C460" s="8" t="s">
        <v>1062</v>
      </c>
      <c r="D460" s="8" t="s">
        <v>1063</v>
      </c>
      <c r="E460" s="13">
        <v>66800</v>
      </c>
      <c r="F460" s="14">
        <v>125926</v>
      </c>
    </row>
    <row r="461" spans="1:6" x14ac:dyDescent="0.3">
      <c r="A461" s="8">
        <v>459</v>
      </c>
      <c r="B461" s="8" t="s">
        <v>144</v>
      </c>
      <c r="C461" s="8" t="s">
        <v>1064</v>
      </c>
      <c r="D461" s="8" t="s">
        <v>1065</v>
      </c>
      <c r="E461" s="13">
        <v>85800</v>
      </c>
      <c r="F461" s="14">
        <v>151852</v>
      </c>
    </row>
    <row r="462" spans="1:6" x14ac:dyDescent="0.3">
      <c r="A462" s="8">
        <v>460</v>
      </c>
      <c r="B462" s="8" t="s">
        <v>144</v>
      </c>
      <c r="C462" s="8" t="s">
        <v>1066</v>
      </c>
      <c r="D462" s="8" t="s">
        <v>1067</v>
      </c>
      <c r="E462" s="13">
        <v>0</v>
      </c>
      <c r="F462" s="14">
        <v>6439815</v>
      </c>
    </row>
    <row r="463" spans="1:6" x14ac:dyDescent="0.3">
      <c r="A463" s="8">
        <v>461</v>
      </c>
      <c r="B463" s="8" t="s">
        <v>144</v>
      </c>
      <c r="C463" s="8" t="s">
        <v>1068</v>
      </c>
      <c r="D463" s="8" t="s">
        <v>1069</v>
      </c>
      <c r="E463" s="13">
        <v>71000</v>
      </c>
      <c r="F463" s="14">
        <v>141667</v>
      </c>
    </row>
    <row r="464" spans="1:6" x14ac:dyDescent="0.3">
      <c r="A464" s="8">
        <v>462</v>
      </c>
      <c r="B464" s="8" t="s">
        <v>144</v>
      </c>
      <c r="C464" s="8" t="s">
        <v>1070</v>
      </c>
      <c r="D464" s="8" t="s">
        <v>1071</v>
      </c>
      <c r="E464" s="13">
        <v>180600</v>
      </c>
      <c r="F464" s="14">
        <v>361111</v>
      </c>
    </row>
    <row r="465" spans="1:6" x14ac:dyDescent="0.3">
      <c r="A465" s="8">
        <v>463</v>
      </c>
      <c r="B465" s="8" t="s">
        <v>144</v>
      </c>
      <c r="C465" s="8" t="s">
        <v>1072</v>
      </c>
      <c r="D465" s="8" t="s">
        <v>1073</v>
      </c>
      <c r="E465" s="13">
        <v>0</v>
      </c>
      <c r="F465" s="14">
        <v>0</v>
      </c>
    </row>
    <row r="466" spans="1:6" x14ac:dyDescent="0.3">
      <c r="A466" s="8">
        <v>464</v>
      </c>
      <c r="B466" s="8" t="s">
        <v>144</v>
      </c>
      <c r="C466" s="8" t="s">
        <v>1074</v>
      </c>
      <c r="D466" s="8" t="s">
        <v>1075</v>
      </c>
      <c r="E466" s="13">
        <v>0</v>
      </c>
      <c r="F466" s="14">
        <v>0</v>
      </c>
    </row>
    <row r="467" spans="1:6" x14ac:dyDescent="0.3">
      <c r="A467" s="8">
        <v>465</v>
      </c>
      <c r="B467" s="8" t="s">
        <v>144</v>
      </c>
      <c r="C467" s="8" t="s">
        <v>1076</v>
      </c>
      <c r="D467" s="8" t="s">
        <v>1077</v>
      </c>
      <c r="E467" s="13">
        <v>0</v>
      </c>
      <c r="F467" s="14">
        <v>0</v>
      </c>
    </row>
    <row r="468" spans="1:6" x14ac:dyDescent="0.3">
      <c r="A468" s="8">
        <v>466</v>
      </c>
      <c r="B468" s="8" t="s">
        <v>144</v>
      </c>
      <c r="C468" s="8" t="s">
        <v>1078</v>
      </c>
      <c r="D468" s="8" t="s">
        <v>1079</v>
      </c>
      <c r="E468" s="13">
        <v>0</v>
      </c>
      <c r="F468" s="14">
        <v>0</v>
      </c>
    </row>
    <row r="469" spans="1:6" x14ac:dyDescent="0.3">
      <c r="A469" s="8">
        <v>467</v>
      </c>
      <c r="B469" s="8" t="s">
        <v>144</v>
      </c>
      <c r="C469" s="8" t="s">
        <v>1080</v>
      </c>
      <c r="D469" s="8" t="s">
        <v>1081</v>
      </c>
      <c r="E469" s="13">
        <v>0</v>
      </c>
      <c r="F469" s="14">
        <v>0</v>
      </c>
    </row>
    <row r="470" spans="1:6" x14ac:dyDescent="0.3">
      <c r="A470" s="8">
        <v>468</v>
      </c>
      <c r="B470" s="8" t="s">
        <v>144</v>
      </c>
      <c r="C470" s="8" t="s">
        <v>1082</v>
      </c>
      <c r="D470" s="8" t="s">
        <v>1083</v>
      </c>
      <c r="E470" s="13">
        <v>0</v>
      </c>
      <c r="F470" s="14">
        <v>0</v>
      </c>
    </row>
    <row r="471" spans="1:6" x14ac:dyDescent="0.3">
      <c r="A471" s="8">
        <v>469</v>
      </c>
      <c r="B471" s="8" t="s">
        <v>144</v>
      </c>
      <c r="C471" s="8" t="s">
        <v>1084</v>
      </c>
      <c r="D471" s="8" t="s">
        <v>1085</v>
      </c>
      <c r="E471" s="13">
        <v>0</v>
      </c>
      <c r="F471" s="14">
        <v>0</v>
      </c>
    </row>
    <row r="472" spans="1:6" x14ac:dyDescent="0.3">
      <c r="A472" s="8">
        <v>470</v>
      </c>
      <c r="B472" s="8" t="s">
        <v>144</v>
      </c>
      <c r="C472" s="8" t="s">
        <v>1086</v>
      </c>
      <c r="D472" s="8" t="s">
        <v>1087</v>
      </c>
      <c r="E472" s="13">
        <v>0</v>
      </c>
      <c r="F472" s="14">
        <v>0</v>
      </c>
    </row>
    <row r="473" spans="1:6" x14ac:dyDescent="0.3">
      <c r="A473" s="8">
        <v>471</v>
      </c>
      <c r="B473" s="8" t="s">
        <v>144</v>
      </c>
      <c r="C473" s="8" t="s">
        <v>1088</v>
      </c>
      <c r="D473" s="8" t="s">
        <v>1089</v>
      </c>
      <c r="E473" s="13">
        <v>0</v>
      </c>
      <c r="F473" s="14">
        <v>0</v>
      </c>
    </row>
    <row r="474" spans="1:6" x14ac:dyDescent="0.3">
      <c r="A474" s="8">
        <v>472</v>
      </c>
      <c r="B474" s="8" t="s">
        <v>144</v>
      </c>
      <c r="C474" s="8" t="s">
        <v>1090</v>
      </c>
      <c r="D474" s="8" t="s">
        <v>1091</v>
      </c>
      <c r="E474" s="13">
        <v>0</v>
      </c>
      <c r="F474" s="14">
        <v>0</v>
      </c>
    </row>
    <row r="475" spans="1:6" x14ac:dyDescent="0.3">
      <c r="A475" s="8">
        <v>473</v>
      </c>
      <c r="B475" s="8" t="s">
        <v>144</v>
      </c>
      <c r="C475" s="8" t="s">
        <v>1092</v>
      </c>
      <c r="D475" s="8" t="s">
        <v>1093</v>
      </c>
      <c r="E475" s="13">
        <v>0</v>
      </c>
      <c r="F475" s="14">
        <v>0</v>
      </c>
    </row>
    <row r="476" spans="1:6" x14ac:dyDescent="0.3">
      <c r="A476" s="8">
        <v>474</v>
      </c>
      <c r="B476" s="8" t="s">
        <v>144</v>
      </c>
      <c r="C476" s="8" t="s">
        <v>1094</v>
      </c>
      <c r="D476" s="8" t="s">
        <v>1095</v>
      </c>
      <c r="E476" s="13">
        <v>0</v>
      </c>
      <c r="F476" s="14">
        <v>0</v>
      </c>
    </row>
    <row r="477" spans="1:6" x14ac:dyDescent="0.3">
      <c r="A477" s="8">
        <v>475</v>
      </c>
      <c r="B477" s="8" t="s">
        <v>144</v>
      </c>
      <c r="C477" s="8" t="s">
        <v>1096</v>
      </c>
      <c r="D477" s="8" t="s">
        <v>1097</v>
      </c>
      <c r="E477" s="13">
        <v>86400</v>
      </c>
      <c r="F477" s="14">
        <v>149000</v>
      </c>
    </row>
    <row r="478" spans="1:6" x14ac:dyDescent="0.3">
      <c r="A478" s="8">
        <v>476</v>
      </c>
      <c r="B478" s="8" t="s">
        <v>144</v>
      </c>
      <c r="C478" s="8" t="s">
        <v>1098</v>
      </c>
      <c r="D478" s="8" t="s">
        <v>1099</v>
      </c>
      <c r="E478" s="13">
        <v>210000</v>
      </c>
      <c r="F478" s="14">
        <v>420370</v>
      </c>
    </row>
    <row r="479" spans="1:6" x14ac:dyDescent="0.3">
      <c r="A479" s="8">
        <v>477</v>
      </c>
      <c r="B479" s="8" t="s">
        <v>144</v>
      </c>
      <c r="C479" s="8" t="s">
        <v>1100</v>
      </c>
      <c r="D479" s="8" t="s">
        <v>1101</v>
      </c>
      <c r="E479" s="13">
        <v>0</v>
      </c>
      <c r="F479" s="14">
        <v>610000</v>
      </c>
    </row>
    <row r="480" spans="1:6" x14ac:dyDescent="0.3">
      <c r="A480" s="8">
        <v>478</v>
      </c>
      <c r="B480" s="8" t="s">
        <v>144</v>
      </c>
      <c r="C480" s="8" t="s">
        <v>1102</v>
      </c>
      <c r="D480" s="8" t="s">
        <v>1103</v>
      </c>
      <c r="E480" s="13">
        <v>52700</v>
      </c>
      <c r="F480" s="14">
        <v>97963</v>
      </c>
    </row>
    <row r="481" spans="1:6" x14ac:dyDescent="0.3">
      <c r="A481" s="8">
        <v>479</v>
      </c>
      <c r="B481" s="8" t="s">
        <v>144</v>
      </c>
      <c r="C481" s="8" t="s">
        <v>1104</v>
      </c>
      <c r="D481" s="8" t="s">
        <v>1105</v>
      </c>
      <c r="E481" s="13">
        <v>0</v>
      </c>
      <c r="F481" s="14">
        <v>0</v>
      </c>
    </row>
    <row r="482" spans="1:6" x14ac:dyDescent="0.3">
      <c r="A482" s="8">
        <v>480</v>
      </c>
      <c r="B482" s="8" t="s">
        <v>144</v>
      </c>
      <c r="C482" s="8" t="s">
        <v>1106</v>
      </c>
      <c r="D482" s="8" t="s">
        <v>1107</v>
      </c>
      <c r="E482" s="13">
        <v>304000</v>
      </c>
      <c r="F482" s="14">
        <v>574000</v>
      </c>
    </row>
    <row r="483" spans="1:6" x14ac:dyDescent="0.3">
      <c r="A483" s="8">
        <v>481</v>
      </c>
      <c r="B483" s="8" t="s">
        <v>144</v>
      </c>
      <c r="C483" s="8" t="s">
        <v>1108</v>
      </c>
      <c r="D483" s="8" t="s">
        <v>1109</v>
      </c>
      <c r="E483" s="13">
        <v>66800</v>
      </c>
      <c r="F483" s="14">
        <v>125926</v>
      </c>
    </row>
    <row r="484" spans="1:6" x14ac:dyDescent="0.3">
      <c r="A484" s="8">
        <v>482</v>
      </c>
      <c r="B484" s="8" t="s">
        <v>144</v>
      </c>
      <c r="C484" s="8" t="s">
        <v>1110</v>
      </c>
      <c r="D484" s="8" t="s">
        <v>1111</v>
      </c>
      <c r="E484" s="13">
        <v>0</v>
      </c>
      <c r="F484" s="14">
        <v>0</v>
      </c>
    </row>
    <row r="485" spans="1:6" x14ac:dyDescent="0.3">
      <c r="A485" s="8">
        <v>483</v>
      </c>
      <c r="B485" s="8" t="s">
        <v>144</v>
      </c>
      <c r="C485" s="8" t="s">
        <v>1112</v>
      </c>
      <c r="D485" s="8" t="s">
        <v>1113</v>
      </c>
      <c r="E485" s="13">
        <v>0</v>
      </c>
      <c r="F485" s="14">
        <v>0</v>
      </c>
    </row>
    <row r="486" spans="1:6" x14ac:dyDescent="0.3">
      <c r="A486" s="8">
        <v>484</v>
      </c>
      <c r="B486" s="8" t="s">
        <v>144</v>
      </c>
      <c r="C486" s="8" t="s">
        <v>1114</v>
      </c>
      <c r="D486" s="8" t="s">
        <v>1115</v>
      </c>
      <c r="E486" s="13">
        <v>0</v>
      </c>
      <c r="F486" s="14">
        <v>0</v>
      </c>
    </row>
    <row r="487" spans="1:6" x14ac:dyDescent="0.3">
      <c r="A487" s="8">
        <v>485</v>
      </c>
      <c r="B487" s="8" t="s">
        <v>144</v>
      </c>
      <c r="C487" s="8" t="s">
        <v>1116</v>
      </c>
      <c r="D487" s="8" t="s">
        <v>1117</v>
      </c>
      <c r="E487" s="13">
        <v>0</v>
      </c>
      <c r="F487" s="14">
        <v>0</v>
      </c>
    </row>
    <row r="488" spans="1:6" x14ac:dyDescent="0.3">
      <c r="A488" s="8">
        <v>486</v>
      </c>
      <c r="B488" s="8" t="s">
        <v>144</v>
      </c>
      <c r="C488" s="8" t="s">
        <v>1118</v>
      </c>
      <c r="D488" s="8" t="s">
        <v>1119</v>
      </c>
      <c r="E488" s="13">
        <v>0</v>
      </c>
      <c r="F488" s="14">
        <v>0</v>
      </c>
    </row>
    <row r="489" spans="1:6" x14ac:dyDescent="0.3">
      <c r="A489" s="8">
        <v>487</v>
      </c>
      <c r="B489" s="8" t="s">
        <v>144</v>
      </c>
      <c r="C489" s="8" t="s">
        <v>1120</v>
      </c>
      <c r="D489" s="8" t="s">
        <v>1121</v>
      </c>
      <c r="E489" s="13">
        <v>0</v>
      </c>
      <c r="F489" s="14">
        <v>0</v>
      </c>
    </row>
    <row r="490" spans="1:6" x14ac:dyDescent="0.3">
      <c r="A490" s="8">
        <v>488</v>
      </c>
      <c r="B490" s="8" t="s">
        <v>144</v>
      </c>
      <c r="C490" s="8" t="s">
        <v>1122</v>
      </c>
      <c r="D490" s="8" t="s">
        <v>1123</v>
      </c>
      <c r="E490" s="13">
        <v>0</v>
      </c>
      <c r="F490" s="14">
        <v>0</v>
      </c>
    </row>
    <row r="491" spans="1:6" x14ac:dyDescent="0.3">
      <c r="A491" s="8">
        <v>489</v>
      </c>
      <c r="B491" s="8" t="s">
        <v>144</v>
      </c>
      <c r="C491" s="8" t="s">
        <v>1124</v>
      </c>
      <c r="D491" s="8" t="s">
        <v>1125</v>
      </c>
      <c r="E491" s="13">
        <v>0</v>
      </c>
      <c r="F491" s="14">
        <v>0</v>
      </c>
    </row>
    <row r="492" spans="1:6" x14ac:dyDescent="0.3">
      <c r="A492" s="8">
        <v>490</v>
      </c>
      <c r="B492" s="8" t="s">
        <v>144</v>
      </c>
      <c r="C492" s="8" t="s">
        <v>1126</v>
      </c>
      <c r="D492" s="8" t="s">
        <v>1127</v>
      </c>
      <c r="E492" s="13">
        <v>0</v>
      </c>
      <c r="F492" s="14">
        <v>0</v>
      </c>
    </row>
    <row r="493" spans="1:6" x14ac:dyDescent="0.3">
      <c r="A493" s="8">
        <v>491</v>
      </c>
      <c r="B493" s="8" t="s">
        <v>144</v>
      </c>
      <c r="C493" s="8" t="s">
        <v>1128</v>
      </c>
      <c r="D493" s="8" t="s">
        <v>1129</v>
      </c>
      <c r="E493" s="13">
        <v>1713400</v>
      </c>
      <c r="F493" s="14">
        <v>3333333</v>
      </c>
    </row>
    <row r="494" spans="1:6" x14ac:dyDescent="0.3">
      <c r="A494" s="8">
        <v>492</v>
      </c>
      <c r="B494" s="8" t="s">
        <v>144</v>
      </c>
      <c r="C494" s="8" t="s">
        <v>1130</v>
      </c>
      <c r="D494" s="8" t="s">
        <v>1131</v>
      </c>
      <c r="E494" s="13">
        <v>0</v>
      </c>
      <c r="F494" s="14">
        <v>0</v>
      </c>
    </row>
    <row r="495" spans="1:6" x14ac:dyDescent="0.3">
      <c r="A495" s="8">
        <v>493</v>
      </c>
      <c r="B495" s="8" t="s">
        <v>144</v>
      </c>
      <c r="C495" s="8" t="s">
        <v>1132</v>
      </c>
      <c r="D495" s="8" t="s">
        <v>1133</v>
      </c>
      <c r="E495" s="13">
        <v>0</v>
      </c>
      <c r="F495" s="14">
        <v>0</v>
      </c>
    </row>
    <row r="496" spans="1:6" x14ac:dyDescent="0.3">
      <c r="A496" s="8">
        <v>494</v>
      </c>
      <c r="B496" s="8" t="s">
        <v>144</v>
      </c>
      <c r="C496" s="8" t="s">
        <v>1134</v>
      </c>
      <c r="D496" s="8" t="s">
        <v>1135</v>
      </c>
      <c r="E496" s="13">
        <v>0</v>
      </c>
      <c r="F496" s="14">
        <v>0</v>
      </c>
    </row>
    <row r="497" spans="1:6" x14ac:dyDescent="0.3">
      <c r="A497" s="8">
        <v>495</v>
      </c>
      <c r="B497" s="8" t="s">
        <v>144</v>
      </c>
      <c r="C497" s="8" t="s">
        <v>1136</v>
      </c>
      <c r="D497" s="8" t="s">
        <v>1137</v>
      </c>
      <c r="E497" s="13">
        <v>0</v>
      </c>
      <c r="F497" s="14">
        <v>0</v>
      </c>
    </row>
    <row r="498" spans="1:6" x14ac:dyDescent="0.3">
      <c r="A498" s="8">
        <v>496</v>
      </c>
      <c r="B498" s="8" t="s">
        <v>144</v>
      </c>
      <c r="C498" s="8" t="s">
        <v>1138</v>
      </c>
      <c r="D498" s="8" t="s">
        <v>1139</v>
      </c>
      <c r="E498" s="13">
        <v>0</v>
      </c>
      <c r="F498" s="14">
        <v>0</v>
      </c>
    </row>
    <row r="499" spans="1:6" x14ac:dyDescent="0.3">
      <c r="A499" s="8">
        <v>497</v>
      </c>
      <c r="B499" s="8" t="s">
        <v>144</v>
      </c>
      <c r="C499" s="8" t="s">
        <v>1140</v>
      </c>
      <c r="D499" s="8" t="s">
        <v>1141</v>
      </c>
      <c r="E499" s="13">
        <v>0</v>
      </c>
      <c r="F499" s="14">
        <v>0</v>
      </c>
    </row>
    <row r="500" spans="1:6" x14ac:dyDescent="0.3">
      <c r="A500" s="8">
        <v>498</v>
      </c>
      <c r="B500" s="8" t="s">
        <v>144</v>
      </c>
      <c r="C500" s="8" t="s">
        <v>1142</v>
      </c>
      <c r="D500" s="8" t="s">
        <v>1143</v>
      </c>
      <c r="E500" s="13">
        <v>0</v>
      </c>
      <c r="F500" s="14">
        <v>0</v>
      </c>
    </row>
    <row r="501" spans="1:6" x14ac:dyDescent="0.3">
      <c r="A501" s="8">
        <v>499</v>
      </c>
      <c r="B501" s="8" t="s">
        <v>144</v>
      </c>
      <c r="C501" s="8" t="s">
        <v>1144</v>
      </c>
      <c r="D501" s="8" t="s">
        <v>1145</v>
      </c>
      <c r="E501" s="13">
        <v>0</v>
      </c>
      <c r="F501" s="14">
        <v>0</v>
      </c>
    </row>
    <row r="502" spans="1:6" x14ac:dyDescent="0.3">
      <c r="A502" s="8">
        <v>500</v>
      </c>
      <c r="B502" s="8" t="s">
        <v>144</v>
      </c>
      <c r="C502" s="8" t="s">
        <v>1146</v>
      </c>
      <c r="D502" s="8" t="s">
        <v>1147</v>
      </c>
      <c r="E502" s="13">
        <v>0</v>
      </c>
      <c r="F502" s="14">
        <v>0</v>
      </c>
    </row>
    <row r="503" spans="1:6" x14ac:dyDescent="0.3">
      <c r="A503" s="8">
        <v>501</v>
      </c>
      <c r="B503" s="8" t="s">
        <v>144</v>
      </c>
      <c r="C503" s="8" t="s">
        <v>1148</v>
      </c>
      <c r="D503" s="8" t="s">
        <v>1149</v>
      </c>
      <c r="E503" s="13">
        <v>0</v>
      </c>
      <c r="F503" s="14">
        <v>0</v>
      </c>
    </row>
    <row r="504" spans="1:6" x14ac:dyDescent="0.3">
      <c r="A504" s="8">
        <v>502</v>
      </c>
      <c r="B504" s="8" t="s">
        <v>144</v>
      </c>
      <c r="C504" s="8" t="s">
        <v>1150</v>
      </c>
      <c r="D504" s="8" t="s">
        <v>1151</v>
      </c>
      <c r="E504" s="13">
        <v>0</v>
      </c>
      <c r="F504" s="14">
        <v>0</v>
      </c>
    </row>
    <row r="505" spans="1:6" x14ac:dyDescent="0.3">
      <c r="A505" s="8">
        <v>503</v>
      </c>
      <c r="B505" s="8" t="s">
        <v>144</v>
      </c>
      <c r="C505" s="8" t="s">
        <v>1152</v>
      </c>
      <c r="D505" s="8" t="s">
        <v>1153</v>
      </c>
      <c r="E505" s="13">
        <v>0</v>
      </c>
      <c r="F505" s="14">
        <v>0</v>
      </c>
    </row>
    <row r="506" spans="1:6" x14ac:dyDescent="0.3">
      <c r="A506" s="8">
        <v>504</v>
      </c>
      <c r="B506" s="8" t="s">
        <v>144</v>
      </c>
      <c r="C506" s="8" t="s">
        <v>1154</v>
      </c>
      <c r="D506" s="8" t="s">
        <v>1155</v>
      </c>
      <c r="E506" s="13">
        <v>0</v>
      </c>
      <c r="F506" s="14">
        <v>0</v>
      </c>
    </row>
    <row r="507" spans="1:6" x14ac:dyDescent="0.3">
      <c r="A507" s="8">
        <v>505</v>
      </c>
      <c r="B507" s="8" t="s">
        <v>144</v>
      </c>
      <c r="C507" s="8" t="s">
        <v>1156</v>
      </c>
      <c r="D507" s="8" t="s">
        <v>1157</v>
      </c>
      <c r="E507" s="13">
        <v>0</v>
      </c>
      <c r="F507" s="14">
        <v>0</v>
      </c>
    </row>
    <row r="508" spans="1:6" x14ac:dyDescent="0.3">
      <c r="A508" s="8">
        <v>506</v>
      </c>
      <c r="B508" s="8" t="s">
        <v>144</v>
      </c>
      <c r="C508" s="8" t="s">
        <v>1158</v>
      </c>
      <c r="D508" s="8" t="s">
        <v>1159</v>
      </c>
      <c r="E508" s="13">
        <v>0</v>
      </c>
      <c r="F508" s="14">
        <v>0</v>
      </c>
    </row>
    <row r="509" spans="1:6" x14ac:dyDescent="0.3">
      <c r="A509" s="8">
        <v>507</v>
      </c>
      <c r="B509" s="8" t="s">
        <v>144</v>
      </c>
      <c r="C509" s="8" t="s">
        <v>1160</v>
      </c>
      <c r="D509" s="8" t="s">
        <v>1161</v>
      </c>
      <c r="E509" s="13">
        <v>320000</v>
      </c>
      <c r="F509" s="14">
        <v>638889</v>
      </c>
    </row>
    <row r="510" spans="1:6" x14ac:dyDescent="0.3">
      <c r="A510" s="8">
        <v>508</v>
      </c>
      <c r="B510" s="8" t="s">
        <v>144</v>
      </c>
      <c r="C510" s="8" t="s">
        <v>1162</v>
      </c>
      <c r="D510" s="8" t="s">
        <v>1163</v>
      </c>
      <c r="E510" s="13">
        <v>0</v>
      </c>
      <c r="F510" s="14">
        <v>0</v>
      </c>
    </row>
    <row r="511" spans="1:6" x14ac:dyDescent="0.3">
      <c r="A511" s="8">
        <v>509</v>
      </c>
      <c r="B511" s="8" t="s">
        <v>144</v>
      </c>
      <c r="C511" s="8" t="s">
        <v>1164</v>
      </c>
      <c r="D511" s="8" t="s">
        <v>1165</v>
      </c>
      <c r="E511" s="13">
        <v>0</v>
      </c>
      <c r="F511" s="14">
        <v>0</v>
      </c>
    </row>
    <row r="512" spans="1:6" x14ac:dyDescent="0.3">
      <c r="A512" s="8">
        <v>510</v>
      </c>
      <c r="B512" s="8" t="s">
        <v>144</v>
      </c>
      <c r="C512" s="8" t="s">
        <v>1166</v>
      </c>
      <c r="D512" s="8" t="s">
        <v>1167</v>
      </c>
      <c r="E512" s="13">
        <v>0</v>
      </c>
      <c r="F512" s="14">
        <v>0</v>
      </c>
    </row>
    <row r="513" spans="1:6" x14ac:dyDescent="0.3">
      <c r="A513" s="8">
        <v>511</v>
      </c>
      <c r="B513" s="8" t="s">
        <v>144</v>
      </c>
      <c r="C513" s="8" t="s">
        <v>1168</v>
      </c>
      <c r="D513" s="8" t="s">
        <v>1169</v>
      </c>
      <c r="E513" s="13">
        <v>0</v>
      </c>
      <c r="F513" s="14">
        <v>0</v>
      </c>
    </row>
    <row r="514" spans="1:6" x14ac:dyDescent="0.3">
      <c r="A514" s="8">
        <v>512</v>
      </c>
      <c r="B514" s="8" t="s">
        <v>144</v>
      </c>
      <c r="C514" s="8" t="s">
        <v>1170</v>
      </c>
      <c r="D514" s="8" t="s">
        <v>1171</v>
      </c>
      <c r="E514" s="13">
        <v>0</v>
      </c>
      <c r="F514" s="14">
        <v>0</v>
      </c>
    </row>
    <row r="515" spans="1:6" x14ac:dyDescent="0.3">
      <c r="A515" s="8">
        <v>513</v>
      </c>
      <c r="B515" s="8" t="s">
        <v>144</v>
      </c>
      <c r="C515" s="8" t="s">
        <v>1172</v>
      </c>
      <c r="D515" s="8" t="s">
        <v>1173</v>
      </c>
      <c r="E515" s="13">
        <v>0</v>
      </c>
      <c r="F515" s="14">
        <v>0</v>
      </c>
    </row>
    <row r="516" spans="1:6" x14ac:dyDescent="0.3">
      <c r="A516" s="8">
        <v>514</v>
      </c>
      <c r="B516" s="8" t="s">
        <v>144</v>
      </c>
      <c r="C516" s="8" t="s">
        <v>1174</v>
      </c>
      <c r="D516" s="8" t="s">
        <v>1175</v>
      </c>
      <c r="E516" s="13">
        <v>0</v>
      </c>
      <c r="F516" s="14">
        <v>0</v>
      </c>
    </row>
    <row r="517" spans="1:6" x14ac:dyDescent="0.3">
      <c r="A517" s="8">
        <v>515</v>
      </c>
      <c r="B517" s="8" t="s">
        <v>144</v>
      </c>
      <c r="C517" s="8" t="s">
        <v>1176</v>
      </c>
      <c r="D517" s="8" t="s">
        <v>1177</v>
      </c>
      <c r="E517" s="13">
        <v>0</v>
      </c>
      <c r="F517" s="14">
        <v>0</v>
      </c>
    </row>
    <row r="518" spans="1:6" x14ac:dyDescent="0.3">
      <c r="A518" s="8">
        <v>516</v>
      </c>
      <c r="B518" s="8" t="s">
        <v>1178</v>
      </c>
      <c r="C518" s="8" t="s">
        <v>1179</v>
      </c>
      <c r="D518" s="8" t="s">
        <v>1180</v>
      </c>
      <c r="E518" s="13">
        <v>0</v>
      </c>
      <c r="F518" s="14">
        <v>0</v>
      </c>
    </row>
    <row r="519" spans="1:6" x14ac:dyDescent="0.3">
      <c r="A519" s="8">
        <v>517</v>
      </c>
      <c r="B519" s="8" t="s">
        <v>282</v>
      </c>
      <c r="C519" s="8" t="s">
        <v>1181</v>
      </c>
      <c r="D519" s="8" t="s">
        <v>1182</v>
      </c>
      <c r="E519" s="13">
        <v>0</v>
      </c>
      <c r="F519" s="14">
        <v>45000</v>
      </c>
    </row>
    <row r="520" spans="1:6" x14ac:dyDescent="0.3">
      <c r="A520" s="8">
        <v>518</v>
      </c>
      <c r="B520" s="8" t="s">
        <v>282</v>
      </c>
      <c r="C520" s="8" t="s">
        <v>1183</v>
      </c>
      <c r="D520" s="8" t="s">
        <v>1184</v>
      </c>
      <c r="E520" s="13">
        <v>0</v>
      </c>
      <c r="F520" s="14">
        <v>0</v>
      </c>
    </row>
    <row r="521" spans="1:6" x14ac:dyDescent="0.3">
      <c r="A521" s="8">
        <v>519</v>
      </c>
      <c r="B521" s="8" t="s">
        <v>282</v>
      </c>
      <c r="C521" s="8" t="s">
        <v>1185</v>
      </c>
      <c r="D521" s="8" t="s">
        <v>1186</v>
      </c>
      <c r="E521" s="13">
        <v>0</v>
      </c>
      <c r="F521" s="14">
        <v>0</v>
      </c>
    </row>
    <row r="522" spans="1:6" x14ac:dyDescent="0.3">
      <c r="A522" s="8">
        <v>520</v>
      </c>
      <c r="B522" s="8" t="s">
        <v>282</v>
      </c>
      <c r="C522" s="8" t="s">
        <v>1187</v>
      </c>
      <c r="D522" s="8" t="s">
        <v>1188</v>
      </c>
      <c r="E522" s="13">
        <v>37210</v>
      </c>
      <c r="F522" s="14">
        <v>60000</v>
      </c>
    </row>
    <row r="523" spans="1:6" x14ac:dyDescent="0.3">
      <c r="A523" s="8">
        <v>521</v>
      </c>
      <c r="B523" s="8" t="s">
        <v>282</v>
      </c>
      <c r="C523" s="8" t="s">
        <v>1189</v>
      </c>
      <c r="D523" s="8" t="s">
        <v>1190</v>
      </c>
      <c r="E523" s="13">
        <v>106500</v>
      </c>
      <c r="F523" s="14">
        <v>212963</v>
      </c>
    </row>
    <row r="524" spans="1:6" x14ac:dyDescent="0.3">
      <c r="A524" s="8">
        <v>522</v>
      </c>
      <c r="B524" s="8" t="s">
        <v>282</v>
      </c>
      <c r="C524" s="8" t="s">
        <v>1191</v>
      </c>
      <c r="D524" s="8" t="s">
        <v>1192</v>
      </c>
      <c r="E524" s="13">
        <v>0</v>
      </c>
      <c r="F524" s="14">
        <v>0</v>
      </c>
    </row>
    <row r="525" spans="1:6" x14ac:dyDescent="0.3">
      <c r="A525" s="8">
        <v>523</v>
      </c>
      <c r="B525" s="8" t="s">
        <v>287</v>
      </c>
      <c r="C525" s="8" t="s">
        <v>1193</v>
      </c>
      <c r="D525" s="8" t="s">
        <v>1194</v>
      </c>
      <c r="E525" s="13">
        <v>0</v>
      </c>
      <c r="F525" s="14">
        <v>0</v>
      </c>
    </row>
    <row r="526" spans="1:6" x14ac:dyDescent="0.3">
      <c r="A526" s="8">
        <v>524</v>
      </c>
      <c r="B526" s="8" t="s">
        <v>287</v>
      </c>
      <c r="C526" s="8" t="s">
        <v>1195</v>
      </c>
      <c r="D526" s="8" t="s">
        <v>1196</v>
      </c>
      <c r="E526" s="13">
        <v>150500</v>
      </c>
      <c r="F526" s="14">
        <v>270370</v>
      </c>
    </row>
    <row r="527" spans="1:6" x14ac:dyDescent="0.3">
      <c r="A527" s="8">
        <v>525</v>
      </c>
      <c r="B527" s="8" t="s">
        <v>144</v>
      </c>
      <c r="C527" s="8" t="s">
        <v>1197</v>
      </c>
      <c r="D527" s="8" t="s">
        <v>1198</v>
      </c>
      <c r="E527" s="13">
        <v>0</v>
      </c>
      <c r="F527" s="14">
        <v>0</v>
      </c>
    </row>
    <row r="528" spans="1:6" x14ac:dyDescent="0.3">
      <c r="A528" s="8">
        <v>526</v>
      </c>
      <c r="B528" s="8" t="s">
        <v>144</v>
      </c>
      <c r="C528" s="8" t="s">
        <v>1199</v>
      </c>
      <c r="D528" s="8" t="s">
        <v>1200</v>
      </c>
      <c r="E528" s="13">
        <v>0</v>
      </c>
      <c r="F528" s="14">
        <v>0</v>
      </c>
    </row>
    <row r="529" spans="1:6" x14ac:dyDescent="0.3">
      <c r="A529" s="8">
        <v>527</v>
      </c>
      <c r="B529" s="8" t="s">
        <v>144</v>
      </c>
      <c r="C529" s="8" t="s">
        <v>1201</v>
      </c>
      <c r="D529" s="8" t="s">
        <v>1202</v>
      </c>
      <c r="E529" s="13">
        <v>0</v>
      </c>
      <c r="F529" s="14">
        <v>0</v>
      </c>
    </row>
    <row r="530" spans="1:6" x14ac:dyDescent="0.3">
      <c r="A530" s="8">
        <v>528</v>
      </c>
      <c r="B530" s="8" t="s">
        <v>144</v>
      </c>
      <c r="C530" s="8" t="s">
        <v>1203</v>
      </c>
      <c r="D530" s="8" t="s">
        <v>1204</v>
      </c>
      <c r="E530" s="13">
        <v>0</v>
      </c>
      <c r="F530" s="14">
        <v>0</v>
      </c>
    </row>
    <row r="531" spans="1:6" x14ac:dyDescent="0.3">
      <c r="A531" s="8">
        <v>529</v>
      </c>
      <c r="B531" s="8" t="s">
        <v>144</v>
      </c>
      <c r="C531" s="8" t="s">
        <v>1205</v>
      </c>
      <c r="D531" s="8" t="s">
        <v>1206</v>
      </c>
      <c r="E531" s="13">
        <v>0</v>
      </c>
      <c r="F531" s="14">
        <v>0</v>
      </c>
    </row>
    <row r="532" spans="1:6" x14ac:dyDescent="0.3">
      <c r="A532" s="8">
        <v>530</v>
      </c>
      <c r="B532" s="8" t="s">
        <v>144</v>
      </c>
      <c r="C532" s="8" t="s">
        <v>1207</v>
      </c>
      <c r="D532" s="8" t="s">
        <v>1208</v>
      </c>
      <c r="E532" s="13">
        <v>158000</v>
      </c>
      <c r="F532" s="14">
        <v>315741</v>
      </c>
    </row>
    <row r="533" spans="1:6" x14ac:dyDescent="0.3">
      <c r="A533" s="8">
        <v>531</v>
      </c>
      <c r="B533" s="8" t="s">
        <v>144</v>
      </c>
      <c r="C533" s="8" t="s">
        <v>1209</v>
      </c>
      <c r="D533" s="8" t="s">
        <v>1210</v>
      </c>
      <c r="E533" s="13">
        <v>0</v>
      </c>
      <c r="F533" s="14">
        <v>0</v>
      </c>
    </row>
    <row r="534" spans="1:6" x14ac:dyDescent="0.3">
      <c r="A534" s="8">
        <v>532</v>
      </c>
      <c r="B534" s="8" t="s">
        <v>144</v>
      </c>
      <c r="C534" s="8" t="s">
        <v>1211</v>
      </c>
      <c r="D534" s="8" t="s">
        <v>1212</v>
      </c>
      <c r="E534" s="13">
        <v>0</v>
      </c>
      <c r="F534" s="14">
        <v>0</v>
      </c>
    </row>
    <row r="535" spans="1:6" x14ac:dyDescent="0.3">
      <c r="A535" s="8">
        <v>533</v>
      </c>
      <c r="B535" s="8" t="s">
        <v>144</v>
      </c>
      <c r="C535" s="8" t="s">
        <v>1213</v>
      </c>
      <c r="D535" s="8" t="s">
        <v>1214</v>
      </c>
      <c r="E535" s="13">
        <v>0</v>
      </c>
      <c r="F535" s="14">
        <v>0</v>
      </c>
    </row>
    <row r="536" spans="1:6" x14ac:dyDescent="0.3">
      <c r="A536" s="8">
        <v>534</v>
      </c>
      <c r="B536" s="8" t="s">
        <v>144</v>
      </c>
      <c r="C536" s="8" t="s">
        <v>1215</v>
      </c>
      <c r="D536" s="8" t="s">
        <v>1216</v>
      </c>
      <c r="E536" s="13">
        <v>0</v>
      </c>
      <c r="F536" s="14">
        <v>0</v>
      </c>
    </row>
    <row r="537" spans="1:6" x14ac:dyDescent="0.3">
      <c r="A537" s="8">
        <v>535</v>
      </c>
      <c r="B537" s="8" t="s">
        <v>144</v>
      </c>
      <c r="C537" s="8" t="s">
        <v>1217</v>
      </c>
      <c r="D537" s="8" t="s">
        <v>1218</v>
      </c>
      <c r="E537" s="13">
        <v>0</v>
      </c>
      <c r="F537" s="14">
        <v>0</v>
      </c>
    </row>
    <row r="538" spans="1:6" x14ac:dyDescent="0.3">
      <c r="A538" s="8">
        <v>536</v>
      </c>
      <c r="B538" s="8" t="s">
        <v>144</v>
      </c>
      <c r="C538" s="8" t="s">
        <v>1219</v>
      </c>
      <c r="D538" s="8" t="s">
        <v>1220</v>
      </c>
      <c r="E538" s="13">
        <v>0</v>
      </c>
      <c r="F538" s="14">
        <v>0</v>
      </c>
    </row>
    <row r="539" spans="1:6" x14ac:dyDescent="0.3">
      <c r="A539" s="8">
        <v>537</v>
      </c>
      <c r="B539" s="8" t="s">
        <v>144</v>
      </c>
      <c r="C539" s="8" t="s">
        <v>1221</v>
      </c>
      <c r="D539" s="8" t="s">
        <v>1222</v>
      </c>
      <c r="E539" s="13">
        <v>0</v>
      </c>
      <c r="F539" s="14">
        <v>0</v>
      </c>
    </row>
    <row r="540" spans="1:6" x14ac:dyDescent="0.3">
      <c r="A540" s="8">
        <v>538</v>
      </c>
      <c r="B540" s="8" t="s">
        <v>275</v>
      </c>
      <c r="C540" s="8" t="s">
        <v>1223</v>
      </c>
      <c r="D540" s="8" t="s">
        <v>1224</v>
      </c>
      <c r="E540" s="13">
        <v>0</v>
      </c>
      <c r="F540" s="14">
        <v>0</v>
      </c>
    </row>
    <row r="541" spans="1:6" x14ac:dyDescent="0.3">
      <c r="A541" s="8">
        <v>539</v>
      </c>
      <c r="B541" s="8" t="s">
        <v>275</v>
      </c>
      <c r="C541" s="8" t="s">
        <v>1225</v>
      </c>
      <c r="D541" s="8" t="s">
        <v>1226</v>
      </c>
      <c r="E541" s="13">
        <v>0</v>
      </c>
      <c r="F541" s="14">
        <v>0</v>
      </c>
    </row>
    <row r="542" spans="1:6" x14ac:dyDescent="0.3">
      <c r="A542" s="8">
        <v>540</v>
      </c>
      <c r="B542" s="8" t="s">
        <v>275</v>
      </c>
      <c r="C542" s="8" t="s">
        <v>1227</v>
      </c>
      <c r="D542" s="8" t="s">
        <v>1228</v>
      </c>
      <c r="E542" s="13">
        <v>0</v>
      </c>
      <c r="F542" s="14">
        <v>0</v>
      </c>
    </row>
    <row r="543" spans="1:6" x14ac:dyDescent="0.3">
      <c r="A543" s="8">
        <v>541</v>
      </c>
      <c r="B543" s="8" t="s">
        <v>275</v>
      </c>
      <c r="C543" s="8" t="s">
        <v>1229</v>
      </c>
      <c r="D543" s="8" t="s">
        <v>1230</v>
      </c>
      <c r="E543" s="13">
        <v>125000</v>
      </c>
      <c r="F543" s="14">
        <v>250000</v>
      </c>
    </row>
    <row r="544" spans="1:6" x14ac:dyDescent="0.3">
      <c r="A544" s="8">
        <v>542</v>
      </c>
      <c r="B544" s="8" t="s">
        <v>1178</v>
      </c>
      <c r="C544" s="8" t="s">
        <v>1231</v>
      </c>
      <c r="D544" s="8" t="s">
        <v>1232</v>
      </c>
      <c r="E544" s="13">
        <v>5080</v>
      </c>
      <c r="F544" s="14">
        <v>11000</v>
      </c>
    </row>
    <row r="545" spans="1:6" x14ac:dyDescent="0.3">
      <c r="A545" s="8">
        <v>543</v>
      </c>
      <c r="B545" s="8" t="s">
        <v>1178</v>
      </c>
      <c r="C545" s="8" t="s">
        <v>1233</v>
      </c>
      <c r="D545" s="8" t="s">
        <v>1234</v>
      </c>
      <c r="E545" s="13">
        <v>0</v>
      </c>
      <c r="F545" s="14">
        <v>0</v>
      </c>
    </row>
    <row r="546" spans="1:6" x14ac:dyDescent="0.3">
      <c r="A546" s="8">
        <v>544</v>
      </c>
      <c r="B546" s="8" t="s">
        <v>1178</v>
      </c>
      <c r="C546" s="8" t="s">
        <v>1235</v>
      </c>
      <c r="D546" s="8" t="s">
        <v>1236</v>
      </c>
      <c r="E546" s="13">
        <v>0</v>
      </c>
      <c r="F546" s="14">
        <v>0</v>
      </c>
    </row>
    <row r="547" spans="1:6" x14ac:dyDescent="0.3">
      <c r="A547" s="8">
        <v>545</v>
      </c>
      <c r="B547" s="8" t="s">
        <v>1178</v>
      </c>
      <c r="C547" s="8" t="s">
        <v>1237</v>
      </c>
      <c r="D547" s="8" t="s">
        <v>1238</v>
      </c>
      <c r="E547" s="13">
        <v>0</v>
      </c>
      <c r="F547" s="14">
        <v>0</v>
      </c>
    </row>
    <row r="548" spans="1:6" x14ac:dyDescent="0.3">
      <c r="A548" s="8">
        <v>546</v>
      </c>
      <c r="B548" s="8" t="s">
        <v>282</v>
      </c>
      <c r="C548" s="8" t="s">
        <v>1239</v>
      </c>
      <c r="D548" s="8" t="s">
        <v>1240</v>
      </c>
      <c r="E548" s="13">
        <v>0</v>
      </c>
      <c r="F548" s="14">
        <v>0</v>
      </c>
    </row>
    <row r="549" spans="1:6" x14ac:dyDescent="0.3">
      <c r="A549" s="8">
        <v>547</v>
      </c>
      <c r="B549" s="8" t="s">
        <v>282</v>
      </c>
      <c r="C549" s="8" t="s">
        <v>1241</v>
      </c>
      <c r="D549" s="8" t="s">
        <v>1242</v>
      </c>
      <c r="E549" s="13">
        <v>0</v>
      </c>
      <c r="F549" s="14">
        <v>0</v>
      </c>
    </row>
    <row r="550" spans="1:6" x14ac:dyDescent="0.3">
      <c r="A550" s="8">
        <v>548</v>
      </c>
      <c r="B550" s="8" t="s">
        <v>282</v>
      </c>
      <c r="C550" s="8" t="s">
        <v>1243</v>
      </c>
      <c r="D550" s="8" t="s">
        <v>1244</v>
      </c>
      <c r="E550" s="13">
        <v>0</v>
      </c>
      <c r="F550" s="14">
        <v>0</v>
      </c>
    </row>
    <row r="551" spans="1:6" x14ac:dyDescent="0.3">
      <c r="A551" s="8">
        <v>549</v>
      </c>
      <c r="B551" s="8" t="s">
        <v>282</v>
      </c>
      <c r="C551" s="8" t="s">
        <v>1245</v>
      </c>
      <c r="D551" s="8" t="s">
        <v>1246</v>
      </c>
      <c r="E551" s="13">
        <v>0</v>
      </c>
      <c r="F551" s="14">
        <v>0</v>
      </c>
    </row>
    <row r="552" spans="1:6" x14ac:dyDescent="0.3">
      <c r="A552" s="8">
        <v>550</v>
      </c>
      <c r="B552" s="8" t="s">
        <v>287</v>
      </c>
      <c r="C552" s="8" t="s">
        <v>1247</v>
      </c>
      <c r="D552" s="8" t="s">
        <v>1248</v>
      </c>
      <c r="E552" s="13">
        <v>105000</v>
      </c>
      <c r="F552" s="14">
        <v>191000</v>
      </c>
    </row>
    <row r="553" spans="1:6" x14ac:dyDescent="0.3">
      <c r="A553" s="8">
        <v>551</v>
      </c>
      <c r="B553" s="8" t="s">
        <v>287</v>
      </c>
      <c r="C553" s="8" t="s">
        <v>1249</v>
      </c>
      <c r="D553" s="8" t="s">
        <v>1250</v>
      </c>
      <c r="E553" s="13">
        <v>105000</v>
      </c>
      <c r="F553" s="14">
        <v>191000</v>
      </c>
    </row>
    <row r="554" spans="1:6" x14ac:dyDescent="0.3">
      <c r="A554" s="8">
        <v>552</v>
      </c>
      <c r="B554" s="8" t="s">
        <v>287</v>
      </c>
      <c r="C554" s="8" t="s">
        <v>1251</v>
      </c>
      <c r="D554" s="8" t="s">
        <v>1252</v>
      </c>
      <c r="E554" s="13">
        <v>104000</v>
      </c>
      <c r="F554" s="14">
        <v>208333</v>
      </c>
    </row>
    <row r="555" spans="1:6" x14ac:dyDescent="0.3">
      <c r="A555" s="8">
        <v>553</v>
      </c>
      <c r="B555" s="8" t="s">
        <v>287</v>
      </c>
      <c r="C555" s="8" t="s">
        <v>1253</v>
      </c>
      <c r="D555" s="8" t="s">
        <v>1254</v>
      </c>
      <c r="E555" s="13">
        <v>96900</v>
      </c>
      <c r="F555" s="14">
        <v>193519</v>
      </c>
    </row>
    <row r="556" spans="1:6" x14ac:dyDescent="0.3">
      <c r="A556" s="8">
        <v>554</v>
      </c>
      <c r="B556" s="8" t="s">
        <v>287</v>
      </c>
      <c r="C556" s="8" t="s">
        <v>1255</v>
      </c>
      <c r="D556" s="8" t="s">
        <v>1256</v>
      </c>
      <c r="E556" s="13">
        <v>0</v>
      </c>
      <c r="F556" s="14">
        <v>0</v>
      </c>
    </row>
    <row r="557" spans="1:6" x14ac:dyDescent="0.3">
      <c r="A557" s="8">
        <v>555</v>
      </c>
      <c r="B557" s="8" t="s">
        <v>287</v>
      </c>
      <c r="C557" s="8" t="s">
        <v>1257</v>
      </c>
      <c r="D557" s="8" t="s">
        <v>1258</v>
      </c>
      <c r="E557" s="13">
        <v>0</v>
      </c>
      <c r="F557" s="14">
        <v>0</v>
      </c>
    </row>
    <row r="558" spans="1:6" x14ac:dyDescent="0.3">
      <c r="A558" s="8">
        <v>556</v>
      </c>
      <c r="B558" s="8" t="s">
        <v>1259</v>
      </c>
      <c r="C558" s="8" t="s">
        <v>1260</v>
      </c>
      <c r="D558" s="8" t="s">
        <v>1261</v>
      </c>
      <c r="E558" s="13">
        <v>17860</v>
      </c>
      <c r="F558" s="14">
        <v>27000</v>
      </c>
    </row>
    <row r="559" spans="1:6" x14ac:dyDescent="0.3">
      <c r="A559" s="8">
        <v>557</v>
      </c>
      <c r="B559" s="8" t="s">
        <v>1259</v>
      </c>
      <c r="C559" s="8" t="s">
        <v>1262</v>
      </c>
      <c r="D559" s="8" t="s">
        <v>1263</v>
      </c>
      <c r="E559" s="13">
        <v>0</v>
      </c>
      <c r="F559" s="14">
        <v>0</v>
      </c>
    </row>
    <row r="560" spans="1:6" x14ac:dyDescent="0.3">
      <c r="A560" s="8">
        <v>558</v>
      </c>
      <c r="B560" s="8" t="s">
        <v>1259</v>
      </c>
      <c r="C560" s="8" t="s">
        <v>1264</v>
      </c>
      <c r="D560" s="8" t="s">
        <v>1265</v>
      </c>
      <c r="E560" s="13">
        <v>0</v>
      </c>
      <c r="F560" s="14">
        <v>0</v>
      </c>
    </row>
    <row r="561" spans="1:6" x14ac:dyDescent="0.3">
      <c r="A561" s="8">
        <v>559</v>
      </c>
      <c r="B561" s="8" t="s">
        <v>1259</v>
      </c>
      <c r="C561" s="8" t="s">
        <v>1266</v>
      </c>
      <c r="D561" s="8" t="s">
        <v>1267</v>
      </c>
      <c r="E561" s="13">
        <v>0</v>
      </c>
      <c r="F561" s="14">
        <v>0</v>
      </c>
    </row>
    <row r="562" spans="1:6" x14ac:dyDescent="0.3">
      <c r="A562" s="8">
        <v>560</v>
      </c>
      <c r="B562" s="8" t="s">
        <v>1259</v>
      </c>
      <c r="C562" s="8" t="s">
        <v>1268</v>
      </c>
      <c r="D562" s="8" t="s">
        <v>1269</v>
      </c>
      <c r="E562" s="13">
        <v>160200</v>
      </c>
      <c r="F562" s="14">
        <v>231000</v>
      </c>
    </row>
    <row r="563" spans="1:6" x14ac:dyDescent="0.3">
      <c r="A563" s="8">
        <v>561</v>
      </c>
      <c r="B563" s="8" t="s">
        <v>1259</v>
      </c>
      <c r="C563" s="8" t="s">
        <v>1270</v>
      </c>
      <c r="D563" s="8" t="s">
        <v>1271</v>
      </c>
      <c r="E563" s="13">
        <v>0</v>
      </c>
      <c r="F563" s="14">
        <v>0</v>
      </c>
    </row>
    <row r="564" spans="1:6" x14ac:dyDescent="0.3">
      <c r="A564" s="8">
        <v>562</v>
      </c>
      <c r="B564" s="8" t="s">
        <v>1259</v>
      </c>
      <c r="C564" s="8" t="s">
        <v>1272</v>
      </c>
      <c r="D564" s="8" t="s">
        <v>1273</v>
      </c>
      <c r="E564" s="13">
        <v>0</v>
      </c>
      <c r="F564" s="14">
        <v>0</v>
      </c>
    </row>
    <row r="565" spans="1:6" x14ac:dyDescent="0.3">
      <c r="A565" s="8">
        <v>563</v>
      </c>
      <c r="B565" s="8" t="s">
        <v>1259</v>
      </c>
      <c r="C565" s="8" t="s">
        <v>1274</v>
      </c>
      <c r="D565" s="8" t="s">
        <v>1275</v>
      </c>
      <c r="E565" s="13">
        <v>0</v>
      </c>
      <c r="F565" s="14">
        <v>0</v>
      </c>
    </row>
    <row r="566" spans="1:6" x14ac:dyDescent="0.3">
      <c r="A566" s="8">
        <v>564</v>
      </c>
      <c r="B566" s="8" t="s">
        <v>1259</v>
      </c>
      <c r="C566" s="8" t="s">
        <v>1276</v>
      </c>
      <c r="D566" s="8" t="s">
        <v>1277</v>
      </c>
      <c r="E566" s="13">
        <v>0</v>
      </c>
      <c r="F566" s="14">
        <v>0</v>
      </c>
    </row>
    <row r="567" spans="1:6" x14ac:dyDescent="0.3">
      <c r="A567" s="8">
        <v>565</v>
      </c>
      <c r="B567" s="8" t="s">
        <v>1259</v>
      </c>
      <c r="C567" s="8" t="s">
        <v>1278</v>
      </c>
      <c r="D567" s="8" t="s">
        <v>1279</v>
      </c>
      <c r="E567" s="13">
        <v>0</v>
      </c>
      <c r="F567" s="14">
        <v>0</v>
      </c>
    </row>
    <row r="568" spans="1:6" x14ac:dyDescent="0.3">
      <c r="A568" s="8">
        <v>566</v>
      </c>
      <c r="B568" s="8" t="s">
        <v>1280</v>
      </c>
      <c r="C568" s="8" t="s">
        <v>1281</v>
      </c>
      <c r="D568" s="8" t="s">
        <v>1282</v>
      </c>
      <c r="E568" s="13">
        <v>10700</v>
      </c>
      <c r="F568" s="14">
        <v>17000</v>
      </c>
    </row>
    <row r="569" spans="1:6" x14ac:dyDescent="0.3">
      <c r="A569" s="8">
        <v>567</v>
      </c>
      <c r="B569" s="8" t="s">
        <v>1280</v>
      </c>
      <c r="C569" s="8" t="s">
        <v>1283</v>
      </c>
      <c r="D569" s="8" t="s">
        <v>1284</v>
      </c>
      <c r="E569" s="13">
        <v>0</v>
      </c>
      <c r="F569" s="14">
        <v>0</v>
      </c>
    </row>
    <row r="570" spans="1:6" x14ac:dyDescent="0.3">
      <c r="A570" s="8">
        <v>568</v>
      </c>
      <c r="B570" s="8" t="s">
        <v>1280</v>
      </c>
      <c r="C570" s="8" t="s">
        <v>1285</v>
      </c>
      <c r="D570" s="8" t="s">
        <v>1286</v>
      </c>
      <c r="E570" s="13">
        <v>0</v>
      </c>
      <c r="F570" s="14">
        <v>0</v>
      </c>
    </row>
    <row r="571" spans="1:6" x14ac:dyDescent="0.3">
      <c r="A571" s="8">
        <v>569</v>
      </c>
      <c r="B571" s="8" t="s">
        <v>1280</v>
      </c>
      <c r="C571" s="8" t="s">
        <v>1287</v>
      </c>
      <c r="D571" s="8" t="s">
        <v>1288</v>
      </c>
      <c r="E571" s="13">
        <v>64300</v>
      </c>
      <c r="F571" s="14">
        <v>129000</v>
      </c>
    </row>
    <row r="572" spans="1:6" x14ac:dyDescent="0.3">
      <c r="A572" s="8">
        <v>570</v>
      </c>
      <c r="B572" s="8" t="s">
        <v>1280</v>
      </c>
      <c r="C572" s="8" t="s">
        <v>1289</v>
      </c>
      <c r="D572" s="8" t="s">
        <v>1290</v>
      </c>
      <c r="E572" s="13">
        <v>78500</v>
      </c>
      <c r="F572" s="14">
        <v>157000</v>
      </c>
    </row>
    <row r="573" spans="1:6" x14ac:dyDescent="0.3">
      <c r="A573" s="8">
        <v>571</v>
      </c>
      <c r="B573" s="8" t="s">
        <v>1280</v>
      </c>
      <c r="C573" s="8" t="s">
        <v>1291</v>
      </c>
      <c r="D573" s="8" t="s">
        <v>1292</v>
      </c>
      <c r="E573" s="13">
        <v>0</v>
      </c>
      <c r="F573" s="14">
        <v>0</v>
      </c>
    </row>
    <row r="574" spans="1:6" x14ac:dyDescent="0.3">
      <c r="A574" s="8">
        <v>572</v>
      </c>
      <c r="B574" s="8" t="s">
        <v>1293</v>
      </c>
      <c r="C574" s="8" t="s">
        <v>1294</v>
      </c>
      <c r="D574" s="8" t="s">
        <v>1295</v>
      </c>
      <c r="E574" s="13">
        <v>225000</v>
      </c>
      <c r="F574" s="14">
        <v>450000</v>
      </c>
    </row>
    <row r="575" spans="1:6" x14ac:dyDescent="0.3">
      <c r="A575" s="8">
        <v>573</v>
      </c>
      <c r="B575" s="8" t="s">
        <v>1296</v>
      </c>
      <c r="C575" s="8" t="s">
        <v>1297</v>
      </c>
      <c r="D575" s="8" t="s">
        <v>1298</v>
      </c>
      <c r="E575" s="13">
        <v>0</v>
      </c>
      <c r="F575" s="14">
        <v>875926</v>
      </c>
    </row>
    <row r="576" spans="1:6" x14ac:dyDescent="0.3">
      <c r="A576" s="8">
        <v>574</v>
      </c>
      <c r="B576" s="8" t="s">
        <v>1296</v>
      </c>
      <c r="C576" s="8" t="s">
        <v>1299</v>
      </c>
      <c r="D576" s="8" t="s">
        <v>1300</v>
      </c>
      <c r="E576" s="13">
        <v>4963000</v>
      </c>
      <c r="F576" s="14">
        <v>8109259</v>
      </c>
    </row>
    <row r="577" spans="1:6" x14ac:dyDescent="0.3">
      <c r="A577" s="8">
        <v>575</v>
      </c>
      <c r="B577" s="8" t="s">
        <v>144</v>
      </c>
      <c r="C577" s="8" t="s">
        <v>1301</v>
      </c>
      <c r="D577" s="8" t="s">
        <v>1302</v>
      </c>
      <c r="E577" s="13">
        <v>0</v>
      </c>
      <c r="F577" s="14">
        <v>0</v>
      </c>
    </row>
    <row r="578" spans="1:6" x14ac:dyDescent="0.3">
      <c r="A578" s="8">
        <v>576</v>
      </c>
      <c r="B578" s="8" t="s">
        <v>144</v>
      </c>
      <c r="C578" s="8" t="s">
        <v>1303</v>
      </c>
      <c r="D578" s="8" t="s">
        <v>1304</v>
      </c>
      <c r="E578" s="13">
        <v>0</v>
      </c>
      <c r="F578" s="14">
        <v>660000</v>
      </c>
    </row>
    <row r="579" spans="1:6" x14ac:dyDescent="0.3">
      <c r="A579" s="8">
        <v>577</v>
      </c>
      <c r="B579" s="8" t="s">
        <v>144</v>
      </c>
      <c r="C579" s="8" t="s">
        <v>1305</v>
      </c>
      <c r="D579" s="8" t="s">
        <v>1306</v>
      </c>
      <c r="E579" s="13">
        <v>73000</v>
      </c>
      <c r="F579" s="14">
        <v>146296</v>
      </c>
    </row>
    <row r="580" spans="1:6" x14ac:dyDescent="0.3">
      <c r="A580" s="8">
        <v>578</v>
      </c>
      <c r="B580" s="8" t="s">
        <v>144</v>
      </c>
      <c r="C580" s="8" t="s">
        <v>1307</v>
      </c>
      <c r="D580" s="8" t="s">
        <v>1308</v>
      </c>
      <c r="E580" s="13">
        <v>0</v>
      </c>
      <c r="F580" s="14">
        <v>0</v>
      </c>
    </row>
    <row r="581" spans="1:6" x14ac:dyDescent="0.3">
      <c r="A581" s="8">
        <v>579</v>
      </c>
      <c r="B581" s="8" t="s">
        <v>144</v>
      </c>
      <c r="C581" s="8" t="s">
        <v>1309</v>
      </c>
      <c r="D581" s="8" t="s">
        <v>1310</v>
      </c>
      <c r="E581" s="13">
        <v>0</v>
      </c>
      <c r="F581" s="14">
        <v>0</v>
      </c>
    </row>
    <row r="582" spans="1:6" x14ac:dyDescent="0.3">
      <c r="A582" s="8">
        <v>580</v>
      </c>
      <c r="B582" s="8" t="s">
        <v>144</v>
      </c>
      <c r="C582" s="8" t="s">
        <v>1311</v>
      </c>
      <c r="D582" s="8" t="s">
        <v>1312</v>
      </c>
      <c r="E582" s="13">
        <v>0</v>
      </c>
      <c r="F582" s="14">
        <v>0</v>
      </c>
    </row>
    <row r="583" spans="1:6" x14ac:dyDescent="0.3">
      <c r="A583" s="8">
        <v>581</v>
      </c>
      <c r="B583" s="8" t="s">
        <v>144</v>
      </c>
      <c r="C583" s="8" t="s">
        <v>1313</v>
      </c>
      <c r="D583" s="8" t="s">
        <v>1314</v>
      </c>
      <c r="E583" s="13">
        <v>128000</v>
      </c>
      <c r="F583" s="14">
        <v>255556</v>
      </c>
    </row>
    <row r="584" spans="1:6" x14ac:dyDescent="0.3">
      <c r="A584" s="8">
        <v>582</v>
      </c>
      <c r="B584" s="8" t="s">
        <v>144</v>
      </c>
      <c r="C584" s="8" t="s">
        <v>1315</v>
      </c>
      <c r="D584" s="8" t="s">
        <v>1316</v>
      </c>
      <c r="E584" s="13">
        <v>0</v>
      </c>
      <c r="F584" s="14">
        <v>0</v>
      </c>
    </row>
    <row r="585" spans="1:6" x14ac:dyDescent="0.3">
      <c r="A585" s="8">
        <v>583</v>
      </c>
      <c r="B585" s="8" t="s">
        <v>144</v>
      </c>
      <c r="C585" s="8" t="s">
        <v>1317</v>
      </c>
      <c r="D585" s="8" t="s">
        <v>1318</v>
      </c>
      <c r="E585" s="13">
        <v>0</v>
      </c>
      <c r="F585" s="14">
        <v>0</v>
      </c>
    </row>
    <row r="586" spans="1:6" x14ac:dyDescent="0.3">
      <c r="A586" s="8">
        <v>584</v>
      </c>
      <c r="B586" s="8" t="s">
        <v>144</v>
      </c>
      <c r="C586" s="8" t="s">
        <v>1319</v>
      </c>
      <c r="D586" s="8" t="s">
        <v>1320</v>
      </c>
      <c r="E586" s="13">
        <v>0</v>
      </c>
      <c r="F586" s="14">
        <v>0</v>
      </c>
    </row>
    <row r="587" spans="1:6" x14ac:dyDescent="0.3">
      <c r="A587" s="8">
        <v>585</v>
      </c>
      <c r="B587" s="8" t="s">
        <v>144</v>
      </c>
      <c r="C587" s="8" t="s">
        <v>1321</v>
      </c>
      <c r="D587" s="8" t="s">
        <v>1322</v>
      </c>
      <c r="E587" s="13">
        <v>0</v>
      </c>
      <c r="F587" s="14">
        <v>0</v>
      </c>
    </row>
    <row r="588" spans="1:6" x14ac:dyDescent="0.3">
      <c r="A588" s="8">
        <v>586</v>
      </c>
      <c r="B588" s="8" t="s">
        <v>144</v>
      </c>
      <c r="C588" s="8" t="s">
        <v>1323</v>
      </c>
      <c r="D588" s="8" t="s">
        <v>1324</v>
      </c>
      <c r="E588" s="13">
        <v>0</v>
      </c>
      <c r="F588" s="14">
        <v>0</v>
      </c>
    </row>
    <row r="589" spans="1:6" x14ac:dyDescent="0.3">
      <c r="A589" s="8">
        <v>587</v>
      </c>
      <c r="B589" s="8" t="s">
        <v>144</v>
      </c>
      <c r="C589" s="8" t="s">
        <v>1325</v>
      </c>
      <c r="D589" s="8" t="s">
        <v>1326</v>
      </c>
      <c r="E589" s="13">
        <v>0</v>
      </c>
      <c r="F589" s="14">
        <v>0</v>
      </c>
    </row>
    <row r="590" spans="1:6" x14ac:dyDescent="0.3">
      <c r="A590" s="8">
        <v>588</v>
      </c>
      <c r="B590" s="8" t="s">
        <v>144</v>
      </c>
      <c r="C590" s="8" t="s">
        <v>1327</v>
      </c>
      <c r="D590" s="8" t="s">
        <v>1328</v>
      </c>
      <c r="E590" s="13">
        <v>0</v>
      </c>
      <c r="F590" s="14">
        <v>0</v>
      </c>
    </row>
    <row r="591" spans="1:6" x14ac:dyDescent="0.3">
      <c r="A591" s="8">
        <v>589</v>
      </c>
      <c r="B591" s="8" t="s">
        <v>144</v>
      </c>
      <c r="C591" s="8" t="s">
        <v>1329</v>
      </c>
      <c r="D591" s="8" t="s">
        <v>1330</v>
      </c>
      <c r="E591" s="13">
        <v>0</v>
      </c>
      <c r="F591" s="14">
        <v>0</v>
      </c>
    </row>
    <row r="592" spans="1:6" x14ac:dyDescent="0.3">
      <c r="A592" s="8">
        <v>590</v>
      </c>
      <c r="B592" s="8" t="s">
        <v>144</v>
      </c>
      <c r="C592" s="8" t="s">
        <v>1331</v>
      </c>
      <c r="D592" s="8" t="s">
        <v>1332</v>
      </c>
      <c r="E592" s="13">
        <v>0</v>
      </c>
      <c r="F592" s="14">
        <v>0</v>
      </c>
    </row>
    <row r="593" spans="1:6" x14ac:dyDescent="0.3">
      <c r="A593" s="8">
        <v>591</v>
      </c>
      <c r="B593" s="8" t="s">
        <v>144</v>
      </c>
      <c r="C593" s="8" t="s">
        <v>1333</v>
      </c>
      <c r="D593" s="8" t="s">
        <v>1334</v>
      </c>
      <c r="E593" s="13">
        <v>0</v>
      </c>
      <c r="F593" s="14">
        <v>0</v>
      </c>
    </row>
    <row r="594" spans="1:6" x14ac:dyDescent="0.3">
      <c r="A594" s="8">
        <v>592</v>
      </c>
      <c r="B594" s="8" t="s">
        <v>1335</v>
      </c>
      <c r="C594" s="8" t="s">
        <v>1336</v>
      </c>
      <c r="D594" s="8" t="s">
        <v>82</v>
      </c>
      <c r="E594" s="13">
        <v>2600</v>
      </c>
      <c r="F594" s="14">
        <v>3636</v>
      </c>
    </row>
    <row r="595" spans="1:6" x14ac:dyDescent="0.3">
      <c r="A595" s="8">
        <v>593</v>
      </c>
      <c r="B595" s="8" t="s">
        <v>275</v>
      </c>
      <c r="C595" s="8" t="s">
        <v>1337</v>
      </c>
      <c r="D595" s="8" t="s">
        <v>1338</v>
      </c>
      <c r="E595" s="13">
        <v>0</v>
      </c>
      <c r="F595" s="14">
        <v>0</v>
      </c>
    </row>
    <row r="596" spans="1:6" x14ac:dyDescent="0.3">
      <c r="A596" s="8">
        <v>594</v>
      </c>
      <c r="B596" s="8" t="s">
        <v>275</v>
      </c>
      <c r="C596" s="8" t="s">
        <v>1339</v>
      </c>
      <c r="D596" s="8" t="s">
        <v>1340</v>
      </c>
      <c r="E596" s="13">
        <v>0</v>
      </c>
      <c r="F596" s="14">
        <v>0</v>
      </c>
    </row>
    <row r="597" spans="1:6" x14ac:dyDescent="0.3">
      <c r="A597" s="8">
        <v>595</v>
      </c>
      <c r="B597" s="8" t="s">
        <v>275</v>
      </c>
      <c r="C597" s="8" t="s">
        <v>1341</v>
      </c>
      <c r="D597" s="8" t="s">
        <v>1342</v>
      </c>
      <c r="E597" s="13">
        <v>0</v>
      </c>
      <c r="F597" s="14">
        <v>0</v>
      </c>
    </row>
    <row r="598" spans="1:6" x14ac:dyDescent="0.3">
      <c r="A598" s="8">
        <v>596</v>
      </c>
      <c r="B598" s="8" t="s">
        <v>275</v>
      </c>
      <c r="C598" s="8" t="s">
        <v>1343</v>
      </c>
      <c r="D598" s="8" t="s">
        <v>1344</v>
      </c>
      <c r="E598" s="13">
        <v>0</v>
      </c>
      <c r="F598" s="14">
        <v>0</v>
      </c>
    </row>
    <row r="599" spans="1:6" x14ac:dyDescent="0.3">
      <c r="A599" s="8">
        <v>597</v>
      </c>
      <c r="B599" s="8" t="s">
        <v>275</v>
      </c>
      <c r="C599" s="8" t="s">
        <v>1345</v>
      </c>
      <c r="D599" s="8" t="s">
        <v>1346</v>
      </c>
      <c r="E599" s="13">
        <v>0</v>
      </c>
      <c r="F599" s="14">
        <v>0</v>
      </c>
    </row>
    <row r="600" spans="1:6" x14ac:dyDescent="0.3">
      <c r="A600" s="8">
        <v>598</v>
      </c>
      <c r="B600" s="8" t="s">
        <v>282</v>
      </c>
      <c r="C600" s="8" t="s">
        <v>1347</v>
      </c>
      <c r="D600" s="8" t="s">
        <v>1348</v>
      </c>
      <c r="E600" s="13">
        <v>0</v>
      </c>
      <c r="F600" s="14">
        <v>0</v>
      </c>
    </row>
    <row r="601" spans="1:6" x14ac:dyDescent="0.3">
      <c r="A601" s="8">
        <v>599</v>
      </c>
      <c r="B601" s="8" t="s">
        <v>282</v>
      </c>
      <c r="C601" s="8" t="s">
        <v>1349</v>
      </c>
      <c r="D601" s="8" t="s">
        <v>1350</v>
      </c>
      <c r="E601" s="13">
        <v>55556</v>
      </c>
      <c r="F601" s="14">
        <v>111111</v>
      </c>
    </row>
    <row r="602" spans="1:6" x14ac:dyDescent="0.3">
      <c r="A602" s="8">
        <v>600</v>
      </c>
      <c r="B602" s="8" t="s">
        <v>144</v>
      </c>
      <c r="C602" s="8" t="s">
        <v>1351</v>
      </c>
      <c r="D602" s="8" t="s">
        <v>1352</v>
      </c>
      <c r="E602" s="13">
        <v>0</v>
      </c>
      <c r="F602" s="14">
        <v>0</v>
      </c>
    </row>
    <row r="603" spans="1:6" x14ac:dyDescent="0.3">
      <c r="A603" s="8">
        <v>601</v>
      </c>
      <c r="B603" s="8" t="s">
        <v>144</v>
      </c>
      <c r="C603" s="8" t="s">
        <v>1353</v>
      </c>
      <c r="D603" s="8" t="s">
        <v>1354</v>
      </c>
      <c r="E603" s="13">
        <v>0</v>
      </c>
      <c r="F603" s="14">
        <v>0</v>
      </c>
    </row>
    <row r="604" spans="1:6" x14ac:dyDescent="0.3">
      <c r="A604" s="8">
        <v>602</v>
      </c>
      <c r="B604" s="8" t="s">
        <v>144</v>
      </c>
      <c r="C604" s="8" t="s">
        <v>1355</v>
      </c>
      <c r="D604" s="8" t="s">
        <v>1356</v>
      </c>
      <c r="E604" s="13">
        <v>0</v>
      </c>
      <c r="F604" s="14">
        <v>0</v>
      </c>
    </row>
    <row r="605" spans="1:6" x14ac:dyDescent="0.3">
      <c r="A605" s="8">
        <v>603</v>
      </c>
      <c r="B605" s="8" t="s">
        <v>144</v>
      </c>
      <c r="C605" s="8" t="s">
        <v>1357</v>
      </c>
      <c r="D605" s="8" t="s">
        <v>1358</v>
      </c>
      <c r="E605" s="13">
        <v>0</v>
      </c>
      <c r="F605" s="14">
        <v>0</v>
      </c>
    </row>
    <row r="606" spans="1:6" x14ac:dyDescent="0.3">
      <c r="A606" s="8">
        <v>604</v>
      </c>
      <c r="B606" s="8" t="s">
        <v>144</v>
      </c>
      <c r="C606" s="8" t="s">
        <v>1359</v>
      </c>
      <c r="D606" s="8" t="s">
        <v>1360</v>
      </c>
      <c r="E606" s="13">
        <v>0</v>
      </c>
      <c r="F606" s="14">
        <v>0</v>
      </c>
    </row>
    <row r="607" spans="1:6" x14ac:dyDescent="0.3">
      <c r="A607" s="8">
        <v>605</v>
      </c>
      <c r="B607" s="8" t="s">
        <v>1335</v>
      </c>
      <c r="C607" s="8" t="s">
        <v>1361</v>
      </c>
      <c r="D607" s="8" t="s">
        <v>1362</v>
      </c>
      <c r="E607" s="13">
        <v>0</v>
      </c>
      <c r="F607" s="14">
        <v>0</v>
      </c>
    </row>
    <row r="608" spans="1:6" x14ac:dyDescent="0.3">
      <c r="A608" s="8">
        <v>606</v>
      </c>
      <c r="B608" s="8" t="s">
        <v>275</v>
      </c>
      <c r="C608" s="8" t="s">
        <v>1363</v>
      </c>
      <c r="D608" s="8" t="s">
        <v>1364</v>
      </c>
      <c r="E608" s="13">
        <v>10400</v>
      </c>
      <c r="F608" s="14">
        <v>20370</v>
      </c>
    </row>
    <row r="609" spans="1:6" x14ac:dyDescent="0.3">
      <c r="A609" s="8">
        <v>607</v>
      </c>
      <c r="B609" s="8" t="s">
        <v>275</v>
      </c>
      <c r="C609" s="8" t="s">
        <v>1365</v>
      </c>
      <c r="D609" s="8" t="s">
        <v>1366</v>
      </c>
      <c r="E609" s="13">
        <v>10400</v>
      </c>
      <c r="F609" s="14">
        <v>20370</v>
      </c>
    </row>
    <row r="610" spans="1:6" x14ac:dyDescent="0.3">
      <c r="A610" s="8">
        <v>608</v>
      </c>
      <c r="B610" s="8" t="s">
        <v>1178</v>
      </c>
      <c r="C610" s="8" t="s">
        <v>1367</v>
      </c>
      <c r="D610" s="8" t="s">
        <v>1368</v>
      </c>
      <c r="E610" s="13">
        <v>0</v>
      </c>
      <c r="F610" s="14">
        <v>0</v>
      </c>
    </row>
    <row r="611" spans="1:6" x14ac:dyDescent="0.3">
      <c r="A611" s="8">
        <v>609</v>
      </c>
      <c r="B611" s="8" t="s">
        <v>1178</v>
      </c>
      <c r="C611" s="8" t="s">
        <v>1369</v>
      </c>
      <c r="D611" s="8" t="s">
        <v>1370</v>
      </c>
      <c r="E611" s="13">
        <v>5080</v>
      </c>
      <c r="F611" s="14">
        <v>11000</v>
      </c>
    </row>
    <row r="612" spans="1:6" x14ac:dyDescent="0.3">
      <c r="A612" s="8">
        <v>610</v>
      </c>
      <c r="B612" s="8" t="s">
        <v>1178</v>
      </c>
      <c r="C612" s="8" t="s">
        <v>1371</v>
      </c>
      <c r="D612" s="8" t="s">
        <v>1372</v>
      </c>
      <c r="E612" s="13">
        <v>5080</v>
      </c>
      <c r="F612" s="14">
        <v>11000</v>
      </c>
    </row>
    <row r="613" spans="1:6" x14ac:dyDescent="0.3">
      <c r="A613" s="8">
        <v>611</v>
      </c>
      <c r="B613" s="8" t="s">
        <v>1178</v>
      </c>
      <c r="C613" s="8" t="s">
        <v>1373</v>
      </c>
      <c r="D613" s="8" t="s">
        <v>1374</v>
      </c>
      <c r="E613" s="13">
        <v>5080</v>
      </c>
      <c r="F613" s="14">
        <v>11000</v>
      </c>
    </row>
    <row r="614" spans="1:6" x14ac:dyDescent="0.3">
      <c r="A614" s="8">
        <v>612</v>
      </c>
      <c r="B614" s="8" t="s">
        <v>282</v>
      </c>
      <c r="C614" s="8" t="s">
        <v>1375</v>
      </c>
      <c r="D614" s="8" t="s">
        <v>1376</v>
      </c>
      <c r="E614" s="13">
        <v>0</v>
      </c>
      <c r="F614" s="14">
        <v>0</v>
      </c>
    </row>
    <row r="615" spans="1:6" x14ac:dyDescent="0.3">
      <c r="A615" s="8">
        <v>613</v>
      </c>
      <c r="B615" s="8" t="s">
        <v>282</v>
      </c>
      <c r="C615" s="8" t="s">
        <v>1377</v>
      </c>
      <c r="D615" s="8" t="s">
        <v>1378</v>
      </c>
      <c r="E615" s="13">
        <v>36000</v>
      </c>
      <c r="F615" s="14">
        <v>62000</v>
      </c>
    </row>
    <row r="616" spans="1:6" x14ac:dyDescent="0.3">
      <c r="A616" s="8">
        <v>614</v>
      </c>
      <c r="B616" s="8" t="s">
        <v>282</v>
      </c>
      <c r="C616" s="8" t="s">
        <v>1379</v>
      </c>
      <c r="D616" s="8" t="s">
        <v>1380</v>
      </c>
      <c r="E616" s="13">
        <v>32480</v>
      </c>
      <c r="F616" s="14">
        <v>52000</v>
      </c>
    </row>
    <row r="617" spans="1:6" x14ac:dyDescent="0.3">
      <c r="A617" s="8">
        <v>615</v>
      </c>
      <c r="B617" s="8" t="s">
        <v>282</v>
      </c>
      <c r="C617" s="8" t="s">
        <v>1381</v>
      </c>
      <c r="D617" s="8" t="s">
        <v>1382</v>
      </c>
      <c r="E617" s="13">
        <v>121000</v>
      </c>
      <c r="F617" s="14">
        <v>241818</v>
      </c>
    </row>
    <row r="618" spans="1:6" x14ac:dyDescent="0.3">
      <c r="A618" s="8">
        <v>616</v>
      </c>
      <c r="B618" s="8" t="s">
        <v>287</v>
      </c>
      <c r="C618" s="8" t="s">
        <v>1383</v>
      </c>
      <c r="D618" s="8" t="s">
        <v>1384</v>
      </c>
      <c r="E618" s="13">
        <v>105000</v>
      </c>
      <c r="F618" s="14">
        <v>191000</v>
      </c>
    </row>
    <row r="619" spans="1:6" x14ac:dyDescent="0.3">
      <c r="A619" s="8">
        <v>617</v>
      </c>
      <c r="B619" s="8" t="s">
        <v>1259</v>
      </c>
      <c r="C619" s="8" t="s">
        <v>1385</v>
      </c>
      <c r="D619" s="8" t="s">
        <v>1386</v>
      </c>
      <c r="E619" s="13">
        <v>63300</v>
      </c>
      <c r="F619" s="14">
        <v>108000</v>
      </c>
    </row>
    <row r="620" spans="1:6" x14ac:dyDescent="0.3">
      <c r="A620" s="8">
        <v>618</v>
      </c>
      <c r="B620" s="8" t="s">
        <v>1259</v>
      </c>
      <c r="C620" s="8" t="s">
        <v>1387</v>
      </c>
      <c r="D620" s="8" t="s">
        <v>1388</v>
      </c>
      <c r="E620" s="13">
        <v>0</v>
      </c>
      <c r="F620" s="14">
        <v>0</v>
      </c>
    </row>
    <row r="621" spans="1:6" x14ac:dyDescent="0.3">
      <c r="A621" s="8">
        <v>619</v>
      </c>
      <c r="B621" s="8" t="s">
        <v>1259</v>
      </c>
      <c r="C621" s="8" t="s">
        <v>1389</v>
      </c>
      <c r="D621" s="8" t="s">
        <v>1390</v>
      </c>
      <c r="E621" s="13">
        <v>0</v>
      </c>
      <c r="F621" s="14">
        <v>0</v>
      </c>
    </row>
    <row r="622" spans="1:6" x14ac:dyDescent="0.3">
      <c r="A622" s="8">
        <v>620</v>
      </c>
      <c r="B622" s="8" t="s">
        <v>1259</v>
      </c>
      <c r="C622" s="8" t="s">
        <v>1391</v>
      </c>
      <c r="D622" s="8" t="s">
        <v>1392</v>
      </c>
      <c r="E622" s="13">
        <v>0</v>
      </c>
      <c r="F622" s="14">
        <v>0</v>
      </c>
    </row>
    <row r="623" spans="1:6" x14ac:dyDescent="0.3">
      <c r="A623" s="8">
        <v>621</v>
      </c>
      <c r="B623" s="8" t="s">
        <v>1259</v>
      </c>
      <c r="C623" s="8" t="s">
        <v>1393</v>
      </c>
      <c r="D623" s="8" t="s">
        <v>1394</v>
      </c>
      <c r="E623" s="13">
        <v>0</v>
      </c>
      <c r="F623" s="14">
        <v>0</v>
      </c>
    </row>
    <row r="624" spans="1:6" x14ac:dyDescent="0.3">
      <c r="A624" s="8">
        <v>622</v>
      </c>
      <c r="B624" s="8" t="s">
        <v>1280</v>
      </c>
      <c r="C624" s="8" t="s">
        <v>1395</v>
      </c>
      <c r="D624" s="8" t="s">
        <v>1396</v>
      </c>
      <c r="E624" s="13">
        <v>8000</v>
      </c>
      <c r="F624" s="14">
        <v>9000</v>
      </c>
    </row>
    <row r="625" spans="1:6" x14ac:dyDescent="0.3">
      <c r="A625" s="8">
        <v>623</v>
      </c>
      <c r="B625" s="8" t="s">
        <v>1293</v>
      </c>
      <c r="C625" s="8" t="s">
        <v>1397</v>
      </c>
      <c r="D625" s="8" t="s">
        <v>1398</v>
      </c>
      <c r="E625" s="13">
        <v>0</v>
      </c>
      <c r="F625" s="14">
        <v>0</v>
      </c>
    </row>
    <row r="626" spans="1:6" x14ac:dyDescent="0.3">
      <c r="A626" s="8">
        <v>624</v>
      </c>
      <c r="B626" s="8" t="s">
        <v>1293</v>
      </c>
      <c r="C626" s="8" t="s">
        <v>1399</v>
      </c>
      <c r="D626" s="8" t="s">
        <v>1400</v>
      </c>
      <c r="E626" s="13">
        <v>226000</v>
      </c>
      <c r="F626" s="14">
        <v>451852</v>
      </c>
    </row>
    <row r="627" spans="1:6" x14ac:dyDescent="0.3">
      <c r="A627" s="8">
        <v>625</v>
      </c>
      <c r="B627" s="8" t="s">
        <v>144</v>
      </c>
      <c r="C627" s="8" t="s">
        <v>1401</v>
      </c>
      <c r="D627" s="8" t="s">
        <v>1402</v>
      </c>
      <c r="E627" s="13">
        <v>0</v>
      </c>
      <c r="F627" s="14">
        <v>0</v>
      </c>
    </row>
    <row r="628" spans="1:6" x14ac:dyDescent="0.3">
      <c r="A628" s="8">
        <v>626</v>
      </c>
      <c r="B628" s="8" t="s">
        <v>144</v>
      </c>
      <c r="C628" s="8" t="s">
        <v>1403</v>
      </c>
      <c r="D628" s="8" t="s">
        <v>1404</v>
      </c>
      <c r="E628" s="13">
        <v>0</v>
      </c>
      <c r="F628" s="14">
        <v>0</v>
      </c>
    </row>
    <row r="629" spans="1:6" x14ac:dyDescent="0.3">
      <c r="A629" s="8">
        <v>627</v>
      </c>
      <c r="B629" s="8" t="s">
        <v>144</v>
      </c>
      <c r="C629" s="8" t="s">
        <v>1405</v>
      </c>
      <c r="D629" s="8" t="s">
        <v>1406</v>
      </c>
      <c r="E629" s="13">
        <v>0</v>
      </c>
      <c r="F629" s="14">
        <v>0</v>
      </c>
    </row>
    <row r="630" spans="1:6" x14ac:dyDescent="0.3">
      <c r="A630" s="8">
        <v>628</v>
      </c>
      <c r="B630" s="8" t="s">
        <v>144</v>
      </c>
      <c r="C630" s="8" t="s">
        <v>1407</v>
      </c>
      <c r="D630" s="8" t="s">
        <v>1408</v>
      </c>
      <c r="E630" s="13">
        <v>0</v>
      </c>
      <c r="F630" s="14">
        <v>0</v>
      </c>
    </row>
    <row r="631" spans="1:6" x14ac:dyDescent="0.3">
      <c r="A631" s="8">
        <v>629</v>
      </c>
      <c r="B631" s="8" t="s">
        <v>144</v>
      </c>
      <c r="C631" s="8" t="s">
        <v>1409</v>
      </c>
      <c r="D631" s="8" t="s">
        <v>1410</v>
      </c>
      <c r="E631" s="13">
        <v>0</v>
      </c>
      <c r="F631" s="14">
        <v>0</v>
      </c>
    </row>
    <row r="632" spans="1:6" x14ac:dyDescent="0.3">
      <c r="A632" s="8">
        <v>630</v>
      </c>
      <c r="B632" s="8" t="s">
        <v>1335</v>
      </c>
      <c r="C632" s="8" t="s">
        <v>1411</v>
      </c>
      <c r="D632" s="8" t="s">
        <v>1412</v>
      </c>
      <c r="E632" s="13">
        <v>0</v>
      </c>
      <c r="F632" s="14">
        <v>90000</v>
      </c>
    </row>
    <row r="633" spans="1:6" x14ac:dyDescent="0.3">
      <c r="A633" s="8">
        <v>631</v>
      </c>
      <c r="B633" s="8" t="s">
        <v>275</v>
      </c>
      <c r="C633" s="8" t="s">
        <v>1413</v>
      </c>
      <c r="D633" s="8" t="s">
        <v>1414</v>
      </c>
      <c r="E633" s="13">
        <v>0</v>
      </c>
      <c r="F633" s="14">
        <v>0</v>
      </c>
    </row>
    <row r="634" spans="1:6" x14ac:dyDescent="0.3">
      <c r="A634" s="8">
        <v>632</v>
      </c>
      <c r="B634" s="8" t="s">
        <v>275</v>
      </c>
      <c r="C634" s="8" t="s">
        <v>1415</v>
      </c>
      <c r="D634" s="8" t="s">
        <v>1416</v>
      </c>
      <c r="E634" s="13">
        <v>0</v>
      </c>
      <c r="F634" s="14">
        <v>0</v>
      </c>
    </row>
    <row r="635" spans="1:6" x14ac:dyDescent="0.3">
      <c r="A635" s="8">
        <v>633</v>
      </c>
      <c r="B635" s="8" t="s">
        <v>275</v>
      </c>
      <c r="C635" s="8" t="s">
        <v>1417</v>
      </c>
      <c r="D635" s="8" t="s">
        <v>1418</v>
      </c>
      <c r="E635" s="13">
        <v>0</v>
      </c>
      <c r="F635" s="14">
        <v>0</v>
      </c>
    </row>
    <row r="636" spans="1:6" x14ac:dyDescent="0.3">
      <c r="A636" s="8">
        <v>634</v>
      </c>
      <c r="B636" s="8" t="s">
        <v>275</v>
      </c>
      <c r="C636" s="8" t="s">
        <v>1419</v>
      </c>
      <c r="D636" s="8" t="s">
        <v>1420</v>
      </c>
      <c r="E636" s="13">
        <v>0</v>
      </c>
      <c r="F636" s="14">
        <v>0</v>
      </c>
    </row>
    <row r="637" spans="1:6" x14ac:dyDescent="0.3">
      <c r="A637" s="8">
        <v>635</v>
      </c>
      <c r="B637" s="8" t="s">
        <v>275</v>
      </c>
      <c r="C637" s="8" t="s">
        <v>1421</v>
      </c>
      <c r="D637" s="8" t="s">
        <v>1422</v>
      </c>
      <c r="E637" s="13">
        <v>0</v>
      </c>
      <c r="F637" s="14">
        <v>0</v>
      </c>
    </row>
    <row r="638" spans="1:6" x14ac:dyDescent="0.3">
      <c r="A638" s="8">
        <v>636</v>
      </c>
      <c r="B638" s="8" t="s">
        <v>1178</v>
      </c>
      <c r="C638" s="8" t="s">
        <v>1423</v>
      </c>
      <c r="D638" s="8" t="s">
        <v>1424</v>
      </c>
      <c r="E638" s="13">
        <v>5080</v>
      </c>
      <c r="F638" s="14">
        <v>11000</v>
      </c>
    </row>
    <row r="639" spans="1:6" x14ac:dyDescent="0.3">
      <c r="A639" s="8">
        <v>637</v>
      </c>
      <c r="B639" s="8" t="s">
        <v>1178</v>
      </c>
      <c r="C639" s="8" t="s">
        <v>1425</v>
      </c>
      <c r="D639" s="8" t="s">
        <v>1426</v>
      </c>
      <c r="E639" s="13">
        <v>0</v>
      </c>
      <c r="F639" s="14">
        <v>0</v>
      </c>
    </row>
    <row r="640" spans="1:6" x14ac:dyDescent="0.3">
      <c r="A640" s="8">
        <v>638</v>
      </c>
      <c r="B640" s="8" t="s">
        <v>282</v>
      </c>
      <c r="C640" s="8" t="s">
        <v>1427</v>
      </c>
      <c r="D640" s="8" t="s">
        <v>1428</v>
      </c>
      <c r="E640" s="13">
        <v>0</v>
      </c>
      <c r="F640" s="14">
        <v>0</v>
      </c>
    </row>
    <row r="641" spans="1:6" x14ac:dyDescent="0.3">
      <c r="A641" s="8">
        <v>639</v>
      </c>
      <c r="B641" s="8" t="s">
        <v>282</v>
      </c>
      <c r="C641" s="8" t="s">
        <v>1429</v>
      </c>
      <c r="D641" s="8" t="s">
        <v>1430</v>
      </c>
      <c r="E641" s="13">
        <v>0</v>
      </c>
      <c r="F641" s="14">
        <v>0</v>
      </c>
    </row>
    <row r="642" spans="1:6" x14ac:dyDescent="0.3">
      <c r="A642" s="8">
        <v>640</v>
      </c>
      <c r="B642" s="8" t="s">
        <v>282</v>
      </c>
      <c r="C642" s="8" t="s">
        <v>1431</v>
      </c>
      <c r="D642" s="8" t="s">
        <v>1432</v>
      </c>
      <c r="E642" s="13">
        <v>0</v>
      </c>
      <c r="F642" s="14">
        <v>0</v>
      </c>
    </row>
    <row r="643" spans="1:6" x14ac:dyDescent="0.3">
      <c r="A643" s="8">
        <v>641</v>
      </c>
      <c r="B643" s="8" t="s">
        <v>287</v>
      </c>
      <c r="C643" s="8" t="s">
        <v>1433</v>
      </c>
      <c r="D643" s="8" t="s">
        <v>1434</v>
      </c>
      <c r="E643" s="13">
        <v>104000</v>
      </c>
      <c r="F643" s="14">
        <v>208333</v>
      </c>
    </row>
    <row r="644" spans="1:6" x14ac:dyDescent="0.3">
      <c r="A644" s="8">
        <v>642</v>
      </c>
      <c r="B644" s="8" t="s">
        <v>1259</v>
      </c>
      <c r="C644" s="8" t="s">
        <v>1435</v>
      </c>
      <c r="D644" s="8" t="s">
        <v>1436</v>
      </c>
      <c r="E644" s="13">
        <v>0</v>
      </c>
      <c r="F644" s="14">
        <v>0</v>
      </c>
    </row>
    <row r="645" spans="1:6" x14ac:dyDescent="0.3">
      <c r="A645" s="8">
        <v>643</v>
      </c>
      <c r="B645" s="8" t="s">
        <v>1259</v>
      </c>
      <c r="C645" s="8" t="s">
        <v>1437</v>
      </c>
      <c r="D645" s="8" t="s">
        <v>1438</v>
      </c>
      <c r="E645" s="13">
        <v>0</v>
      </c>
      <c r="F645" s="14">
        <v>0</v>
      </c>
    </row>
    <row r="646" spans="1:6" x14ac:dyDescent="0.3">
      <c r="A646" s="8">
        <v>644</v>
      </c>
      <c r="B646" s="8" t="s">
        <v>1259</v>
      </c>
      <c r="C646" s="8" t="s">
        <v>1439</v>
      </c>
      <c r="D646" s="8" t="s">
        <v>1440</v>
      </c>
      <c r="E646" s="13">
        <v>276000</v>
      </c>
      <c r="F646" s="14">
        <v>474000</v>
      </c>
    </row>
    <row r="647" spans="1:6" x14ac:dyDescent="0.3">
      <c r="A647" s="8">
        <v>645</v>
      </c>
      <c r="B647" s="8" t="s">
        <v>1280</v>
      </c>
      <c r="C647" s="8" t="s">
        <v>1441</v>
      </c>
      <c r="D647" s="8" t="s">
        <v>1442</v>
      </c>
      <c r="E647" s="13">
        <v>8100</v>
      </c>
      <c r="F647" s="14">
        <v>14000</v>
      </c>
    </row>
    <row r="648" spans="1:6" x14ac:dyDescent="0.3">
      <c r="A648" s="8">
        <v>646</v>
      </c>
      <c r="B648" s="8" t="s">
        <v>1280</v>
      </c>
      <c r="C648" s="8" t="s">
        <v>1443</v>
      </c>
      <c r="D648" s="8" t="s">
        <v>1444</v>
      </c>
      <c r="E648" s="13">
        <v>0</v>
      </c>
      <c r="F648" s="14">
        <v>0</v>
      </c>
    </row>
    <row r="649" spans="1:6" x14ac:dyDescent="0.3">
      <c r="A649" s="8">
        <v>647</v>
      </c>
      <c r="B649" s="8" t="s">
        <v>1293</v>
      </c>
      <c r="C649" s="8" t="s">
        <v>1445</v>
      </c>
      <c r="D649" s="8" t="s">
        <v>1446</v>
      </c>
      <c r="E649" s="13">
        <v>263900</v>
      </c>
      <c r="F649" s="14">
        <v>527778</v>
      </c>
    </row>
    <row r="650" spans="1:6" x14ac:dyDescent="0.3">
      <c r="A650" s="8">
        <v>648</v>
      </c>
      <c r="B650" s="8" t="s">
        <v>1293</v>
      </c>
      <c r="C650" s="8" t="s">
        <v>1447</v>
      </c>
      <c r="D650" s="8" t="s">
        <v>1448</v>
      </c>
      <c r="E650" s="13">
        <v>280000</v>
      </c>
      <c r="F650" s="14">
        <v>560185</v>
      </c>
    </row>
    <row r="651" spans="1:6" x14ac:dyDescent="0.3">
      <c r="A651" s="8">
        <v>649</v>
      </c>
      <c r="B651" s="8" t="s">
        <v>1293</v>
      </c>
      <c r="C651" s="8" t="s">
        <v>1449</v>
      </c>
      <c r="D651" s="8" t="s">
        <v>1450</v>
      </c>
      <c r="E651" s="13">
        <v>0</v>
      </c>
      <c r="F651" s="14">
        <v>0</v>
      </c>
    </row>
    <row r="652" spans="1:6" x14ac:dyDescent="0.3">
      <c r="A652" s="8">
        <v>650</v>
      </c>
      <c r="B652" s="8" t="s">
        <v>144</v>
      </c>
      <c r="C652" s="8" t="s">
        <v>1451</v>
      </c>
      <c r="D652" s="8" t="s">
        <v>1452</v>
      </c>
      <c r="E652" s="13">
        <v>0</v>
      </c>
      <c r="F652" s="14">
        <v>0</v>
      </c>
    </row>
    <row r="653" spans="1:6" x14ac:dyDescent="0.3">
      <c r="A653" s="8">
        <v>651</v>
      </c>
      <c r="B653" s="8" t="s">
        <v>144</v>
      </c>
      <c r="C653" s="8" t="s">
        <v>1453</v>
      </c>
      <c r="D653" s="8" t="s">
        <v>1454</v>
      </c>
      <c r="E653" s="13">
        <v>0</v>
      </c>
      <c r="F653" s="14">
        <v>0</v>
      </c>
    </row>
    <row r="654" spans="1:6" x14ac:dyDescent="0.3">
      <c r="A654" s="8">
        <v>652</v>
      </c>
      <c r="B654" s="8" t="s">
        <v>144</v>
      </c>
      <c r="C654" s="8" t="s">
        <v>1455</v>
      </c>
      <c r="D654" s="8" t="s">
        <v>1456</v>
      </c>
      <c r="E654" s="13">
        <v>0</v>
      </c>
      <c r="F654" s="14">
        <v>0</v>
      </c>
    </row>
    <row r="655" spans="1:6" x14ac:dyDescent="0.3">
      <c r="A655" s="8">
        <v>653</v>
      </c>
      <c r="B655" s="8" t="s">
        <v>144</v>
      </c>
      <c r="C655" s="8" t="s">
        <v>1457</v>
      </c>
      <c r="D655" s="8" t="s">
        <v>1458</v>
      </c>
      <c r="E655" s="13">
        <v>0</v>
      </c>
      <c r="F655" s="14">
        <v>0</v>
      </c>
    </row>
    <row r="656" spans="1:6" x14ac:dyDescent="0.3">
      <c r="A656" s="8">
        <v>654</v>
      </c>
      <c r="B656" s="8" t="s">
        <v>144</v>
      </c>
      <c r="C656" s="8" t="s">
        <v>1459</v>
      </c>
      <c r="D656" s="8" t="s">
        <v>1460</v>
      </c>
      <c r="E656" s="13">
        <v>0</v>
      </c>
      <c r="F656" s="14">
        <v>0</v>
      </c>
    </row>
    <row r="657" spans="1:6" x14ac:dyDescent="0.3">
      <c r="A657" s="8">
        <v>655</v>
      </c>
      <c r="B657" s="8" t="s">
        <v>144</v>
      </c>
      <c r="C657" s="8" t="s">
        <v>1461</v>
      </c>
      <c r="D657" s="8" t="s">
        <v>1462</v>
      </c>
      <c r="E657" s="13">
        <v>240000</v>
      </c>
      <c r="F657" s="14">
        <v>479630</v>
      </c>
    </row>
    <row r="658" spans="1:6" x14ac:dyDescent="0.3">
      <c r="A658" s="8">
        <v>656</v>
      </c>
      <c r="B658" s="8" t="s">
        <v>144</v>
      </c>
      <c r="C658" s="8" t="s">
        <v>1463</v>
      </c>
      <c r="D658" s="8" t="s">
        <v>1464</v>
      </c>
      <c r="E658" s="13">
        <v>0</v>
      </c>
      <c r="F658" s="14">
        <v>0</v>
      </c>
    </row>
    <row r="659" spans="1:6" x14ac:dyDescent="0.3">
      <c r="A659" s="8">
        <v>657</v>
      </c>
      <c r="B659" s="8" t="s">
        <v>144</v>
      </c>
      <c r="C659" s="8" t="s">
        <v>1465</v>
      </c>
      <c r="D659" s="8" t="s">
        <v>1466</v>
      </c>
      <c r="E659" s="13">
        <v>0</v>
      </c>
      <c r="F659" s="14">
        <v>0</v>
      </c>
    </row>
    <row r="660" spans="1:6" x14ac:dyDescent="0.3">
      <c r="A660" s="8">
        <v>658</v>
      </c>
      <c r="B660" s="8" t="s">
        <v>144</v>
      </c>
      <c r="C660" s="8" t="s">
        <v>1467</v>
      </c>
      <c r="D660" s="8" t="s">
        <v>1468</v>
      </c>
      <c r="E660" s="13">
        <v>0</v>
      </c>
      <c r="F660" s="14">
        <v>0</v>
      </c>
    </row>
    <row r="661" spans="1:6" x14ac:dyDescent="0.3">
      <c r="A661" s="8">
        <v>659</v>
      </c>
      <c r="B661" s="8" t="s">
        <v>144</v>
      </c>
      <c r="C661" s="8" t="s">
        <v>1469</v>
      </c>
      <c r="D661" s="8" t="s">
        <v>1470</v>
      </c>
      <c r="E661" s="13">
        <v>0</v>
      </c>
      <c r="F661" s="14">
        <v>0</v>
      </c>
    </row>
    <row r="662" spans="1:6" x14ac:dyDescent="0.3">
      <c r="A662" s="8">
        <v>660</v>
      </c>
      <c r="B662" s="8" t="s">
        <v>144</v>
      </c>
      <c r="C662" s="8" t="s">
        <v>1471</v>
      </c>
      <c r="D662" s="8" t="s">
        <v>1472</v>
      </c>
      <c r="E662" s="13">
        <v>0</v>
      </c>
      <c r="F662" s="14">
        <v>0</v>
      </c>
    </row>
    <row r="663" spans="1:6" x14ac:dyDescent="0.3">
      <c r="A663" s="8">
        <v>661</v>
      </c>
      <c r="B663" s="8" t="s">
        <v>1335</v>
      </c>
      <c r="C663" s="8" t="s">
        <v>1473</v>
      </c>
      <c r="D663" s="8" t="s">
        <v>1474</v>
      </c>
      <c r="E663" s="13">
        <v>0</v>
      </c>
      <c r="F663" s="14">
        <v>0</v>
      </c>
    </row>
    <row r="664" spans="1:6" x14ac:dyDescent="0.3">
      <c r="A664" s="8">
        <v>662</v>
      </c>
      <c r="B664" s="8" t="s">
        <v>275</v>
      </c>
      <c r="C664" s="8" t="s">
        <v>1475</v>
      </c>
      <c r="D664" s="8" t="s">
        <v>1476</v>
      </c>
      <c r="E664" s="13">
        <v>0</v>
      </c>
      <c r="F664" s="14">
        <v>0</v>
      </c>
    </row>
    <row r="665" spans="1:6" x14ac:dyDescent="0.3">
      <c r="A665" s="8">
        <v>663</v>
      </c>
      <c r="B665" s="8" t="s">
        <v>275</v>
      </c>
      <c r="C665" s="8" t="s">
        <v>1477</v>
      </c>
      <c r="D665" s="8" t="s">
        <v>1478</v>
      </c>
      <c r="E665" s="13">
        <v>50000</v>
      </c>
      <c r="F665" s="14">
        <v>100000</v>
      </c>
    </row>
    <row r="666" spans="1:6" x14ac:dyDescent="0.3">
      <c r="A666" s="8">
        <v>664</v>
      </c>
      <c r="B666" s="8" t="s">
        <v>1178</v>
      </c>
      <c r="C666" s="8" t="s">
        <v>1479</v>
      </c>
      <c r="D666" s="8" t="s">
        <v>1480</v>
      </c>
      <c r="E666" s="13">
        <v>0</v>
      </c>
      <c r="F666" s="14">
        <v>0</v>
      </c>
    </row>
    <row r="667" spans="1:6" x14ac:dyDescent="0.3">
      <c r="A667" s="8">
        <v>665</v>
      </c>
      <c r="B667" s="8" t="s">
        <v>1178</v>
      </c>
      <c r="C667" s="8" t="s">
        <v>1481</v>
      </c>
      <c r="D667" s="8" t="s">
        <v>1482</v>
      </c>
      <c r="E667" s="13">
        <v>0</v>
      </c>
      <c r="F667" s="14">
        <v>0</v>
      </c>
    </row>
    <row r="668" spans="1:6" x14ac:dyDescent="0.3">
      <c r="A668" s="8">
        <v>666</v>
      </c>
      <c r="B668" s="8" t="s">
        <v>282</v>
      </c>
      <c r="C668" s="8" t="s">
        <v>1483</v>
      </c>
      <c r="D668" s="8" t="s">
        <v>1484</v>
      </c>
      <c r="E668" s="13">
        <v>179000</v>
      </c>
      <c r="F668" s="14">
        <v>289000</v>
      </c>
    </row>
    <row r="669" spans="1:6" x14ac:dyDescent="0.3">
      <c r="A669" s="8">
        <v>667</v>
      </c>
      <c r="B669" s="8" t="s">
        <v>282</v>
      </c>
      <c r="C669" s="8" t="s">
        <v>1485</v>
      </c>
      <c r="D669" s="8" t="s">
        <v>1486</v>
      </c>
      <c r="E669" s="13">
        <v>112000</v>
      </c>
      <c r="F669" s="14">
        <v>224074</v>
      </c>
    </row>
    <row r="670" spans="1:6" x14ac:dyDescent="0.3">
      <c r="A670" s="8">
        <v>668</v>
      </c>
      <c r="B670" s="8" t="s">
        <v>282</v>
      </c>
      <c r="C670" s="8" t="s">
        <v>1487</v>
      </c>
      <c r="D670" s="8" t="s">
        <v>1488</v>
      </c>
      <c r="E670" s="13">
        <v>0</v>
      </c>
      <c r="F670" s="14">
        <v>0</v>
      </c>
    </row>
    <row r="671" spans="1:6" x14ac:dyDescent="0.3">
      <c r="A671" s="8">
        <v>669</v>
      </c>
      <c r="B671" s="8" t="s">
        <v>287</v>
      </c>
      <c r="C671" s="8" t="s">
        <v>1489</v>
      </c>
      <c r="D671" s="8" t="s">
        <v>1490</v>
      </c>
      <c r="E671" s="13">
        <v>129000</v>
      </c>
      <c r="F671" s="14">
        <v>258333</v>
      </c>
    </row>
    <row r="672" spans="1:6" x14ac:dyDescent="0.3">
      <c r="A672" s="8">
        <v>670</v>
      </c>
      <c r="B672" s="8" t="s">
        <v>287</v>
      </c>
      <c r="C672" s="8" t="s">
        <v>1491</v>
      </c>
      <c r="D672" s="8" t="s">
        <v>1492</v>
      </c>
      <c r="E672" s="13">
        <v>101000</v>
      </c>
      <c r="F672" s="14">
        <v>201852</v>
      </c>
    </row>
    <row r="673" spans="1:6" x14ac:dyDescent="0.3">
      <c r="A673" s="8">
        <v>671</v>
      </c>
      <c r="B673" s="8" t="s">
        <v>287</v>
      </c>
      <c r="C673" s="8" t="s">
        <v>1493</v>
      </c>
      <c r="D673" s="8" t="s">
        <v>1494</v>
      </c>
      <c r="E673" s="13">
        <v>99700</v>
      </c>
      <c r="F673" s="14">
        <v>178000</v>
      </c>
    </row>
    <row r="674" spans="1:6" x14ac:dyDescent="0.3">
      <c r="A674" s="8">
        <v>672</v>
      </c>
      <c r="B674" s="8" t="s">
        <v>287</v>
      </c>
      <c r="C674" s="8" t="s">
        <v>1495</v>
      </c>
      <c r="D674" s="8" t="s">
        <v>1496</v>
      </c>
      <c r="E674" s="13">
        <v>99000</v>
      </c>
      <c r="F674" s="14">
        <v>198148</v>
      </c>
    </row>
    <row r="675" spans="1:6" x14ac:dyDescent="0.3">
      <c r="A675" s="8">
        <v>673</v>
      </c>
      <c r="B675" s="8" t="s">
        <v>287</v>
      </c>
      <c r="C675" s="8" t="s">
        <v>1497</v>
      </c>
      <c r="D675" s="8" t="s">
        <v>1498</v>
      </c>
      <c r="E675" s="13">
        <v>110000</v>
      </c>
      <c r="F675" s="14">
        <v>220370</v>
      </c>
    </row>
    <row r="676" spans="1:6" x14ac:dyDescent="0.3">
      <c r="A676" s="8">
        <v>674</v>
      </c>
      <c r="B676" s="8" t="s">
        <v>287</v>
      </c>
      <c r="C676" s="8" t="s">
        <v>1499</v>
      </c>
      <c r="D676" s="8" t="s">
        <v>1500</v>
      </c>
      <c r="E676" s="13">
        <v>104000</v>
      </c>
      <c r="F676" s="14">
        <v>208333</v>
      </c>
    </row>
    <row r="677" spans="1:6" x14ac:dyDescent="0.3">
      <c r="A677" s="8">
        <v>675</v>
      </c>
      <c r="B677" s="8" t="s">
        <v>144</v>
      </c>
      <c r="C677" s="8" t="s">
        <v>1501</v>
      </c>
      <c r="D677" s="8" t="s">
        <v>1502</v>
      </c>
      <c r="E677" s="13">
        <v>0</v>
      </c>
      <c r="F677" s="14">
        <v>0</v>
      </c>
    </row>
    <row r="678" spans="1:6" x14ac:dyDescent="0.3">
      <c r="A678" s="8">
        <v>676</v>
      </c>
      <c r="B678" s="8" t="s">
        <v>144</v>
      </c>
      <c r="C678" s="8" t="s">
        <v>1503</v>
      </c>
      <c r="D678" s="8" t="s">
        <v>1504</v>
      </c>
      <c r="E678" s="13">
        <v>0</v>
      </c>
      <c r="F678" s="14">
        <v>0</v>
      </c>
    </row>
    <row r="679" spans="1:6" x14ac:dyDescent="0.3">
      <c r="A679" s="8">
        <v>677</v>
      </c>
      <c r="B679" s="8" t="s">
        <v>144</v>
      </c>
      <c r="C679" s="8" t="s">
        <v>1505</v>
      </c>
      <c r="D679" s="8" t="s">
        <v>1506</v>
      </c>
      <c r="E679" s="13">
        <v>0</v>
      </c>
      <c r="F679" s="14">
        <v>0</v>
      </c>
    </row>
    <row r="680" spans="1:6" x14ac:dyDescent="0.3">
      <c r="A680" s="8">
        <v>678</v>
      </c>
      <c r="B680" s="8" t="s">
        <v>144</v>
      </c>
      <c r="C680" s="8" t="s">
        <v>1507</v>
      </c>
      <c r="D680" s="8" t="s">
        <v>1508</v>
      </c>
      <c r="E680" s="13">
        <v>0</v>
      </c>
      <c r="F680" s="14">
        <v>0</v>
      </c>
    </row>
    <row r="681" spans="1:6" x14ac:dyDescent="0.3">
      <c r="A681" s="8">
        <v>679</v>
      </c>
      <c r="B681" s="8" t="s">
        <v>144</v>
      </c>
      <c r="C681" s="8" t="s">
        <v>1509</v>
      </c>
      <c r="D681" s="8" t="s">
        <v>1510</v>
      </c>
      <c r="E681" s="13">
        <v>0</v>
      </c>
      <c r="F681" s="14">
        <v>0</v>
      </c>
    </row>
    <row r="682" spans="1:6" x14ac:dyDescent="0.3">
      <c r="A682" s="8">
        <v>680</v>
      </c>
      <c r="B682" s="8" t="s">
        <v>144</v>
      </c>
      <c r="C682" s="8" t="s">
        <v>1511</v>
      </c>
      <c r="D682" s="8" t="s">
        <v>1512</v>
      </c>
      <c r="E682" s="13">
        <v>0</v>
      </c>
      <c r="F682" s="14">
        <v>0</v>
      </c>
    </row>
    <row r="683" spans="1:6" x14ac:dyDescent="0.3">
      <c r="A683" s="8">
        <v>681</v>
      </c>
      <c r="B683" s="8" t="s">
        <v>144</v>
      </c>
      <c r="C683" s="8" t="s">
        <v>1513</v>
      </c>
      <c r="D683" s="8" t="s">
        <v>1514</v>
      </c>
      <c r="E683" s="13">
        <v>0</v>
      </c>
      <c r="F683" s="14">
        <v>0</v>
      </c>
    </row>
    <row r="684" spans="1:6" x14ac:dyDescent="0.3">
      <c r="A684" s="8">
        <v>682</v>
      </c>
      <c r="B684" s="8" t="s">
        <v>144</v>
      </c>
      <c r="C684" s="8" t="s">
        <v>1515</v>
      </c>
      <c r="D684" s="8" t="s">
        <v>1516</v>
      </c>
      <c r="E684" s="13">
        <v>0</v>
      </c>
      <c r="F684" s="14">
        <v>0</v>
      </c>
    </row>
    <row r="685" spans="1:6" x14ac:dyDescent="0.3">
      <c r="A685" s="8">
        <v>683</v>
      </c>
      <c r="B685" s="8" t="s">
        <v>144</v>
      </c>
      <c r="C685" s="8" t="s">
        <v>1517</v>
      </c>
      <c r="D685" s="8" t="s">
        <v>1518</v>
      </c>
      <c r="E685" s="13">
        <v>0</v>
      </c>
      <c r="F685" s="14">
        <v>0</v>
      </c>
    </row>
    <row r="686" spans="1:6" x14ac:dyDescent="0.3">
      <c r="A686" s="8">
        <v>684</v>
      </c>
      <c r="B686" s="8" t="s">
        <v>144</v>
      </c>
      <c r="C686" s="8" t="s">
        <v>1519</v>
      </c>
      <c r="D686" s="8" t="s">
        <v>1520</v>
      </c>
      <c r="E686" s="13">
        <v>0</v>
      </c>
      <c r="F686" s="14">
        <v>0</v>
      </c>
    </row>
    <row r="687" spans="1:6" x14ac:dyDescent="0.3">
      <c r="A687" s="8">
        <v>685</v>
      </c>
      <c r="B687" s="8" t="s">
        <v>144</v>
      </c>
      <c r="C687" s="8" t="s">
        <v>1521</v>
      </c>
      <c r="D687" s="8" t="s">
        <v>1522</v>
      </c>
      <c r="E687" s="13">
        <v>0</v>
      </c>
      <c r="F687" s="14">
        <v>0</v>
      </c>
    </row>
    <row r="688" spans="1:6" x14ac:dyDescent="0.3">
      <c r="A688" s="8">
        <v>686</v>
      </c>
      <c r="B688" s="8" t="s">
        <v>144</v>
      </c>
      <c r="C688" s="8" t="s">
        <v>1523</v>
      </c>
      <c r="D688" s="8" t="s">
        <v>1524</v>
      </c>
      <c r="E688" s="13">
        <v>0</v>
      </c>
      <c r="F688" s="14">
        <v>0</v>
      </c>
    </row>
    <row r="689" spans="1:6" x14ac:dyDescent="0.3">
      <c r="A689" s="8">
        <v>687</v>
      </c>
      <c r="B689" s="8" t="s">
        <v>144</v>
      </c>
      <c r="C689" s="8" t="s">
        <v>1525</v>
      </c>
      <c r="D689" s="8" t="s">
        <v>1526</v>
      </c>
      <c r="E689" s="13">
        <v>0</v>
      </c>
      <c r="F689" s="14">
        <v>0</v>
      </c>
    </row>
    <row r="690" spans="1:6" x14ac:dyDescent="0.3">
      <c r="A690" s="8">
        <v>688</v>
      </c>
      <c r="B690" s="8" t="s">
        <v>144</v>
      </c>
      <c r="C690" s="8" t="s">
        <v>1527</v>
      </c>
      <c r="D690" s="8" t="s">
        <v>1528</v>
      </c>
      <c r="E690" s="13">
        <v>0</v>
      </c>
      <c r="F690" s="14">
        <v>0</v>
      </c>
    </row>
    <row r="691" spans="1:6" x14ac:dyDescent="0.3">
      <c r="A691" s="8">
        <v>689</v>
      </c>
      <c r="B691" s="8" t="s">
        <v>144</v>
      </c>
      <c r="C691" s="8" t="s">
        <v>1529</v>
      </c>
      <c r="D691" s="8" t="s">
        <v>1530</v>
      </c>
      <c r="E691" s="13">
        <v>0</v>
      </c>
      <c r="F691" s="14">
        <v>0</v>
      </c>
    </row>
    <row r="692" spans="1:6" x14ac:dyDescent="0.3">
      <c r="A692" s="8">
        <v>690</v>
      </c>
      <c r="B692" s="8" t="s">
        <v>144</v>
      </c>
      <c r="C692" s="8" t="s">
        <v>1531</v>
      </c>
      <c r="D692" s="8" t="s">
        <v>1532</v>
      </c>
      <c r="E692" s="13">
        <v>0</v>
      </c>
      <c r="F692" s="14">
        <v>0</v>
      </c>
    </row>
    <row r="693" spans="1:6" x14ac:dyDescent="0.3">
      <c r="A693" s="8">
        <v>691</v>
      </c>
      <c r="B693" s="8" t="s">
        <v>144</v>
      </c>
      <c r="C693" s="8" t="s">
        <v>1533</v>
      </c>
      <c r="D693" s="8" t="s">
        <v>1534</v>
      </c>
      <c r="E693" s="13">
        <v>0</v>
      </c>
      <c r="F693" s="14">
        <v>0</v>
      </c>
    </row>
    <row r="694" spans="1:6" x14ac:dyDescent="0.3">
      <c r="A694" s="8">
        <v>692</v>
      </c>
      <c r="B694" s="8" t="s">
        <v>144</v>
      </c>
      <c r="C694" s="8" t="s">
        <v>1535</v>
      </c>
      <c r="D694" s="8" t="s">
        <v>1536</v>
      </c>
      <c r="E694" s="13">
        <v>128000</v>
      </c>
      <c r="F694" s="14">
        <v>255556</v>
      </c>
    </row>
    <row r="695" spans="1:6" x14ac:dyDescent="0.3">
      <c r="A695" s="8">
        <v>693</v>
      </c>
      <c r="B695" s="8" t="s">
        <v>144</v>
      </c>
      <c r="C695" s="8" t="s">
        <v>1537</v>
      </c>
      <c r="D695" s="8" t="s">
        <v>1538</v>
      </c>
      <c r="E695" s="13">
        <v>0</v>
      </c>
      <c r="F695" s="14">
        <v>0</v>
      </c>
    </row>
    <row r="696" spans="1:6" x14ac:dyDescent="0.3">
      <c r="A696" s="8">
        <v>694</v>
      </c>
      <c r="B696" s="8" t="s">
        <v>144</v>
      </c>
      <c r="C696" s="8" t="s">
        <v>1539</v>
      </c>
      <c r="D696" s="8" t="s">
        <v>1540</v>
      </c>
      <c r="E696" s="13">
        <v>0</v>
      </c>
      <c r="F696" s="14">
        <v>0</v>
      </c>
    </row>
    <row r="697" spans="1:6" x14ac:dyDescent="0.3">
      <c r="A697" s="8">
        <v>695</v>
      </c>
      <c r="B697" s="8" t="s">
        <v>1335</v>
      </c>
      <c r="C697" s="8" t="s">
        <v>1541</v>
      </c>
      <c r="D697" s="8" t="s">
        <v>1542</v>
      </c>
      <c r="E697" s="13">
        <v>0</v>
      </c>
      <c r="F697" s="14">
        <v>0</v>
      </c>
    </row>
    <row r="698" spans="1:6" x14ac:dyDescent="0.3">
      <c r="A698" s="8">
        <v>696</v>
      </c>
      <c r="B698" s="8" t="s">
        <v>1335</v>
      </c>
      <c r="C698" s="8" t="s">
        <v>1543</v>
      </c>
      <c r="D698" s="8" t="s">
        <v>79</v>
      </c>
      <c r="E698" s="13">
        <v>2600</v>
      </c>
      <c r="F698" s="14">
        <v>3636</v>
      </c>
    </row>
    <row r="699" spans="1:6" x14ac:dyDescent="0.3">
      <c r="A699" s="8">
        <v>697</v>
      </c>
      <c r="B699" s="8" t="s">
        <v>275</v>
      </c>
      <c r="C699" s="8" t="s">
        <v>1544</v>
      </c>
      <c r="D699" s="8" t="s">
        <v>1545</v>
      </c>
      <c r="E699" s="13">
        <v>21000</v>
      </c>
      <c r="F699" s="14">
        <v>41667</v>
      </c>
    </row>
    <row r="700" spans="1:6" x14ac:dyDescent="0.3">
      <c r="A700" s="8">
        <v>698</v>
      </c>
      <c r="B700" s="8" t="s">
        <v>275</v>
      </c>
      <c r="C700" s="8" t="s">
        <v>1546</v>
      </c>
      <c r="D700" s="8" t="s">
        <v>1547</v>
      </c>
      <c r="E700" s="13">
        <v>0</v>
      </c>
      <c r="F700" s="14">
        <v>0</v>
      </c>
    </row>
    <row r="701" spans="1:6" x14ac:dyDescent="0.3">
      <c r="A701" s="8">
        <v>699</v>
      </c>
      <c r="B701" s="8" t="s">
        <v>144</v>
      </c>
      <c r="C701" s="8" t="s">
        <v>1548</v>
      </c>
      <c r="D701" s="8" t="s">
        <v>1549</v>
      </c>
      <c r="E701" s="13">
        <v>0</v>
      </c>
      <c r="F701" s="14">
        <v>0</v>
      </c>
    </row>
    <row r="702" spans="1:6" x14ac:dyDescent="0.3">
      <c r="A702" s="8">
        <v>700</v>
      </c>
      <c r="B702" s="8" t="s">
        <v>144</v>
      </c>
      <c r="C702" s="8" t="s">
        <v>1550</v>
      </c>
      <c r="D702" s="8" t="s">
        <v>1551</v>
      </c>
      <c r="E702" s="13">
        <v>0</v>
      </c>
      <c r="F702" s="14">
        <v>0</v>
      </c>
    </row>
    <row r="703" spans="1:6" x14ac:dyDescent="0.3">
      <c r="A703" s="8">
        <v>701</v>
      </c>
      <c r="B703" s="8" t="s">
        <v>144</v>
      </c>
      <c r="C703" s="8" t="s">
        <v>1552</v>
      </c>
      <c r="D703" s="8" t="s">
        <v>1553</v>
      </c>
      <c r="E703" s="13">
        <v>0</v>
      </c>
      <c r="F703" s="14">
        <v>0</v>
      </c>
    </row>
    <row r="704" spans="1:6" x14ac:dyDescent="0.3">
      <c r="A704" s="8">
        <v>702</v>
      </c>
      <c r="B704" s="8" t="s">
        <v>144</v>
      </c>
      <c r="C704" s="8" t="s">
        <v>1554</v>
      </c>
      <c r="D704" s="8" t="s">
        <v>1555</v>
      </c>
      <c r="E704" s="13">
        <v>0</v>
      </c>
      <c r="F704" s="14">
        <v>0</v>
      </c>
    </row>
    <row r="705" spans="1:6" x14ac:dyDescent="0.3">
      <c r="A705" s="8">
        <v>703</v>
      </c>
      <c r="B705" s="8" t="s">
        <v>144</v>
      </c>
      <c r="C705" s="8" t="s">
        <v>1556</v>
      </c>
      <c r="D705" s="8" t="s">
        <v>1557</v>
      </c>
      <c r="E705" s="13">
        <v>0</v>
      </c>
      <c r="F705" s="14">
        <v>0</v>
      </c>
    </row>
    <row r="706" spans="1:6" x14ac:dyDescent="0.3">
      <c r="A706" s="8">
        <v>704</v>
      </c>
      <c r="B706" s="8" t="s">
        <v>144</v>
      </c>
      <c r="C706" s="8" t="s">
        <v>1558</v>
      </c>
      <c r="D706" s="8" t="s">
        <v>1559</v>
      </c>
      <c r="E706" s="13">
        <v>650000</v>
      </c>
      <c r="F706" s="14">
        <v>1300000</v>
      </c>
    </row>
    <row r="707" spans="1:6" x14ac:dyDescent="0.3">
      <c r="A707" s="8">
        <v>705</v>
      </c>
      <c r="B707" s="8" t="s">
        <v>144</v>
      </c>
      <c r="C707" s="8" t="s">
        <v>1560</v>
      </c>
      <c r="D707" s="8" t="s">
        <v>1561</v>
      </c>
      <c r="E707" s="13">
        <v>0</v>
      </c>
      <c r="F707" s="14">
        <v>0</v>
      </c>
    </row>
    <row r="708" spans="1:6" x14ac:dyDescent="0.3">
      <c r="A708" s="8">
        <v>706</v>
      </c>
      <c r="B708" s="8" t="s">
        <v>144</v>
      </c>
      <c r="C708" s="8" t="s">
        <v>1562</v>
      </c>
      <c r="D708" s="8" t="s">
        <v>1563</v>
      </c>
      <c r="E708" s="13">
        <v>0</v>
      </c>
      <c r="F708" s="14">
        <v>0</v>
      </c>
    </row>
    <row r="709" spans="1:6" x14ac:dyDescent="0.3">
      <c r="A709" s="8">
        <v>707</v>
      </c>
      <c r="B709" s="8" t="s">
        <v>144</v>
      </c>
      <c r="C709" s="8" t="s">
        <v>1564</v>
      </c>
      <c r="D709" s="8" t="s">
        <v>1565</v>
      </c>
      <c r="E709" s="13">
        <v>0</v>
      </c>
      <c r="F709" s="14">
        <v>0</v>
      </c>
    </row>
    <row r="710" spans="1:6" x14ac:dyDescent="0.3">
      <c r="A710" s="8">
        <v>708</v>
      </c>
      <c r="B710" s="8" t="s">
        <v>1335</v>
      </c>
      <c r="C710" s="8" t="s">
        <v>1566</v>
      </c>
      <c r="D710" s="8" t="s">
        <v>1567</v>
      </c>
      <c r="E710" s="13">
        <v>0</v>
      </c>
      <c r="F710" s="14">
        <v>0</v>
      </c>
    </row>
    <row r="711" spans="1:6" x14ac:dyDescent="0.3">
      <c r="A711" s="8">
        <v>709</v>
      </c>
      <c r="B711" s="8" t="s">
        <v>1335</v>
      </c>
      <c r="C711" s="8" t="s">
        <v>1568</v>
      </c>
      <c r="D711" s="8" t="s">
        <v>1569</v>
      </c>
      <c r="E711" s="13">
        <v>0</v>
      </c>
      <c r="F711" s="14">
        <v>0</v>
      </c>
    </row>
    <row r="712" spans="1:6" x14ac:dyDescent="0.3">
      <c r="A712" s="8">
        <v>710</v>
      </c>
      <c r="B712" s="8" t="s">
        <v>1178</v>
      </c>
      <c r="C712" s="8" t="s">
        <v>1570</v>
      </c>
      <c r="D712" s="8" t="s">
        <v>1571</v>
      </c>
      <c r="E712" s="13">
        <v>5080</v>
      </c>
      <c r="F712" s="14">
        <v>11000</v>
      </c>
    </row>
    <row r="713" spans="1:6" x14ac:dyDescent="0.3">
      <c r="A713" s="8">
        <v>711</v>
      </c>
      <c r="B713" s="8" t="s">
        <v>1178</v>
      </c>
      <c r="C713" s="8" t="s">
        <v>1572</v>
      </c>
      <c r="D713" s="8" t="s">
        <v>1573</v>
      </c>
      <c r="E713" s="13">
        <v>0</v>
      </c>
      <c r="F713" s="14">
        <v>0</v>
      </c>
    </row>
    <row r="714" spans="1:6" x14ac:dyDescent="0.3">
      <c r="A714" s="8">
        <v>712</v>
      </c>
      <c r="B714" s="8" t="s">
        <v>1178</v>
      </c>
      <c r="C714" s="8" t="s">
        <v>1574</v>
      </c>
      <c r="D714" s="8" t="s">
        <v>1575</v>
      </c>
      <c r="E714" s="13">
        <v>0</v>
      </c>
      <c r="F714" s="14">
        <v>0</v>
      </c>
    </row>
    <row r="715" spans="1:6" x14ac:dyDescent="0.3">
      <c r="A715" s="8">
        <v>713</v>
      </c>
      <c r="B715" s="8" t="s">
        <v>1178</v>
      </c>
      <c r="C715" s="8" t="s">
        <v>1576</v>
      </c>
      <c r="D715" s="8" t="s">
        <v>1577</v>
      </c>
      <c r="E715" s="13">
        <v>0</v>
      </c>
      <c r="F715" s="14">
        <v>0</v>
      </c>
    </row>
    <row r="716" spans="1:6" x14ac:dyDescent="0.3">
      <c r="A716" s="8">
        <v>714</v>
      </c>
      <c r="B716" s="8" t="s">
        <v>282</v>
      </c>
      <c r="C716" s="8" t="s">
        <v>1578</v>
      </c>
      <c r="D716" s="8" t="s">
        <v>1579</v>
      </c>
      <c r="E716" s="13">
        <v>0</v>
      </c>
      <c r="F716" s="14">
        <v>0</v>
      </c>
    </row>
    <row r="717" spans="1:6" x14ac:dyDescent="0.3">
      <c r="A717" s="8">
        <v>715</v>
      </c>
      <c r="B717" s="8" t="s">
        <v>282</v>
      </c>
      <c r="C717" s="8" t="s">
        <v>1580</v>
      </c>
      <c r="D717" s="8" t="s">
        <v>1581</v>
      </c>
      <c r="E717" s="13">
        <v>0</v>
      </c>
      <c r="F717" s="14">
        <v>0</v>
      </c>
    </row>
    <row r="718" spans="1:6" x14ac:dyDescent="0.3">
      <c r="A718" s="8">
        <v>716</v>
      </c>
      <c r="B718" s="8" t="s">
        <v>1582</v>
      </c>
      <c r="C718" s="8" t="s">
        <v>1583</v>
      </c>
      <c r="D718" s="8" t="s">
        <v>1584</v>
      </c>
      <c r="E718" s="13">
        <v>0</v>
      </c>
      <c r="F718" s="14">
        <v>0</v>
      </c>
    </row>
    <row r="719" spans="1:6" x14ac:dyDescent="0.3">
      <c r="A719" s="8">
        <v>717</v>
      </c>
      <c r="B719" s="8" t="s">
        <v>287</v>
      </c>
      <c r="C719" s="8" t="s">
        <v>1585</v>
      </c>
      <c r="D719" s="8" t="s">
        <v>1586</v>
      </c>
      <c r="E719" s="13">
        <v>0</v>
      </c>
      <c r="F719" s="14">
        <v>0</v>
      </c>
    </row>
    <row r="720" spans="1:6" x14ac:dyDescent="0.3">
      <c r="A720" s="8">
        <v>718</v>
      </c>
      <c r="B720" s="8" t="s">
        <v>1259</v>
      </c>
      <c r="C720" s="8" t="s">
        <v>1587</v>
      </c>
      <c r="D720" s="8" t="s">
        <v>1588</v>
      </c>
      <c r="E720" s="13">
        <v>29140</v>
      </c>
      <c r="F720" s="14">
        <v>43000</v>
      </c>
    </row>
    <row r="721" spans="1:6" x14ac:dyDescent="0.3">
      <c r="A721" s="8">
        <v>719</v>
      </c>
      <c r="B721" s="8" t="s">
        <v>1259</v>
      </c>
      <c r="C721" s="8" t="s">
        <v>1589</v>
      </c>
      <c r="D721" s="8" t="s">
        <v>1590</v>
      </c>
      <c r="E721" s="13">
        <v>0</v>
      </c>
      <c r="F721" s="14">
        <v>0</v>
      </c>
    </row>
    <row r="722" spans="1:6" x14ac:dyDescent="0.3">
      <c r="A722" s="8">
        <v>720</v>
      </c>
      <c r="B722" s="8" t="s">
        <v>1259</v>
      </c>
      <c r="C722" s="8" t="s">
        <v>1591</v>
      </c>
      <c r="D722" s="8" t="s">
        <v>1592</v>
      </c>
      <c r="E722" s="13">
        <v>0</v>
      </c>
      <c r="F722" s="14">
        <v>0</v>
      </c>
    </row>
    <row r="723" spans="1:6" x14ac:dyDescent="0.3">
      <c r="A723" s="8">
        <v>721</v>
      </c>
      <c r="B723" s="8" t="s">
        <v>1259</v>
      </c>
      <c r="C723" s="8" t="s">
        <v>1593</v>
      </c>
      <c r="D723" s="8" t="s">
        <v>1594</v>
      </c>
      <c r="E723" s="13">
        <v>0</v>
      </c>
      <c r="F723" s="14">
        <v>0</v>
      </c>
    </row>
    <row r="724" spans="1:6" x14ac:dyDescent="0.3">
      <c r="A724" s="8">
        <v>722</v>
      </c>
      <c r="B724" s="8" t="s">
        <v>1259</v>
      </c>
      <c r="C724" s="8" t="s">
        <v>1595</v>
      </c>
      <c r="D724" s="8" t="s">
        <v>1596</v>
      </c>
      <c r="E724" s="13">
        <v>0</v>
      </c>
      <c r="F724" s="14">
        <v>0</v>
      </c>
    </row>
    <row r="725" spans="1:6" x14ac:dyDescent="0.3">
      <c r="A725" s="8">
        <v>723</v>
      </c>
      <c r="B725" s="8" t="s">
        <v>1259</v>
      </c>
      <c r="C725" s="8" t="s">
        <v>1597</v>
      </c>
      <c r="D725" s="8" t="s">
        <v>1598</v>
      </c>
      <c r="E725" s="13">
        <v>0</v>
      </c>
      <c r="F725" s="14">
        <v>0</v>
      </c>
    </row>
    <row r="726" spans="1:6" x14ac:dyDescent="0.3">
      <c r="A726" s="8">
        <v>724</v>
      </c>
      <c r="B726" s="8" t="s">
        <v>144</v>
      </c>
      <c r="C726" s="8" t="s">
        <v>1599</v>
      </c>
      <c r="D726" s="8" t="s">
        <v>1600</v>
      </c>
      <c r="E726" s="13">
        <v>0</v>
      </c>
      <c r="F726" s="14">
        <v>0</v>
      </c>
    </row>
    <row r="727" spans="1:6" x14ac:dyDescent="0.3">
      <c r="A727" s="8">
        <v>725</v>
      </c>
      <c r="B727" s="8" t="s">
        <v>144</v>
      </c>
      <c r="C727" s="8" t="s">
        <v>1601</v>
      </c>
      <c r="D727" s="8" t="s">
        <v>1602</v>
      </c>
      <c r="E727" s="13">
        <v>0</v>
      </c>
      <c r="F727" s="14">
        <v>0</v>
      </c>
    </row>
    <row r="728" spans="1:6" x14ac:dyDescent="0.3">
      <c r="A728" s="8">
        <v>726</v>
      </c>
      <c r="B728" s="8" t="s">
        <v>144</v>
      </c>
      <c r="C728" s="8" t="s">
        <v>1603</v>
      </c>
      <c r="D728" s="8" t="s">
        <v>1604</v>
      </c>
      <c r="E728" s="13">
        <v>0</v>
      </c>
      <c r="F728" s="14">
        <v>0</v>
      </c>
    </row>
    <row r="729" spans="1:6" x14ac:dyDescent="0.3">
      <c r="A729" s="8">
        <v>727</v>
      </c>
      <c r="B729" s="8" t="s">
        <v>144</v>
      </c>
      <c r="C729" s="8" t="s">
        <v>1605</v>
      </c>
      <c r="D729" s="8" t="s">
        <v>1606</v>
      </c>
      <c r="E729" s="13">
        <v>0</v>
      </c>
      <c r="F729" s="14">
        <v>0</v>
      </c>
    </row>
    <row r="730" spans="1:6" x14ac:dyDescent="0.3">
      <c r="A730" s="8">
        <v>728</v>
      </c>
      <c r="B730" s="8" t="s">
        <v>144</v>
      </c>
      <c r="C730" s="8" t="s">
        <v>1607</v>
      </c>
      <c r="D730" s="8" t="s">
        <v>1608</v>
      </c>
      <c r="E730" s="13">
        <v>0</v>
      </c>
      <c r="F730" s="14">
        <v>480000</v>
      </c>
    </row>
    <row r="731" spans="1:6" x14ac:dyDescent="0.3">
      <c r="A731" s="8">
        <v>729</v>
      </c>
      <c r="B731" s="8" t="s">
        <v>144</v>
      </c>
      <c r="C731" s="8" t="s">
        <v>1609</v>
      </c>
      <c r="D731" s="8" t="s">
        <v>1610</v>
      </c>
      <c r="E731" s="13">
        <v>0</v>
      </c>
      <c r="F731" s="14">
        <v>0</v>
      </c>
    </row>
    <row r="732" spans="1:6" x14ac:dyDescent="0.3">
      <c r="A732" s="8">
        <v>730</v>
      </c>
      <c r="B732" s="8" t="s">
        <v>144</v>
      </c>
      <c r="C732" s="8" t="s">
        <v>1611</v>
      </c>
      <c r="D732" s="8" t="s">
        <v>1612</v>
      </c>
      <c r="E732" s="13">
        <v>0</v>
      </c>
      <c r="F732" s="14">
        <v>0</v>
      </c>
    </row>
    <row r="733" spans="1:6" x14ac:dyDescent="0.3">
      <c r="A733" s="8">
        <v>731</v>
      </c>
      <c r="B733" s="8" t="s">
        <v>144</v>
      </c>
      <c r="C733" s="8" t="s">
        <v>1613</v>
      </c>
      <c r="D733" s="8" t="s">
        <v>1614</v>
      </c>
      <c r="E733" s="13">
        <v>0</v>
      </c>
      <c r="F733" s="14">
        <v>0</v>
      </c>
    </row>
    <row r="734" spans="1:6" x14ac:dyDescent="0.3">
      <c r="A734" s="8">
        <v>732</v>
      </c>
      <c r="B734" s="8" t="s">
        <v>144</v>
      </c>
      <c r="C734" s="8" t="s">
        <v>1615</v>
      </c>
      <c r="D734" s="8" t="s">
        <v>1616</v>
      </c>
      <c r="E734" s="13">
        <v>0</v>
      </c>
      <c r="F734" s="14">
        <v>0</v>
      </c>
    </row>
    <row r="735" spans="1:6" x14ac:dyDescent="0.3">
      <c r="A735" s="8">
        <v>733</v>
      </c>
      <c r="B735" s="8" t="s">
        <v>144</v>
      </c>
      <c r="C735" s="8" t="s">
        <v>1617</v>
      </c>
      <c r="D735" s="8" t="s">
        <v>1618</v>
      </c>
      <c r="E735" s="13">
        <v>80000</v>
      </c>
      <c r="F735" s="14">
        <v>160185</v>
      </c>
    </row>
    <row r="736" spans="1:6" x14ac:dyDescent="0.3">
      <c r="A736" s="8">
        <v>734</v>
      </c>
      <c r="B736" s="8" t="s">
        <v>144</v>
      </c>
      <c r="C736" s="8" t="s">
        <v>1619</v>
      </c>
      <c r="D736" s="8" t="s">
        <v>1620</v>
      </c>
      <c r="E736" s="13">
        <v>0</v>
      </c>
      <c r="F736" s="14">
        <v>0</v>
      </c>
    </row>
    <row r="737" spans="1:6" x14ac:dyDescent="0.3">
      <c r="A737" s="8">
        <v>735</v>
      </c>
      <c r="B737" s="8" t="s">
        <v>144</v>
      </c>
      <c r="C737" s="8" t="s">
        <v>1621</v>
      </c>
      <c r="D737" s="8" t="s">
        <v>1622</v>
      </c>
      <c r="E737" s="13">
        <v>0</v>
      </c>
      <c r="F737" s="14">
        <v>0</v>
      </c>
    </row>
    <row r="738" spans="1:6" x14ac:dyDescent="0.3">
      <c r="A738" s="8">
        <v>736</v>
      </c>
      <c r="B738" s="8" t="s">
        <v>144</v>
      </c>
      <c r="C738" s="8" t="s">
        <v>1623</v>
      </c>
      <c r="D738" s="8" t="s">
        <v>1624</v>
      </c>
      <c r="E738" s="13">
        <v>0</v>
      </c>
      <c r="F738" s="14">
        <v>0</v>
      </c>
    </row>
    <row r="739" spans="1:6" x14ac:dyDescent="0.3">
      <c r="A739" s="8">
        <v>737</v>
      </c>
      <c r="B739" s="8" t="s">
        <v>144</v>
      </c>
      <c r="C739" s="8" t="s">
        <v>1625</v>
      </c>
      <c r="D739" s="8" t="s">
        <v>1626</v>
      </c>
      <c r="E739" s="13">
        <v>0</v>
      </c>
      <c r="F739" s="14">
        <v>0</v>
      </c>
    </row>
    <row r="740" spans="1:6" x14ac:dyDescent="0.3">
      <c r="A740" s="8">
        <v>738</v>
      </c>
      <c r="B740" s="8" t="s">
        <v>144</v>
      </c>
      <c r="C740" s="8" t="s">
        <v>1627</v>
      </c>
      <c r="D740" s="8" t="s">
        <v>1628</v>
      </c>
      <c r="E740" s="13">
        <v>0</v>
      </c>
      <c r="F740" s="14">
        <v>0</v>
      </c>
    </row>
    <row r="741" spans="1:6" x14ac:dyDescent="0.3">
      <c r="A741" s="8">
        <v>739</v>
      </c>
      <c r="B741" s="8" t="s">
        <v>144</v>
      </c>
      <c r="C741" s="8" t="s">
        <v>1629</v>
      </c>
      <c r="D741" s="8" t="s">
        <v>1630</v>
      </c>
      <c r="E741" s="13">
        <v>0</v>
      </c>
      <c r="F741" s="14">
        <v>0</v>
      </c>
    </row>
    <row r="742" spans="1:6" x14ac:dyDescent="0.3">
      <c r="A742" s="8">
        <v>740</v>
      </c>
      <c r="B742" s="8" t="s">
        <v>144</v>
      </c>
      <c r="C742" s="8" t="s">
        <v>1631</v>
      </c>
      <c r="D742" s="8" t="s">
        <v>1632</v>
      </c>
      <c r="E742" s="13">
        <v>0</v>
      </c>
      <c r="F742" s="14">
        <v>0</v>
      </c>
    </row>
    <row r="743" spans="1:6" x14ac:dyDescent="0.3">
      <c r="A743" s="8">
        <v>741</v>
      </c>
      <c r="B743" s="8" t="s">
        <v>144</v>
      </c>
      <c r="C743" s="8" t="s">
        <v>1633</v>
      </c>
      <c r="D743" s="8" t="s">
        <v>1634</v>
      </c>
      <c r="E743" s="13">
        <v>0</v>
      </c>
      <c r="F743" s="14">
        <v>0</v>
      </c>
    </row>
    <row r="744" spans="1:6" x14ac:dyDescent="0.3">
      <c r="A744" s="8">
        <v>742</v>
      </c>
      <c r="B744" s="8" t="s">
        <v>144</v>
      </c>
      <c r="C744" s="8" t="s">
        <v>1635</v>
      </c>
      <c r="D744" s="8" t="s">
        <v>1636</v>
      </c>
      <c r="E744" s="13">
        <v>0</v>
      </c>
      <c r="F744" s="14">
        <v>0</v>
      </c>
    </row>
    <row r="745" spans="1:6" x14ac:dyDescent="0.3">
      <c r="A745" s="8">
        <v>743</v>
      </c>
      <c r="B745" s="8" t="s">
        <v>144</v>
      </c>
      <c r="C745" s="8" t="s">
        <v>1637</v>
      </c>
      <c r="D745" s="8" t="s">
        <v>1638</v>
      </c>
      <c r="E745" s="13">
        <v>0</v>
      </c>
      <c r="F745" s="14">
        <v>0</v>
      </c>
    </row>
    <row r="746" spans="1:6" x14ac:dyDescent="0.3">
      <c r="A746" s="8">
        <v>744</v>
      </c>
      <c r="B746" s="8" t="s">
        <v>144</v>
      </c>
      <c r="C746" s="8" t="s">
        <v>1639</v>
      </c>
      <c r="D746" s="8" t="s">
        <v>1640</v>
      </c>
      <c r="E746" s="13">
        <v>0</v>
      </c>
      <c r="F746" s="14">
        <v>0</v>
      </c>
    </row>
    <row r="747" spans="1:6" x14ac:dyDescent="0.3">
      <c r="A747" s="8">
        <v>745</v>
      </c>
      <c r="B747" s="8" t="s">
        <v>144</v>
      </c>
      <c r="C747" s="8" t="s">
        <v>1641</v>
      </c>
      <c r="D747" s="8" t="s">
        <v>1642</v>
      </c>
      <c r="E747" s="13">
        <v>0</v>
      </c>
      <c r="F747" s="14">
        <v>0</v>
      </c>
    </row>
    <row r="748" spans="1:6" x14ac:dyDescent="0.3">
      <c r="A748" s="8">
        <v>746</v>
      </c>
      <c r="B748" s="8" t="s">
        <v>144</v>
      </c>
      <c r="C748" s="8" t="s">
        <v>1643</v>
      </c>
      <c r="D748" s="8" t="s">
        <v>1644</v>
      </c>
      <c r="E748" s="13">
        <v>0</v>
      </c>
      <c r="F748" s="14">
        <v>0</v>
      </c>
    </row>
    <row r="749" spans="1:6" x14ac:dyDescent="0.3">
      <c r="A749" s="8">
        <v>747</v>
      </c>
      <c r="B749" s="8" t="s">
        <v>275</v>
      </c>
      <c r="C749" s="8" t="s">
        <v>1645</v>
      </c>
      <c r="D749" s="8" t="s">
        <v>1646</v>
      </c>
      <c r="E749" s="13">
        <v>0</v>
      </c>
      <c r="F749" s="14">
        <v>0</v>
      </c>
    </row>
    <row r="750" spans="1:6" x14ac:dyDescent="0.3">
      <c r="A750" s="8">
        <v>748</v>
      </c>
      <c r="B750" s="8" t="s">
        <v>144</v>
      </c>
      <c r="C750" s="8" t="s">
        <v>1647</v>
      </c>
      <c r="D750" s="8" t="s">
        <v>1648</v>
      </c>
      <c r="E750" s="13">
        <v>0</v>
      </c>
      <c r="F750" s="14">
        <v>0</v>
      </c>
    </row>
    <row r="751" spans="1:6" x14ac:dyDescent="0.3">
      <c r="A751" s="8">
        <v>749</v>
      </c>
      <c r="B751" s="8" t="s">
        <v>144</v>
      </c>
      <c r="C751" s="8" t="s">
        <v>1649</v>
      </c>
      <c r="D751" s="8" t="s">
        <v>1650</v>
      </c>
      <c r="E751" s="13">
        <v>0</v>
      </c>
      <c r="F751" s="14">
        <v>0</v>
      </c>
    </row>
    <row r="752" spans="1:6" x14ac:dyDescent="0.3">
      <c r="A752" s="8">
        <v>750</v>
      </c>
      <c r="B752" s="8" t="s">
        <v>144</v>
      </c>
      <c r="C752" s="8" t="s">
        <v>1651</v>
      </c>
      <c r="D752" s="8" t="s">
        <v>1652</v>
      </c>
      <c r="E752" s="13">
        <v>126000</v>
      </c>
      <c r="F752" s="14">
        <v>251852</v>
      </c>
    </row>
    <row r="753" spans="1:6" x14ac:dyDescent="0.3">
      <c r="A753" s="8">
        <v>751</v>
      </c>
      <c r="B753" s="8" t="s">
        <v>144</v>
      </c>
      <c r="C753" s="8" t="s">
        <v>1653</v>
      </c>
      <c r="D753" s="8" t="s">
        <v>1654</v>
      </c>
      <c r="E753" s="13">
        <v>0</v>
      </c>
      <c r="F753" s="14">
        <v>0</v>
      </c>
    </row>
    <row r="754" spans="1:6" x14ac:dyDescent="0.3">
      <c r="A754" s="8">
        <v>752</v>
      </c>
      <c r="B754" s="8" t="s">
        <v>144</v>
      </c>
      <c r="C754" s="8" t="s">
        <v>1655</v>
      </c>
      <c r="D754" s="8" t="s">
        <v>1656</v>
      </c>
      <c r="E754" s="13">
        <v>0</v>
      </c>
      <c r="F754" s="14">
        <v>0</v>
      </c>
    </row>
    <row r="755" spans="1:6" x14ac:dyDescent="0.3">
      <c r="A755" s="8">
        <v>753</v>
      </c>
      <c r="B755" s="8" t="s">
        <v>144</v>
      </c>
      <c r="C755" s="8" t="s">
        <v>1657</v>
      </c>
      <c r="D755" s="8" t="s">
        <v>1658</v>
      </c>
      <c r="E755" s="13">
        <v>0</v>
      </c>
      <c r="F755" s="14">
        <v>0</v>
      </c>
    </row>
    <row r="756" spans="1:6" x14ac:dyDescent="0.3">
      <c r="A756" s="8">
        <v>754</v>
      </c>
      <c r="B756" s="8" t="s">
        <v>144</v>
      </c>
      <c r="C756" s="8" t="s">
        <v>1659</v>
      </c>
      <c r="D756" s="8" t="s">
        <v>1660</v>
      </c>
      <c r="E756" s="13">
        <v>0</v>
      </c>
      <c r="F756" s="14">
        <v>0</v>
      </c>
    </row>
    <row r="757" spans="1:6" x14ac:dyDescent="0.3">
      <c r="A757" s="8">
        <v>755</v>
      </c>
      <c r="B757" s="8" t="s">
        <v>144</v>
      </c>
      <c r="C757" s="8" t="s">
        <v>1661</v>
      </c>
      <c r="D757" s="8" t="s">
        <v>1662</v>
      </c>
      <c r="E757" s="13">
        <v>0</v>
      </c>
      <c r="F757" s="14">
        <v>0</v>
      </c>
    </row>
    <row r="758" spans="1:6" x14ac:dyDescent="0.3">
      <c r="A758" s="8">
        <v>756</v>
      </c>
      <c r="B758" s="8" t="s">
        <v>144</v>
      </c>
      <c r="C758" s="8" t="s">
        <v>1663</v>
      </c>
      <c r="D758" s="8" t="s">
        <v>1664</v>
      </c>
      <c r="E758" s="13">
        <v>0</v>
      </c>
      <c r="F758" s="14">
        <v>0</v>
      </c>
    </row>
    <row r="759" spans="1:6" x14ac:dyDescent="0.3">
      <c r="A759" s="8">
        <v>757</v>
      </c>
      <c r="B759" s="8" t="s">
        <v>144</v>
      </c>
      <c r="C759" s="8" t="s">
        <v>1665</v>
      </c>
      <c r="D759" s="8" t="s">
        <v>1666</v>
      </c>
      <c r="E759" s="13">
        <v>0</v>
      </c>
      <c r="F759" s="14">
        <v>0</v>
      </c>
    </row>
    <row r="760" spans="1:6" x14ac:dyDescent="0.3">
      <c r="A760" s="8">
        <v>758</v>
      </c>
      <c r="B760" s="8" t="s">
        <v>144</v>
      </c>
      <c r="C760" s="8" t="s">
        <v>1667</v>
      </c>
      <c r="D760" s="8" t="s">
        <v>1668</v>
      </c>
      <c r="E760" s="13">
        <v>0</v>
      </c>
      <c r="F760" s="14">
        <v>0</v>
      </c>
    </row>
    <row r="761" spans="1:6" x14ac:dyDescent="0.3">
      <c r="A761" s="8">
        <v>759</v>
      </c>
      <c r="B761" s="8" t="s">
        <v>144</v>
      </c>
      <c r="C761" s="8" t="s">
        <v>1669</v>
      </c>
      <c r="D761" s="8" t="s">
        <v>1670</v>
      </c>
      <c r="E761" s="13">
        <v>0</v>
      </c>
      <c r="F761" s="14">
        <v>0</v>
      </c>
    </row>
    <row r="762" spans="1:6" x14ac:dyDescent="0.3">
      <c r="A762" s="8">
        <v>760</v>
      </c>
      <c r="B762" s="8" t="s">
        <v>144</v>
      </c>
      <c r="C762" s="8" t="s">
        <v>1671</v>
      </c>
      <c r="D762" s="8" t="s">
        <v>1672</v>
      </c>
      <c r="E762" s="13">
        <v>0</v>
      </c>
      <c r="F762" s="14">
        <v>0</v>
      </c>
    </row>
    <row r="763" spans="1:6" x14ac:dyDescent="0.3">
      <c r="A763" s="8">
        <v>761</v>
      </c>
      <c r="B763" s="8" t="s">
        <v>144</v>
      </c>
      <c r="C763" s="8" t="s">
        <v>1673</v>
      </c>
      <c r="D763" s="8" t="s">
        <v>1674</v>
      </c>
      <c r="E763" s="13">
        <v>0</v>
      </c>
      <c r="F763" s="14">
        <v>0</v>
      </c>
    </row>
    <row r="764" spans="1:6" x14ac:dyDescent="0.3">
      <c r="A764" s="8">
        <v>762</v>
      </c>
      <c r="B764" s="8" t="s">
        <v>144</v>
      </c>
      <c r="C764" s="8" t="s">
        <v>1675</v>
      </c>
      <c r="D764" s="8" t="s">
        <v>1676</v>
      </c>
      <c r="E764" s="13">
        <v>0</v>
      </c>
      <c r="F764" s="14">
        <v>0</v>
      </c>
    </row>
    <row r="765" spans="1:6" x14ac:dyDescent="0.3">
      <c r="A765" s="8">
        <v>763</v>
      </c>
      <c r="B765" s="8" t="s">
        <v>144</v>
      </c>
      <c r="C765" s="8" t="s">
        <v>1677</v>
      </c>
      <c r="D765" s="8" t="s">
        <v>1678</v>
      </c>
      <c r="E765" s="13">
        <v>0</v>
      </c>
      <c r="F765" s="14">
        <v>0</v>
      </c>
    </row>
    <row r="766" spans="1:6" x14ac:dyDescent="0.3">
      <c r="A766" s="8">
        <v>764</v>
      </c>
      <c r="B766" s="8" t="s">
        <v>144</v>
      </c>
      <c r="C766" s="8" t="s">
        <v>1679</v>
      </c>
      <c r="D766" s="8" t="s">
        <v>1680</v>
      </c>
      <c r="E766" s="13">
        <v>0</v>
      </c>
      <c r="F766" s="14">
        <v>0</v>
      </c>
    </row>
    <row r="767" spans="1:6" x14ac:dyDescent="0.3">
      <c r="A767" s="8">
        <v>765</v>
      </c>
      <c r="B767" s="8" t="s">
        <v>275</v>
      </c>
      <c r="C767" s="8" t="s">
        <v>1681</v>
      </c>
      <c r="D767" s="8" t="s">
        <v>1682</v>
      </c>
      <c r="E767" s="13">
        <v>230000</v>
      </c>
      <c r="F767" s="14">
        <v>460185</v>
      </c>
    </row>
    <row r="768" spans="1:6" x14ac:dyDescent="0.3">
      <c r="A768" s="8">
        <v>766</v>
      </c>
      <c r="B768" s="8" t="s">
        <v>275</v>
      </c>
      <c r="C768" s="8" t="s">
        <v>1683</v>
      </c>
      <c r="D768" s="8" t="s">
        <v>1684</v>
      </c>
      <c r="E768" s="13">
        <v>0</v>
      </c>
      <c r="F768" s="14">
        <v>0</v>
      </c>
    </row>
    <row r="769" spans="1:6" x14ac:dyDescent="0.3">
      <c r="A769" s="8">
        <v>767</v>
      </c>
      <c r="B769" s="8" t="s">
        <v>275</v>
      </c>
      <c r="C769" s="8" t="s">
        <v>1685</v>
      </c>
      <c r="D769" s="8" t="s">
        <v>1686</v>
      </c>
      <c r="E769" s="13">
        <v>10400</v>
      </c>
      <c r="F769" s="14">
        <v>20370</v>
      </c>
    </row>
    <row r="770" spans="1:6" x14ac:dyDescent="0.3">
      <c r="A770" s="8">
        <v>768</v>
      </c>
      <c r="B770" s="8" t="s">
        <v>275</v>
      </c>
      <c r="C770" s="8" t="s">
        <v>1687</v>
      </c>
      <c r="D770" s="8" t="s">
        <v>1688</v>
      </c>
      <c r="E770" s="13">
        <v>0</v>
      </c>
      <c r="F770" s="14">
        <v>0</v>
      </c>
    </row>
    <row r="771" spans="1:6" x14ac:dyDescent="0.3">
      <c r="A771" s="8">
        <v>769</v>
      </c>
      <c r="B771" s="8" t="s">
        <v>275</v>
      </c>
      <c r="C771" s="8" t="s">
        <v>1689</v>
      </c>
      <c r="D771" s="8" t="s">
        <v>1690</v>
      </c>
      <c r="E771" s="13">
        <v>0</v>
      </c>
      <c r="F771" s="14">
        <v>0</v>
      </c>
    </row>
    <row r="772" spans="1:6" x14ac:dyDescent="0.3">
      <c r="A772" s="8">
        <v>770</v>
      </c>
      <c r="B772" s="8" t="s">
        <v>1178</v>
      </c>
      <c r="C772" s="8" t="s">
        <v>1691</v>
      </c>
      <c r="D772" s="8" t="s">
        <v>1692</v>
      </c>
      <c r="E772" s="13">
        <v>0</v>
      </c>
      <c r="F772" s="14">
        <v>0</v>
      </c>
    </row>
    <row r="773" spans="1:6" x14ac:dyDescent="0.3">
      <c r="A773" s="8">
        <v>771</v>
      </c>
      <c r="B773" s="8" t="s">
        <v>287</v>
      </c>
      <c r="C773" s="8" t="s">
        <v>1693</v>
      </c>
      <c r="D773" s="8" t="s">
        <v>1694</v>
      </c>
      <c r="E773" s="13">
        <v>114000</v>
      </c>
      <c r="F773" s="14">
        <v>193000</v>
      </c>
    </row>
    <row r="774" spans="1:6" x14ac:dyDescent="0.3">
      <c r="A774" s="8">
        <v>772</v>
      </c>
      <c r="B774" s="8" t="s">
        <v>144</v>
      </c>
      <c r="C774" s="8" t="s">
        <v>1695</v>
      </c>
      <c r="D774" s="8" t="s">
        <v>1696</v>
      </c>
      <c r="E774" s="13">
        <v>0</v>
      </c>
      <c r="F774" s="14">
        <v>0</v>
      </c>
    </row>
    <row r="775" spans="1:6" x14ac:dyDescent="0.3">
      <c r="A775" s="8">
        <v>773</v>
      </c>
      <c r="B775" s="8" t="s">
        <v>144</v>
      </c>
      <c r="C775" s="8" t="s">
        <v>1697</v>
      </c>
      <c r="D775" s="8" t="s">
        <v>1698</v>
      </c>
      <c r="E775" s="13">
        <v>0</v>
      </c>
      <c r="F775" s="14">
        <v>0</v>
      </c>
    </row>
    <row r="776" spans="1:6" x14ac:dyDescent="0.3">
      <c r="A776" s="8">
        <v>774</v>
      </c>
      <c r="B776" s="8" t="s">
        <v>144</v>
      </c>
      <c r="C776" s="8" t="s">
        <v>1699</v>
      </c>
      <c r="D776" s="8" t="s">
        <v>1700</v>
      </c>
      <c r="E776" s="13">
        <v>0</v>
      </c>
      <c r="F776" s="14">
        <v>0</v>
      </c>
    </row>
    <row r="777" spans="1:6" x14ac:dyDescent="0.3">
      <c r="A777" s="8">
        <v>775</v>
      </c>
      <c r="B777" s="8" t="s">
        <v>144</v>
      </c>
      <c r="C777" s="8" t="s">
        <v>1701</v>
      </c>
      <c r="D777" s="8" t="s">
        <v>1702</v>
      </c>
      <c r="E777" s="13">
        <v>0</v>
      </c>
      <c r="F777" s="14">
        <v>0</v>
      </c>
    </row>
    <row r="778" spans="1:6" x14ac:dyDescent="0.3">
      <c r="A778" s="8">
        <v>776</v>
      </c>
      <c r="B778" s="8" t="s">
        <v>144</v>
      </c>
      <c r="C778" s="8" t="s">
        <v>1703</v>
      </c>
      <c r="D778" s="8" t="s">
        <v>1704</v>
      </c>
      <c r="E778" s="13">
        <v>0</v>
      </c>
      <c r="F778" s="14">
        <v>0</v>
      </c>
    </row>
    <row r="779" spans="1:6" x14ac:dyDescent="0.3">
      <c r="A779" s="8">
        <v>777</v>
      </c>
      <c r="B779" s="8" t="s">
        <v>144</v>
      </c>
      <c r="C779" s="8" t="s">
        <v>1705</v>
      </c>
      <c r="D779" s="8" t="s">
        <v>1706</v>
      </c>
      <c r="E779" s="13">
        <v>0</v>
      </c>
      <c r="F779" s="14">
        <v>0</v>
      </c>
    </row>
    <row r="780" spans="1:6" x14ac:dyDescent="0.3">
      <c r="A780" s="8">
        <v>778</v>
      </c>
      <c r="B780" s="8" t="s">
        <v>144</v>
      </c>
      <c r="C780" s="8" t="s">
        <v>1707</v>
      </c>
      <c r="D780" s="8" t="s">
        <v>1708</v>
      </c>
      <c r="E780" s="13">
        <v>0</v>
      </c>
      <c r="F780" s="14">
        <v>0</v>
      </c>
    </row>
    <row r="781" spans="1:6" x14ac:dyDescent="0.3">
      <c r="A781" s="8">
        <v>779</v>
      </c>
      <c r="B781" s="8" t="s">
        <v>144</v>
      </c>
      <c r="C781" s="8" t="s">
        <v>1709</v>
      </c>
      <c r="D781" s="8" t="s">
        <v>1710</v>
      </c>
      <c r="E781" s="13">
        <v>0</v>
      </c>
      <c r="F781" s="14">
        <v>0</v>
      </c>
    </row>
    <row r="782" spans="1:6" x14ac:dyDescent="0.3">
      <c r="A782" s="8">
        <v>780</v>
      </c>
      <c r="B782" s="8" t="s">
        <v>144</v>
      </c>
      <c r="C782" s="8" t="s">
        <v>1711</v>
      </c>
      <c r="D782" s="8" t="s">
        <v>1712</v>
      </c>
      <c r="E782" s="13">
        <v>0</v>
      </c>
      <c r="F782" s="14">
        <v>0</v>
      </c>
    </row>
    <row r="783" spans="1:6" x14ac:dyDescent="0.3">
      <c r="A783" s="8">
        <v>781</v>
      </c>
      <c r="B783" s="8" t="s">
        <v>144</v>
      </c>
      <c r="C783" s="8" t="s">
        <v>1713</v>
      </c>
      <c r="D783" s="8" t="s">
        <v>1714</v>
      </c>
      <c r="E783" s="13">
        <v>0</v>
      </c>
      <c r="F783" s="14">
        <v>0</v>
      </c>
    </row>
    <row r="784" spans="1:6" x14ac:dyDescent="0.3">
      <c r="A784" s="8">
        <v>782</v>
      </c>
      <c r="B784" s="8" t="s">
        <v>144</v>
      </c>
      <c r="C784" s="8" t="s">
        <v>1715</v>
      </c>
      <c r="D784" s="8" t="s">
        <v>1716</v>
      </c>
      <c r="E784" s="13">
        <v>0</v>
      </c>
      <c r="F784" s="14">
        <v>0</v>
      </c>
    </row>
    <row r="785" spans="1:6" x14ac:dyDescent="0.3">
      <c r="A785" s="8">
        <v>783</v>
      </c>
      <c r="B785" s="8" t="s">
        <v>144</v>
      </c>
      <c r="C785" s="8" t="s">
        <v>1717</v>
      </c>
      <c r="D785" s="8" t="s">
        <v>1718</v>
      </c>
      <c r="E785" s="13">
        <v>0</v>
      </c>
      <c r="F785" s="14">
        <v>0</v>
      </c>
    </row>
    <row r="786" spans="1:6" x14ac:dyDescent="0.3">
      <c r="A786" s="8">
        <v>784</v>
      </c>
      <c r="B786" s="8" t="s">
        <v>144</v>
      </c>
      <c r="C786" s="8" t="s">
        <v>1719</v>
      </c>
      <c r="D786" s="8" t="s">
        <v>1720</v>
      </c>
      <c r="E786" s="13">
        <v>0</v>
      </c>
      <c r="F786" s="14">
        <v>0</v>
      </c>
    </row>
    <row r="787" spans="1:6" x14ac:dyDescent="0.3">
      <c r="A787" s="8">
        <v>785</v>
      </c>
      <c r="B787" s="8" t="s">
        <v>144</v>
      </c>
      <c r="C787" s="8" t="s">
        <v>1721</v>
      </c>
      <c r="D787" s="8" t="s">
        <v>1722</v>
      </c>
      <c r="E787" s="13">
        <v>0</v>
      </c>
      <c r="F787" s="14">
        <v>0</v>
      </c>
    </row>
    <row r="788" spans="1:6" x14ac:dyDescent="0.3">
      <c r="A788" s="8">
        <v>786</v>
      </c>
      <c r="B788" s="8" t="s">
        <v>144</v>
      </c>
      <c r="C788" s="8" t="s">
        <v>1723</v>
      </c>
      <c r="D788" s="8" t="s">
        <v>1724</v>
      </c>
      <c r="E788" s="13">
        <v>0</v>
      </c>
      <c r="F788" s="14">
        <v>0</v>
      </c>
    </row>
    <row r="789" spans="1:6" x14ac:dyDescent="0.3">
      <c r="A789" s="8">
        <v>787</v>
      </c>
      <c r="B789" s="8" t="s">
        <v>144</v>
      </c>
      <c r="C789" s="8" t="s">
        <v>1725</v>
      </c>
      <c r="D789" s="8" t="s">
        <v>1726</v>
      </c>
      <c r="E789" s="13">
        <v>0</v>
      </c>
      <c r="F789" s="14">
        <v>0</v>
      </c>
    </row>
    <row r="790" spans="1:6" x14ac:dyDescent="0.3">
      <c r="A790" s="8">
        <v>788</v>
      </c>
      <c r="B790" s="8" t="s">
        <v>275</v>
      </c>
      <c r="C790" s="8" t="s">
        <v>1727</v>
      </c>
      <c r="D790" s="8" t="s">
        <v>1728</v>
      </c>
      <c r="E790" s="13">
        <v>7400</v>
      </c>
      <c r="F790" s="14">
        <v>14815</v>
      </c>
    </row>
    <row r="791" spans="1:6" x14ac:dyDescent="0.3">
      <c r="A791" s="8">
        <v>789</v>
      </c>
      <c r="B791" s="8" t="s">
        <v>275</v>
      </c>
      <c r="C791" s="8" t="s">
        <v>1729</v>
      </c>
      <c r="D791" s="8" t="s">
        <v>1730</v>
      </c>
      <c r="E791" s="13">
        <v>21000</v>
      </c>
      <c r="F791" s="14">
        <v>41667</v>
      </c>
    </row>
    <row r="792" spans="1:6" x14ac:dyDescent="0.3">
      <c r="A792" s="8">
        <v>790</v>
      </c>
      <c r="B792" s="8" t="s">
        <v>275</v>
      </c>
      <c r="C792" s="8" t="s">
        <v>1731</v>
      </c>
      <c r="D792" s="8" t="s">
        <v>1732</v>
      </c>
      <c r="E792" s="13">
        <v>0</v>
      </c>
      <c r="F792" s="14">
        <v>0</v>
      </c>
    </row>
    <row r="793" spans="1:6" x14ac:dyDescent="0.3">
      <c r="A793" s="8">
        <v>791</v>
      </c>
      <c r="B793" s="8" t="s">
        <v>275</v>
      </c>
      <c r="C793" s="8" t="s">
        <v>1733</v>
      </c>
      <c r="D793" s="8" t="s">
        <v>1734</v>
      </c>
      <c r="E793" s="13">
        <v>0</v>
      </c>
      <c r="F793" s="14">
        <v>0</v>
      </c>
    </row>
    <row r="794" spans="1:6" x14ac:dyDescent="0.3">
      <c r="A794" s="8">
        <v>792</v>
      </c>
      <c r="B794" s="8" t="s">
        <v>1178</v>
      </c>
      <c r="C794" s="8" t="s">
        <v>1735</v>
      </c>
      <c r="D794" s="8" t="s">
        <v>1736</v>
      </c>
      <c r="E794" s="13">
        <v>0</v>
      </c>
      <c r="F794" s="14">
        <v>0</v>
      </c>
    </row>
    <row r="795" spans="1:6" x14ac:dyDescent="0.3">
      <c r="A795" s="8">
        <v>793</v>
      </c>
      <c r="B795" s="8" t="s">
        <v>282</v>
      </c>
      <c r="C795" s="8" t="s">
        <v>1737</v>
      </c>
      <c r="D795" s="8" t="s">
        <v>1738</v>
      </c>
      <c r="E795" s="13">
        <v>0</v>
      </c>
      <c r="F795" s="14">
        <v>0</v>
      </c>
    </row>
    <row r="796" spans="1:6" x14ac:dyDescent="0.3">
      <c r="A796" s="8">
        <v>794</v>
      </c>
      <c r="B796" s="8" t="s">
        <v>287</v>
      </c>
      <c r="C796" s="8" t="s">
        <v>1739</v>
      </c>
      <c r="D796" s="8" t="s">
        <v>1740</v>
      </c>
      <c r="E796" s="13">
        <v>104000</v>
      </c>
      <c r="F796" s="14">
        <v>208333</v>
      </c>
    </row>
    <row r="797" spans="1:6" x14ac:dyDescent="0.3">
      <c r="A797" s="8">
        <v>795</v>
      </c>
      <c r="B797" s="8" t="s">
        <v>287</v>
      </c>
      <c r="C797" s="8" t="s">
        <v>1741</v>
      </c>
      <c r="D797" s="8" t="s">
        <v>1742</v>
      </c>
      <c r="E797" s="13">
        <v>96900</v>
      </c>
      <c r="F797" s="14">
        <v>193519</v>
      </c>
    </row>
    <row r="798" spans="1:6" x14ac:dyDescent="0.3">
      <c r="A798" s="8">
        <v>796</v>
      </c>
      <c r="B798" s="8" t="s">
        <v>144</v>
      </c>
      <c r="C798" s="8" t="s">
        <v>1743</v>
      </c>
      <c r="D798" s="8" t="s">
        <v>1744</v>
      </c>
      <c r="E798" s="13">
        <v>0</v>
      </c>
      <c r="F798" s="14">
        <v>0</v>
      </c>
    </row>
    <row r="799" spans="1:6" x14ac:dyDescent="0.3">
      <c r="A799" s="8">
        <v>797</v>
      </c>
      <c r="B799" s="8" t="s">
        <v>144</v>
      </c>
      <c r="C799" s="8" t="s">
        <v>1745</v>
      </c>
      <c r="D799" s="8" t="s">
        <v>1746</v>
      </c>
      <c r="E799" s="13">
        <v>0</v>
      </c>
      <c r="F799" s="14">
        <v>0</v>
      </c>
    </row>
    <row r="800" spans="1:6" x14ac:dyDescent="0.3">
      <c r="A800" s="8">
        <v>798</v>
      </c>
      <c r="B800" s="8" t="s">
        <v>144</v>
      </c>
      <c r="C800" s="8" t="s">
        <v>1747</v>
      </c>
      <c r="D800" s="8" t="s">
        <v>1748</v>
      </c>
      <c r="E800" s="13">
        <v>0</v>
      </c>
      <c r="F800" s="14">
        <v>0</v>
      </c>
    </row>
    <row r="801" spans="1:6" x14ac:dyDescent="0.3">
      <c r="A801" s="8">
        <v>799</v>
      </c>
      <c r="B801" s="8" t="s">
        <v>144</v>
      </c>
      <c r="C801" s="8" t="s">
        <v>1749</v>
      </c>
      <c r="D801" s="8" t="s">
        <v>1750</v>
      </c>
      <c r="E801" s="13">
        <v>128000</v>
      </c>
      <c r="F801" s="14">
        <v>255556</v>
      </c>
    </row>
    <row r="802" spans="1:6" x14ac:dyDescent="0.3">
      <c r="A802" s="8">
        <v>800</v>
      </c>
      <c r="B802" s="8" t="s">
        <v>144</v>
      </c>
      <c r="C802" s="8" t="s">
        <v>1751</v>
      </c>
      <c r="D802" s="8" t="s">
        <v>1752</v>
      </c>
      <c r="E802" s="13">
        <v>0</v>
      </c>
      <c r="F802" s="14">
        <v>0</v>
      </c>
    </row>
    <row r="803" spans="1:6" x14ac:dyDescent="0.3">
      <c r="A803" s="8">
        <v>801</v>
      </c>
      <c r="B803" s="8" t="s">
        <v>144</v>
      </c>
      <c r="C803" s="8" t="s">
        <v>1753</v>
      </c>
      <c r="D803" s="8" t="s">
        <v>1754</v>
      </c>
      <c r="E803" s="13">
        <v>0</v>
      </c>
      <c r="F803" s="14">
        <v>0</v>
      </c>
    </row>
    <row r="804" spans="1:6" x14ac:dyDescent="0.3">
      <c r="A804" s="8">
        <v>802</v>
      </c>
      <c r="B804" s="8" t="s">
        <v>144</v>
      </c>
      <c r="C804" s="8" t="s">
        <v>1755</v>
      </c>
      <c r="D804" s="8" t="s">
        <v>1756</v>
      </c>
      <c r="E804" s="13">
        <v>0</v>
      </c>
      <c r="F804" s="14">
        <v>0</v>
      </c>
    </row>
    <row r="805" spans="1:6" x14ac:dyDescent="0.3">
      <c r="A805" s="8">
        <v>803</v>
      </c>
      <c r="B805" s="8" t="s">
        <v>144</v>
      </c>
      <c r="C805" s="8" t="s">
        <v>1757</v>
      </c>
      <c r="D805" s="8" t="s">
        <v>1758</v>
      </c>
      <c r="E805" s="13">
        <v>0</v>
      </c>
      <c r="F805" s="14">
        <v>0</v>
      </c>
    </row>
    <row r="806" spans="1:6" x14ac:dyDescent="0.3">
      <c r="A806" s="8">
        <v>804</v>
      </c>
      <c r="B806" s="8" t="s">
        <v>144</v>
      </c>
      <c r="C806" s="8" t="s">
        <v>1759</v>
      </c>
      <c r="D806" s="8" t="s">
        <v>1760</v>
      </c>
      <c r="E806" s="13">
        <v>0</v>
      </c>
      <c r="F806" s="14">
        <v>0</v>
      </c>
    </row>
    <row r="807" spans="1:6" x14ac:dyDescent="0.3">
      <c r="A807" s="8">
        <v>805</v>
      </c>
      <c r="B807" s="8" t="s">
        <v>144</v>
      </c>
      <c r="C807" s="8" t="s">
        <v>1761</v>
      </c>
      <c r="D807" s="8" t="s">
        <v>1762</v>
      </c>
      <c r="E807" s="13">
        <v>0</v>
      </c>
      <c r="F807" s="14">
        <v>0</v>
      </c>
    </row>
    <row r="808" spans="1:6" x14ac:dyDescent="0.3">
      <c r="A808" s="8">
        <v>806</v>
      </c>
      <c r="B808" s="8" t="s">
        <v>144</v>
      </c>
      <c r="C808" s="8" t="s">
        <v>1763</v>
      </c>
      <c r="D808" s="8" t="s">
        <v>1764</v>
      </c>
      <c r="E808" s="13">
        <v>0</v>
      </c>
      <c r="F808" s="14">
        <v>0</v>
      </c>
    </row>
    <row r="809" spans="1:6" x14ac:dyDescent="0.3">
      <c r="A809" s="8">
        <v>807</v>
      </c>
      <c r="B809" s="8" t="s">
        <v>144</v>
      </c>
      <c r="C809" s="8" t="s">
        <v>1765</v>
      </c>
      <c r="D809" s="8" t="s">
        <v>1766</v>
      </c>
      <c r="E809" s="13">
        <v>0</v>
      </c>
      <c r="F809" s="14">
        <v>0</v>
      </c>
    </row>
    <row r="810" spans="1:6" x14ac:dyDescent="0.3">
      <c r="A810" s="8">
        <v>808</v>
      </c>
      <c r="B810" s="8" t="s">
        <v>144</v>
      </c>
      <c r="C810" s="8" t="s">
        <v>1767</v>
      </c>
      <c r="D810" s="8" t="s">
        <v>1768</v>
      </c>
      <c r="E810" s="13">
        <v>0</v>
      </c>
      <c r="F810" s="14">
        <v>0</v>
      </c>
    </row>
    <row r="811" spans="1:6" x14ac:dyDescent="0.3">
      <c r="A811" s="8">
        <v>809</v>
      </c>
      <c r="B811" s="8" t="s">
        <v>144</v>
      </c>
      <c r="C811" s="8" t="s">
        <v>1769</v>
      </c>
      <c r="D811" s="8" t="s">
        <v>1770</v>
      </c>
      <c r="E811" s="13">
        <v>0</v>
      </c>
      <c r="F811" s="14">
        <v>0</v>
      </c>
    </row>
    <row r="812" spans="1:6" x14ac:dyDescent="0.3">
      <c r="A812" s="8">
        <v>810</v>
      </c>
      <c r="B812" s="8" t="s">
        <v>144</v>
      </c>
      <c r="C812" s="8" t="s">
        <v>1771</v>
      </c>
      <c r="D812" s="8" t="s">
        <v>1772</v>
      </c>
      <c r="E812" s="13">
        <v>0</v>
      </c>
      <c r="F812" s="14">
        <v>0</v>
      </c>
    </row>
    <row r="813" spans="1:6" x14ac:dyDescent="0.3">
      <c r="A813" s="8">
        <v>811</v>
      </c>
      <c r="B813" s="8" t="s">
        <v>144</v>
      </c>
      <c r="C813" s="8" t="s">
        <v>1773</v>
      </c>
      <c r="D813" s="8" t="s">
        <v>1774</v>
      </c>
      <c r="E813" s="13">
        <v>0</v>
      </c>
      <c r="F813" s="14">
        <v>0</v>
      </c>
    </row>
    <row r="814" spans="1:6" x14ac:dyDescent="0.3">
      <c r="A814" s="8">
        <v>812</v>
      </c>
      <c r="B814" s="8" t="s">
        <v>144</v>
      </c>
      <c r="C814" s="8" t="s">
        <v>1775</v>
      </c>
      <c r="D814" s="8" t="s">
        <v>1776</v>
      </c>
      <c r="E814" s="13">
        <v>0</v>
      </c>
      <c r="F814" s="14">
        <v>0</v>
      </c>
    </row>
    <row r="815" spans="1:6" x14ac:dyDescent="0.3">
      <c r="A815" s="8">
        <v>813</v>
      </c>
      <c r="B815" s="8" t="s">
        <v>275</v>
      </c>
      <c r="C815" s="8" t="s">
        <v>1777</v>
      </c>
      <c r="D815" s="8" t="s">
        <v>1778</v>
      </c>
      <c r="E815" s="13">
        <v>115000</v>
      </c>
      <c r="F815" s="14">
        <v>229630</v>
      </c>
    </row>
    <row r="816" spans="1:6" x14ac:dyDescent="0.3">
      <c r="A816" s="8">
        <v>814</v>
      </c>
      <c r="B816" s="8" t="s">
        <v>275</v>
      </c>
      <c r="C816" s="8" t="s">
        <v>1779</v>
      </c>
      <c r="D816" s="8" t="s">
        <v>1780</v>
      </c>
      <c r="E816" s="13">
        <v>0</v>
      </c>
      <c r="F816" s="14">
        <v>0</v>
      </c>
    </row>
    <row r="817" spans="1:6" x14ac:dyDescent="0.3">
      <c r="A817" s="8">
        <v>815</v>
      </c>
      <c r="B817" s="8" t="s">
        <v>1178</v>
      </c>
      <c r="C817" s="8" t="s">
        <v>1781</v>
      </c>
      <c r="D817" s="8" t="s">
        <v>1782</v>
      </c>
      <c r="E817" s="13">
        <v>0</v>
      </c>
      <c r="F817" s="14">
        <v>0</v>
      </c>
    </row>
    <row r="818" spans="1:6" x14ac:dyDescent="0.3">
      <c r="A818" s="8">
        <v>816</v>
      </c>
      <c r="B818" s="8" t="s">
        <v>1178</v>
      </c>
      <c r="C818" s="8" t="s">
        <v>1783</v>
      </c>
      <c r="D818" s="8" t="s">
        <v>1784</v>
      </c>
      <c r="E818" s="13">
        <v>0</v>
      </c>
      <c r="F818" s="14">
        <v>0</v>
      </c>
    </row>
    <row r="819" spans="1:6" x14ac:dyDescent="0.3">
      <c r="A819" s="8">
        <v>817</v>
      </c>
      <c r="B819" s="8" t="s">
        <v>1178</v>
      </c>
      <c r="C819" s="8" t="s">
        <v>1785</v>
      </c>
      <c r="D819" s="8" t="s">
        <v>1786</v>
      </c>
      <c r="E819" s="13">
        <v>0</v>
      </c>
      <c r="F819" s="14">
        <v>0</v>
      </c>
    </row>
    <row r="820" spans="1:6" x14ac:dyDescent="0.3">
      <c r="A820" s="8">
        <v>818</v>
      </c>
      <c r="B820" s="8" t="s">
        <v>1178</v>
      </c>
      <c r="C820" s="8" t="s">
        <v>1787</v>
      </c>
      <c r="D820" s="8" t="s">
        <v>1788</v>
      </c>
      <c r="E820" s="13">
        <v>0</v>
      </c>
      <c r="F820" s="14">
        <v>0</v>
      </c>
    </row>
    <row r="821" spans="1:6" x14ac:dyDescent="0.3">
      <c r="A821" s="8">
        <v>819</v>
      </c>
      <c r="B821" s="8" t="s">
        <v>1178</v>
      </c>
      <c r="C821" s="8" t="s">
        <v>1789</v>
      </c>
      <c r="D821" s="8" t="s">
        <v>1790</v>
      </c>
      <c r="E821" s="13">
        <v>0</v>
      </c>
      <c r="F821" s="14">
        <v>0</v>
      </c>
    </row>
    <row r="822" spans="1:6" x14ac:dyDescent="0.3">
      <c r="A822" s="8">
        <v>820</v>
      </c>
      <c r="B822" s="8" t="s">
        <v>144</v>
      </c>
      <c r="C822" s="8" t="s">
        <v>1791</v>
      </c>
      <c r="D822" s="8" t="s">
        <v>1792</v>
      </c>
      <c r="E822" s="13">
        <v>0</v>
      </c>
      <c r="F822" s="14">
        <v>0</v>
      </c>
    </row>
    <row r="823" spans="1:6" x14ac:dyDescent="0.3">
      <c r="A823" s="8">
        <v>821</v>
      </c>
      <c r="B823" s="8" t="s">
        <v>144</v>
      </c>
      <c r="C823" s="8" t="s">
        <v>1793</v>
      </c>
      <c r="D823" s="8" t="s">
        <v>1794</v>
      </c>
      <c r="E823" s="13">
        <v>180000</v>
      </c>
      <c r="F823" s="14">
        <v>360185</v>
      </c>
    </row>
    <row r="824" spans="1:6" x14ac:dyDescent="0.3">
      <c r="A824" s="8">
        <v>822</v>
      </c>
      <c r="B824" s="8" t="s">
        <v>144</v>
      </c>
      <c r="C824" s="8" t="s">
        <v>1795</v>
      </c>
      <c r="D824" s="8" t="s">
        <v>1796</v>
      </c>
      <c r="E824" s="13">
        <v>290000</v>
      </c>
      <c r="F824" s="14">
        <v>579630</v>
      </c>
    </row>
    <row r="825" spans="1:6" x14ac:dyDescent="0.3">
      <c r="A825" s="8">
        <v>823</v>
      </c>
      <c r="B825" s="8" t="s">
        <v>144</v>
      </c>
      <c r="C825" s="8" t="s">
        <v>1797</v>
      </c>
      <c r="D825" s="8" t="s">
        <v>1798</v>
      </c>
      <c r="E825" s="13">
        <v>0</v>
      </c>
      <c r="F825" s="14">
        <v>0</v>
      </c>
    </row>
    <row r="826" spans="1:6" x14ac:dyDescent="0.3">
      <c r="A826" s="8">
        <v>824</v>
      </c>
      <c r="B826" s="8" t="s">
        <v>144</v>
      </c>
      <c r="C826" s="8" t="s">
        <v>1799</v>
      </c>
      <c r="D826" s="8" t="s">
        <v>1800</v>
      </c>
      <c r="E826" s="13">
        <v>0</v>
      </c>
      <c r="F826" s="14">
        <v>0</v>
      </c>
    </row>
    <row r="827" spans="1:6" x14ac:dyDescent="0.3">
      <c r="A827" s="8">
        <v>825</v>
      </c>
      <c r="B827" s="8" t="s">
        <v>144</v>
      </c>
      <c r="C827" s="8" t="s">
        <v>1801</v>
      </c>
      <c r="D827" s="8" t="s">
        <v>1802</v>
      </c>
      <c r="E827" s="13">
        <v>0</v>
      </c>
      <c r="F827" s="14">
        <v>0</v>
      </c>
    </row>
    <row r="828" spans="1:6" x14ac:dyDescent="0.3">
      <c r="A828" s="8">
        <v>826</v>
      </c>
      <c r="B828" s="8" t="s">
        <v>144</v>
      </c>
      <c r="C828" s="8" t="s">
        <v>1803</v>
      </c>
      <c r="D828" s="8" t="s">
        <v>1804</v>
      </c>
      <c r="E828" s="13">
        <v>0</v>
      </c>
      <c r="F828" s="14">
        <v>0</v>
      </c>
    </row>
    <row r="829" spans="1:6" x14ac:dyDescent="0.3">
      <c r="A829" s="8">
        <v>827</v>
      </c>
      <c r="B829" s="8" t="s">
        <v>144</v>
      </c>
      <c r="C829" s="8" t="s">
        <v>1805</v>
      </c>
      <c r="D829" s="8" t="s">
        <v>1806</v>
      </c>
      <c r="E829" s="13">
        <v>0</v>
      </c>
      <c r="F829" s="14">
        <v>0</v>
      </c>
    </row>
    <row r="830" spans="1:6" x14ac:dyDescent="0.3">
      <c r="A830" s="8">
        <v>828</v>
      </c>
      <c r="B830" s="8" t="s">
        <v>144</v>
      </c>
      <c r="C830" s="8" t="s">
        <v>1807</v>
      </c>
      <c r="D830" s="8" t="s">
        <v>1808</v>
      </c>
      <c r="E830" s="13">
        <v>0</v>
      </c>
      <c r="F830" s="14">
        <v>0</v>
      </c>
    </row>
    <row r="831" spans="1:6" x14ac:dyDescent="0.3">
      <c r="A831" s="8">
        <v>829</v>
      </c>
      <c r="B831" s="8" t="s">
        <v>144</v>
      </c>
      <c r="C831" s="8" t="s">
        <v>1809</v>
      </c>
      <c r="D831" s="8" t="s">
        <v>1810</v>
      </c>
      <c r="E831" s="13">
        <v>0</v>
      </c>
      <c r="F831" s="14">
        <v>0</v>
      </c>
    </row>
    <row r="832" spans="1:6" x14ac:dyDescent="0.3">
      <c r="A832" s="8">
        <v>830</v>
      </c>
      <c r="B832" s="8" t="s">
        <v>144</v>
      </c>
      <c r="C832" s="8" t="s">
        <v>1811</v>
      </c>
      <c r="D832" s="8" t="s">
        <v>1812</v>
      </c>
      <c r="E832" s="13">
        <v>0</v>
      </c>
      <c r="F832" s="14">
        <v>0</v>
      </c>
    </row>
    <row r="833" spans="1:6" x14ac:dyDescent="0.3">
      <c r="A833" s="8">
        <v>831</v>
      </c>
      <c r="B833" s="8" t="s">
        <v>144</v>
      </c>
      <c r="C833" s="8" t="s">
        <v>1813</v>
      </c>
      <c r="D833" s="8" t="s">
        <v>1814</v>
      </c>
      <c r="E833" s="13">
        <v>0</v>
      </c>
      <c r="F833" s="14">
        <v>0</v>
      </c>
    </row>
    <row r="834" spans="1:6" x14ac:dyDescent="0.3">
      <c r="A834" s="8">
        <v>832</v>
      </c>
      <c r="B834" s="8" t="s">
        <v>144</v>
      </c>
      <c r="C834" s="8" t="s">
        <v>1815</v>
      </c>
      <c r="D834" s="8" t="s">
        <v>1816</v>
      </c>
      <c r="E834" s="13">
        <v>0</v>
      </c>
      <c r="F834" s="14">
        <v>0</v>
      </c>
    </row>
    <row r="835" spans="1:6" x14ac:dyDescent="0.3">
      <c r="A835" s="8">
        <v>833</v>
      </c>
      <c r="B835" s="8" t="s">
        <v>144</v>
      </c>
      <c r="C835" s="8" t="s">
        <v>1817</v>
      </c>
      <c r="D835" s="8" t="s">
        <v>1818</v>
      </c>
      <c r="E835" s="13">
        <v>0</v>
      </c>
      <c r="F835" s="14">
        <v>0</v>
      </c>
    </row>
    <row r="836" spans="1:6" x14ac:dyDescent="0.3">
      <c r="A836" s="8">
        <v>834</v>
      </c>
      <c r="B836" s="8" t="s">
        <v>144</v>
      </c>
      <c r="C836" s="8" t="s">
        <v>1819</v>
      </c>
      <c r="D836" s="8" t="s">
        <v>1820</v>
      </c>
      <c r="E836" s="13">
        <v>0</v>
      </c>
      <c r="F836" s="14">
        <v>0</v>
      </c>
    </row>
    <row r="837" spans="1:6" x14ac:dyDescent="0.3">
      <c r="A837" s="8">
        <v>835</v>
      </c>
      <c r="B837" s="8" t="s">
        <v>144</v>
      </c>
      <c r="C837" s="8" t="s">
        <v>1821</v>
      </c>
      <c r="D837" s="8" t="s">
        <v>1822</v>
      </c>
      <c r="E837" s="13">
        <v>0</v>
      </c>
      <c r="F837" s="14">
        <v>0</v>
      </c>
    </row>
    <row r="838" spans="1:6" x14ac:dyDescent="0.3">
      <c r="A838" s="8">
        <v>836</v>
      </c>
      <c r="B838" s="8" t="s">
        <v>144</v>
      </c>
      <c r="C838" s="8" t="s">
        <v>1823</v>
      </c>
      <c r="D838" s="8" t="s">
        <v>1824</v>
      </c>
      <c r="E838" s="13">
        <v>0</v>
      </c>
      <c r="F838" s="14">
        <v>0</v>
      </c>
    </row>
    <row r="839" spans="1:6" x14ac:dyDescent="0.3">
      <c r="A839" s="8">
        <v>837</v>
      </c>
      <c r="B839" s="8" t="s">
        <v>144</v>
      </c>
      <c r="C839" s="8" t="s">
        <v>1825</v>
      </c>
      <c r="D839" s="8" t="s">
        <v>1826</v>
      </c>
      <c r="E839" s="13">
        <v>0</v>
      </c>
      <c r="F839" s="14">
        <v>0</v>
      </c>
    </row>
    <row r="840" spans="1:6" x14ac:dyDescent="0.3">
      <c r="A840" s="8">
        <v>838</v>
      </c>
      <c r="B840" s="8" t="s">
        <v>144</v>
      </c>
      <c r="C840" s="8" t="s">
        <v>1827</v>
      </c>
      <c r="D840" s="8" t="s">
        <v>1828</v>
      </c>
      <c r="E840" s="13">
        <v>0</v>
      </c>
      <c r="F840" s="14">
        <v>0</v>
      </c>
    </row>
    <row r="841" spans="1:6" x14ac:dyDescent="0.3">
      <c r="A841" s="8">
        <v>839</v>
      </c>
      <c r="B841" s="8" t="s">
        <v>144</v>
      </c>
      <c r="C841" s="8" t="s">
        <v>1829</v>
      </c>
      <c r="D841" s="8" t="s">
        <v>1830</v>
      </c>
      <c r="E841" s="13">
        <v>0</v>
      </c>
      <c r="F841" s="14">
        <v>0</v>
      </c>
    </row>
    <row r="842" spans="1:6" x14ac:dyDescent="0.3">
      <c r="A842" s="8">
        <v>840</v>
      </c>
      <c r="B842" s="8" t="s">
        <v>144</v>
      </c>
      <c r="C842" s="8" t="s">
        <v>1831</v>
      </c>
      <c r="D842" s="8" t="s">
        <v>1832</v>
      </c>
      <c r="E842" s="13">
        <v>0</v>
      </c>
      <c r="F842" s="14">
        <v>0</v>
      </c>
    </row>
    <row r="843" spans="1:6" x14ac:dyDescent="0.3">
      <c r="A843" s="8">
        <v>841</v>
      </c>
      <c r="B843" s="8" t="s">
        <v>144</v>
      </c>
      <c r="C843" s="8" t="s">
        <v>1833</v>
      </c>
      <c r="D843" s="8" t="s">
        <v>1834</v>
      </c>
      <c r="E843" s="13">
        <v>0</v>
      </c>
      <c r="F843" s="14">
        <v>0</v>
      </c>
    </row>
    <row r="844" spans="1:6" x14ac:dyDescent="0.3">
      <c r="A844" s="8">
        <v>842</v>
      </c>
      <c r="B844" s="8" t="s">
        <v>275</v>
      </c>
      <c r="C844" s="8" t="s">
        <v>1835</v>
      </c>
      <c r="D844" s="8" t="s">
        <v>1836</v>
      </c>
      <c r="E844" s="13">
        <v>0</v>
      </c>
      <c r="F844" s="14">
        <v>0</v>
      </c>
    </row>
    <row r="845" spans="1:6" x14ac:dyDescent="0.3">
      <c r="A845" s="8">
        <v>843</v>
      </c>
      <c r="B845" s="8" t="s">
        <v>275</v>
      </c>
      <c r="C845" s="8" t="s">
        <v>1837</v>
      </c>
      <c r="D845" s="8" t="s">
        <v>1838</v>
      </c>
      <c r="E845" s="13">
        <v>0</v>
      </c>
      <c r="F845" s="14">
        <v>0</v>
      </c>
    </row>
    <row r="846" spans="1:6" x14ac:dyDescent="0.3">
      <c r="A846" s="8">
        <v>844</v>
      </c>
      <c r="B846" s="8" t="s">
        <v>144</v>
      </c>
      <c r="C846" s="8" t="s">
        <v>1839</v>
      </c>
      <c r="D846" s="8" t="s">
        <v>1840</v>
      </c>
      <c r="E846" s="13">
        <v>0</v>
      </c>
      <c r="F846" s="14">
        <v>0</v>
      </c>
    </row>
    <row r="847" spans="1:6" x14ac:dyDescent="0.3">
      <c r="A847" s="8">
        <v>845</v>
      </c>
      <c r="B847" s="8" t="s">
        <v>144</v>
      </c>
      <c r="C847" s="8" t="s">
        <v>1841</v>
      </c>
      <c r="D847" s="8" t="s">
        <v>1842</v>
      </c>
      <c r="E847" s="13">
        <v>113000</v>
      </c>
      <c r="F847" s="14">
        <v>225926</v>
      </c>
    </row>
    <row r="848" spans="1:6" x14ac:dyDescent="0.3">
      <c r="A848" s="8">
        <v>846</v>
      </c>
      <c r="B848" s="8" t="s">
        <v>144</v>
      </c>
      <c r="C848" s="8" t="s">
        <v>1843</v>
      </c>
      <c r="D848" s="8" t="s">
        <v>1844</v>
      </c>
      <c r="E848" s="13">
        <v>0</v>
      </c>
      <c r="F848" s="14">
        <v>0</v>
      </c>
    </row>
    <row r="849" spans="1:6" x14ac:dyDescent="0.3">
      <c r="A849" s="8">
        <v>847</v>
      </c>
      <c r="B849" s="8" t="s">
        <v>144</v>
      </c>
      <c r="C849" s="8" t="s">
        <v>1845</v>
      </c>
      <c r="D849" s="8" t="s">
        <v>1846</v>
      </c>
      <c r="E849" s="13">
        <v>0</v>
      </c>
      <c r="F849" s="14">
        <v>0</v>
      </c>
    </row>
    <row r="850" spans="1:6" x14ac:dyDescent="0.3">
      <c r="A850" s="8">
        <v>848</v>
      </c>
      <c r="B850" s="8" t="s">
        <v>144</v>
      </c>
      <c r="C850" s="8" t="s">
        <v>1847</v>
      </c>
      <c r="D850" s="8" t="s">
        <v>1848</v>
      </c>
      <c r="E850" s="13">
        <v>0</v>
      </c>
      <c r="F850" s="14">
        <v>0</v>
      </c>
    </row>
    <row r="851" spans="1:6" x14ac:dyDescent="0.3">
      <c r="A851" s="8">
        <v>849</v>
      </c>
      <c r="B851" s="8" t="s">
        <v>144</v>
      </c>
      <c r="C851" s="8" t="s">
        <v>1849</v>
      </c>
      <c r="D851" s="8" t="s">
        <v>1850</v>
      </c>
      <c r="E851" s="13">
        <v>0</v>
      </c>
      <c r="F851" s="14">
        <v>0</v>
      </c>
    </row>
    <row r="852" spans="1:6" x14ac:dyDescent="0.3">
      <c r="A852" s="8">
        <v>850</v>
      </c>
      <c r="B852" s="8" t="s">
        <v>144</v>
      </c>
      <c r="C852" s="8" t="s">
        <v>1851</v>
      </c>
      <c r="D852" s="8" t="s">
        <v>1852</v>
      </c>
      <c r="E852" s="13">
        <v>0</v>
      </c>
      <c r="F852" s="14">
        <v>0</v>
      </c>
    </row>
    <row r="853" spans="1:6" x14ac:dyDescent="0.3">
      <c r="A853" s="8">
        <v>851</v>
      </c>
      <c r="B853" s="8" t="s">
        <v>144</v>
      </c>
      <c r="C853" s="8" t="s">
        <v>1853</v>
      </c>
      <c r="D853" s="8" t="s">
        <v>1854</v>
      </c>
      <c r="E853" s="13">
        <v>0</v>
      </c>
      <c r="F853" s="14">
        <v>0</v>
      </c>
    </row>
    <row r="854" spans="1:6" x14ac:dyDescent="0.3">
      <c r="A854" s="8">
        <v>852</v>
      </c>
      <c r="B854" s="8" t="s">
        <v>144</v>
      </c>
      <c r="C854" s="8" t="s">
        <v>1855</v>
      </c>
      <c r="D854" s="8" t="s">
        <v>1856</v>
      </c>
      <c r="E854" s="13">
        <v>0</v>
      </c>
      <c r="F854" s="14">
        <v>0</v>
      </c>
    </row>
    <row r="855" spans="1:6" x14ac:dyDescent="0.3">
      <c r="A855" s="8">
        <v>853</v>
      </c>
      <c r="B855" s="8" t="s">
        <v>144</v>
      </c>
      <c r="C855" s="8" t="s">
        <v>1857</v>
      </c>
      <c r="D855" s="8" t="s">
        <v>1858</v>
      </c>
      <c r="E855" s="13">
        <v>530000</v>
      </c>
      <c r="F855" s="14">
        <v>1060185</v>
      </c>
    </row>
    <row r="856" spans="1:6" x14ac:dyDescent="0.3">
      <c r="A856" s="8">
        <v>854</v>
      </c>
      <c r="B856" s="8" t="s">
        <v>144</v>
      </c>
      <c r="C856" s="8" t="s">
        <v>1859</v>
      </c>
      <c r="D856" s="8" t="s">
        <v>1860</v>
      </c>
      <c r="E856" s="13">
        <v>0</v>
      </c>
      <c r="F856" s="14">
        <v>0</v>
      </c>
    </row>
    <row r="857" spans="1:6" x14ac:dyDescent="0.3">
      <c r="A857" s="8">
        <v>855</v>
      </c>
      <c r="B857" s="8" t="s">
        <v>144</v>
      </c>
      <c r="C857" s="8" t="s">
        <v>1861</v>
      </c>
      <c r="D857" s="8" t="s">
        <v>1862</v>
      </c>
      <c r="E857" s="13">
        <v>0</v>
      </c>
      <c r="F857" s="14">
        <v>0</v>
      </c>
    </row>
    <row r="858" spans="1:6" x14ac:dyDescent="0.3">
      <c r="A858" s="8">
        <v>856</v>
      </c>
      <c r="B858" s="8" t="s">
        <v>144</v>
      </c>
      <c r="C858" s="8" t="s">
        <v>1863</v>
      </c>
      <c r="D858" s="8" t="s">
        <v>1864</v>
      </c>
      <c r="E858" s="13">
        <v>0</v>
      </c>
      <c r="F858" s="14">
        <v>0</v>
      </c>
    </row>
    <row r="859" spans="1:6" x14ac:dyDescent="0.3">
      <c r="A859" s="8">
        <v>857</v>
      </c>
      <c r="B859" s="8" t="s">
        <v>144</v>
      </c>
      <c r="C859" s="8" t="s">
        <v>1865</v>
      </c>
      <c r="D859" s="8" t="s">
        <v>1866</v>
      </c>
      <c r="E859" s="13">
        <v>0</v>
      </c>
      <c r="F859" s="14">
        <v>0</v>
      </c>
    </row>
    <row r="860" spans="1:6" x14ac:dyDescent="0.3">
      <c r="A860" s="8">
        <v>858</v>
      </c>
      <c r="B860" s="8" t="s">
        <v>144</v>
      </c>
      <c r="C860" s="8" t="s">
        <v>1867</v>
      </c>
      <c r="D860" s="8" t="s">
        <v>1868</v>
      </c>
      <c r="E860" s="13">
        <v>0</v>
      </c>
      <c r="F860" s="14">
        <v>0</v>
      </c>
    </row>
    <row r="861" spans="1:6" x14ac:dyDescent="0.3">
      <c r="A861" s="8">
        <v>859</v>
      </c>
      <c r="B861" s="8" t="s">
        <v>144</v>
      </c>
      <c r="C861" s="8" t="s">
        <v>1869</v>
      </c>
      <c r="D861" s="8" t="s">
        <v>1870</v>
      </c>
      <c r="E861" s="13">
        <v>0</v>
      </c>
      <c r="F861" s="14">
        <v>0</v>
      </c>
    </row>
    <row r="862" spans="1:6" x14ac:dyDescent="0.3">
      <c r="A862" s="8">
        <v>860</v>
      </c>
      <c r="B862" s="8" t="s">
        <v>144</v>
      </c>
      <c r="C862" s="8" t="s">
        <v>1871</v>
      </c>
      <c r="D862" s="8" t="s">
        <v>1872</v>
      </c>
      <c r="E862" s="13">
        <v>0</v>
      </c>
      <c r="F862" s="14">
        <v>0</v>
      </c>
    </row>
    <row r="863" spans="1:6" x14ac:dyDescent="0.3">
      <c r="A863" s="8">
        <v>861</v>
      </c>
      <c r="B863" s="8" t="s">
        <v>144</v>
      </c>
      <c r="C863" s="8" t="s">
        <v>1873</v>
      </c>
      <c r="D863" s="8" t="s">
        <v>1874</v>
      </c>
      <c r="E863" s="13">
        <v>0</v>
      </c>
      <c r="F863" s="14">
        <v>0</v>
      </c>
    </row>
    <row r="864" spans="1:6" x14ac:dyDescent="0.3">
      <c r="A864" s="8">
        <v>862</v>
      </c>
      <c r="B864" s="8" t="s">
        <v>144</v>
      </c>
      <c r="C864" s="8" t="s">
        <v>1875</v>
      </c>
      <c r="D864" s="8" t="s">
        <v>1876</v>
      </c>
      <c r="E864" s="13">
        <v>0</v>
      </c>
      <c r="F864" s="14">
        <v>0</v>
      </c>
    </row>
    <row r="865" spans="1:6" x14ac:dyDescent="0.3">
      <c r="A865" s="8">
        <v>863</v>
      </c>
      <c r="B865" s="8" t="s">
        <v>1335</v>
      </c>
      <c r="C865" s="8" t="s">
        <v>1877</v>
      </c>
      <c r="D865" s="8" t="s">
        <v>80</v>
      </c>
      <c r="E865" s="13">
        <v>3100</v>
      </c>
      <c r="F865" s="14">
        <v>5455</v>
      </c>
    </row>
    <row r="866" spans="1:6" x14ac:dyDescent="0.3">
      <c r="A866" s="8">
        <v>864</v>
      </c>
      <c r="B866" s="8" t="s">
        <v>275</v>
      </c>
      <c r="C866" s="8" t="s">
        <v>1878</v>
      </c>
      <c r="D866" s="8" t="s">
        <v>1879</v>
      </c>
      <c r="E866" s="13">
        <v>0</v>
      </c>
      <c r="F866" s="14">
        <v>0</v>
      </c>
    </row>
    <row r="867" spans="1:6" x14ac:dyDescent="0.3">
      <c r="A867" s="8">
        <v>865</v>
      </c>
      <c r="B867" s="8" t="s">
        <v>275</v>
      </c>
      <c r="C867" s="8" t="s">
        <v>1880</v>
      </c>
      <c r="D867" s="8" t="s">
        <v>1881</v>
      </c>
      <c r="E867" s="13">
        <v>60000</v>
      </c>
      <c r="F867" s="14">
        <v>120370</v>
      </c>
    </row>
    <row r="868" spans="1:6" x14ac:dyDescent="0.3">
      <c r="A868" s="8">
        <v>866</v>
      </c>
      <c r="B868" s="8" t="s">
        <v>275</v>
      </c>
      <c r="C868" s="8" t="s">
        <v>1882</v>
      </c>
      <c r="D868" s="8" t="s">
        <v>1883</v>
      </c>
      <c r="E868" s="13">
        <v>0</v>
      </c>
      <c r="F868" s="14">
        <v>0</v>
      </c>
    </row>
    <row r="869" spans="1:6" x14ac:dyDescent="0.3">
      <c r="A869" s="8">
        <v>867</v>
      </c>
      <c r="B869" s="8" t="s">
        <v>282</v>
      </c>
      <c r="C869" s="8" t="s">
        <v>1884</v>
      </c>
      <c r="D869" s="8" t="s">
        <v>1885</v>
      </c>
      <c r="E869" s="13">
        <v>0</v>
      </c>
      <c r="F869" s="14">
        <v>0</v>
      </c>
    </row>
    <row r="870" spans="1:6" x14ac:dyDescent="0.3">
      <c r="A870" s="8">
        <v>868</v>
      </c>
      <c r="B870" s="8" t="s">
        <v>144</v>
      </c>
      <c r="C870" s="8" t="s">
        <v>1886</v>
      </c>
      <c r="D870" s="8" t="s">
        <v>1887</v>
      </c>
      <c r="E870" s="13">
        <v>70000</v>
      </c>
      <c r="F870" s="14">
        <v>139815</v>
      </c>
    </row>
    <row r="871" spans="1:6" x14ac:dyDescent="0.3">
      <c r="A871" s="8">
        <v>869</v>
      </c>
      <c r="B871" s="8" t="s">
        <v>144</v>
      </c>
      <c r="C871" s="8" t="s">
        <v>1888</v>
      </c>
      <c r="D871" s="8" t="s">
        <v>1889</v>
      </c>
      <c r="E871" s="13">
        <v>0</v>
      </c>
      <c r="F871" s="14">
        <v>0</v>
      </c>
    </row>
    <row r="872" spans="1:6" x14ac:dyDescent="0.3">
      <c r="A872" s="8">
        <v>870</v>
      </c>
      <c r="B872" s="8" t="s">
        <v>144</v>
      </c>
      <c r="C872" s="8" t="s">
        <v>1890</v>
      </c>
      <c r="D872" s="8" t="s">
        <v>1891</v>
      </c>
      <c r="E872" s="13">
        <v>0</v>
      </c>
      <c r="F872" s="14">
        <v>0</v>
      </c>
    </row>
    <row r="873" spans="1:6" x14ac:dyDescent="0.3">
      <c r="A873" s="8">
        <v>871</v>
      </c>
      <c r="B873" s="8" t="s">
        <v>144</v>
      </c>
      <c r="C873" s="8" t="s">
        <v>1892</v>
      </c>
      <c r="D873" s="8" t="s">
        <v>1893</v>
      </c>
      <c r="E873" s="13">
        <v>118000</v>
      </c>
      <c r="F873" s="14">
        <v>236111</v>
      </c>
    </row>
    <row r="874" spans="1:6" x14ac:dyDescent="0.3">
      <c r="A874" s="8">
        <v>872</v>
      </c>
      <c r="B874" s="8" t="s">
        <v>144</v>
      </c>
      <c r="C874" s="8" t="s">
        <v>1894</v>
      </c>
      <c r="D874" s="8" t="s">
        <v>1895</v>
      </c>
      <c r="E874" s="13">
        <v>0</v>
      </c>
      <c r="F874" s="14">
        <v>0</v>
      </c>
    </row>
    <row r="875" spans="1:6" x14ac:dyDescent="0.3">
      <c r="A875" s="8">
        <v>873</v>
      </c>
      <c r="B875" s="8" t="s">
        <v>144</v>
      </c>
      <c r="C875" s="8" t="s">
        <v>1896</v>
      </c>
      <c r="D875" s="8" t="s">
        <v>1897</v>
      </c>
      <c r="E875" s="13">
        <v>0</v>
      </c>
      <c r="F875" s="14">
        <v>0</v>
      </c>
    </row>
    <row r="876" spans="1:6" x14ac:dyDescent="0.3">
      <c r="A876" s="8">
        <v>874</v>
      </c>
      <c r="B876" s="8" t="s">
        <v>144</v>
      </c>
      <c r="C876" s="8" t="s">
        <v>1898</v>
      </c>
      <c r="D876" s="8" t="s">
        <v>1899</v>
      </c>
      <c r="E876" s="13">
        <v>0</v>
      </c>
      <c r="F876" s="14">
        <v>0</v>
      </c>
    </row>
    <row r="877" spans="1:6" x14ac:dyDescent="0.3">
      <c r="A877" s="8">
        <v>875</v>
      </c>
      <c r="B877" s="8" t="s">
        <v>144</v>
      </c>
      <c r="C877" s="8" t="s">
        <v>1900</v>
      </c>
      <c r="D877" s="8" t="s">
        <v>1901</v>
      </c>
      <c r="E877" s="13">
        <v>0</v>
      </c>
      <c r="F877" s="14">
        <v>0</v>
      </c>
    </row>
    <row r="878" spans="1:6" x14ac:dyDescent="0.3">
      <c r="A878" s="8">
        <v>876</v>
      </c>
      <c r="B878" s="8" t="s">
        <v>144</v>
      </c>
      <c r="C878" s="8" t="s">
        <v>1902</v>
      </c>
      <c r="D878" s="8" t="s">
        <v>1903</v>
      </c>
      <c r="E878" s="13">
        <v>0</v>
      </c>
      <c r="F878" s="14">
        <v>0</v>
      </c>
    </row>
    <row r="879" spans="1:6" x14ac:dyDescent="0.3">
      <c r="A879" s="8">
        <v>877</v>
      </c>
      <c r="B879" s="8" t="s">
        <v>144</v>
      </c>
      <c r="C879" s="8" t="s">
        <v>1904</v>
      </c>
      <c r="D879" s="8" t="s">
        <v>1905</v>
      </c>
      <c r="E879" s="13">
        <v>0</v>
      </c>
      <c r="F879" s="14">
        <v>0</v>
      </c>
    </row>
    <row r="880" spans="1:6" x14ac:dyDescent="0.3">
      <c r="A880" s="8">
        <v>878</v>
      </c>
      <c r="B880" s="8" t="s">
        <v>144</v>
      </c>
      <c r="C880" s="8" t="s">
        <v>1906</v>
      </c>
      <c r="D880" s="8" t="s">
        <v>1907</v>
      </c>
      <c r="E880" s="13">
        <v>0</v>
      </c>
      <c r="F880" s="14">
        <v>0</v>
      </c>
    </row>
    <row r="881" spans="1:6" x14ac:dyDescent="0.3">
      <c r="A881" s="8">
        <v>879</v>
      </c>
      <c r="B881" s="8" t="s">
        <v>144</v>
      </c>
      <c r="C881" s="8" t="s">
        <v>1908</v>
      </c>
      <c r="D881" s="8" t="s">
        <v>1909</v>
      </c>
      <c r="E881" s="13">
        <v>0</v>
      </c>
      <c r="F881" s="14">
        <v>0</v>
      </c>
    </row>
    <row r="882" spans="1:6" x14ac:dyDescent="0.3">
      <c r="A882" s="8">
        <v>880</v>
      </c>
      <c r="B882" s="8" t="s">
        <v>144</v>
      </c>
      <c r="C882" s="8" t="s">
        <v>1910</v>
      </c>
      <c r="D882" s="8" t="s">
        <v>1911</v>
      </c>
      <c r="E882" s="13">
        <v>0</v>
      </c>
      <c r="F882" s="14">
        <v>0</v>
      </c>
    </row>
    <row r="883" spans="1:6" x14ac:dyDescent="0.3">
      <c r="A883" s="8">
        <v>881</v>
      </c>
      <c r="B883" s="8" t="s">
        <v>144</v>
      </c>
      <c r="C883" s="8" t="s">
        <v>1912</v>
      </c>
      <c r="D883" s="8" t="s">
        <v>1913</v>
      </c>
      <c r="E883" s="13">
        <v>0</v>
      </c>
      <c r="F883" s="14">
        <v>0</v>
      </c>
    </row>
    <row r="884" spans="1:6" x14ac:dyDescent="0.3">
      <c r="A884" s="8">
        <v>882</v>
      </c>
      <c r="B884" s="8" t="s">
        <v>144</v>
      </c>
      <c r="C884" s="8" t="s">
        <v>1914</v>
      </c>
      <c r="D884" s="8" t="s">
        <v>1915</v>
      </c>
      <c r="E884" s="13">
        <v>0</v>
      </c>
      <c r="F884" s="14">
        <v>0</v>
      </c>
    </row>
    <row r="885" spans="1:6" x14ac:dyDescent="0.3">
      <c r="A885" s="8">
        <v>883</v>
      </c>
      <c r="B885" s="8" t="s">
        <v>144</v>
      </c>
      <c r="C885" s="8" t="s">
        <v>1916</v>
      </c>
      <c r="D885" s="8" t="s">
        <v>1917</v>
      </c>
      <c r="E885" s="13">
        <v>128000</v>
      </c>
      <c r="F885" s="14">
        <v>255556</v>
      </c>
    </row>
    <row r="886" spans="1:6" x14ac:dyDescent="0.3">
      <c r="A886" s="8">
        <v>884</v>
      </c>
      <c r="B886" s="8" t="s">
        <v>1335</v>
      </c>
      <c r="C886" s="8" t="s">
        <v>1918</v>
      </c>
      <c r="D886" s="8" t="s">
        <v>1919</v>
      </c>
      <c r="E886" s="13">
        <v>0</v>
      </c>
      <c r="F886" s="14">
        <v>0</v>
      </c>
    </row>
    <row r="887" spans="1:6" x14ac:dyDescent="0.3">
      <c r="A887" s="8">
        <v>885</v>
      </c>
      <c r="B887" s="8" t="s">
        <v>1335</v>
      </c>
      <c r="C887" s="8" t="s">
        <v>1920</v>
      </c>
      <c r="D887" s="8" t="s">
        <v>1921</v>
      </c>
      <c r="E887" s="13">
        <v>0</v>
      </c>
      <c r="F887" s="14">
        <v>90000</v>
      </c>
    </row>
    <row r="888" spans="1:6" x14ac:dyDescent="0.3">
      <c r="A888" s="8">
        <v>886</v>
      </c>
      <c r="B888" s="8" t="s">
        <v>275</v>
      </c>
      <c r="C888" s="8" t="s">
        <v>1922</v>
      </c>
      <c r="D888" s="8" t="s">
        <v>1923</v>
      </c>
      <c r="E888" s="13">
        <v>0</v>
      </c>
      <c r="F888" s="14">
        <v>0</v>
      </c>
    </row>
    <row r="889" spans="1:6" x14ac:dyDescent="0.3">
      <c r="A889" s="8">
        <v>887</v>
      </c>
      <c r="B889" s="8" t="s">
        <v>275</v>
      </c>
      <c r="C889" s="8" t="s">
        <v>1924</v>
      </c>
      <c r="D889" s="8" t="s">
        <v>1925</v>
      </c>
      <c r="E889" s="13">
        <v>0</v>
      </c>
      <c r="F889" s="14">
        <v>0</v>
      </c>
    </row>
    <row r="890" spans="1:6" x14ac:dyDescent="0.3">
      <c r="A890" s="8">
        <v>888</v>
      </c>
      <c r="B890" s="8" t="s">
        <v>275</v>
      </c>
      <c r="C890" s="8" t="s">
        <v>1926</v>
      </c>
      <c r="D890" s="8" t="s">
        <v>1927</v>
      </c>
      <c r="E890" s="13">
        <v>0</v>
      </c>
      <c r="F890" s="14">
        <v>0</v>
      </c>
    </row>
    <row r="891" spans="1:6" x14ac:dyDescent="0.3">
      <c r="A891" s="8">
        <v>889</v>
      </c>
      <c r="B891" s="8" t="s">
        <v>275</v>
      </c>
      <c r="C891" s="8" t="s">
        <v>1928</v>
      </c>
      <c r="D891" s="8" t="s">
        <v>1929</v>
      </c>
      <c r="E891" s="13">
        <v>0</v>
      </c>
      <c r="F891" s="14">
        <v>90000</v>
      </c>
    </row>
    <row r="892" spans="1:6" x14ac:dyDescent="0.3">
      <c r="A892" s="8">
        <v>890</v>
      </c>
      <c r="B892" s="8" t="s">
        <v>275</v>
      </c>
      <c r="C892" s="8" t="s">
        <v>1930</v>
      </c>
      <c r="D892" s="8" t="s">
        <v>1931</v>
      </c>
      <c r="E892" s="13">
        <v>0</v>
      </c>
      <c r="F892" s="14">
        <v>0</v>
      </c>
    </row>
    <row r="893" spans="1:6" x14ac:dyDescent="0.3">
      <c r="A893" s="8">
        <v>891</v>
      </c>
      <c r="B893" s="8" t="s">
        <v>275</v>
      </c>
      <c r="C893" s="8" t="s">
        <v>1932</v>
      </c>
      <c r="D893" s="8" t="s">
        <v>1933</v>
      </c>
      <c r="E893" s="13">
        <v>75000</v>
      </c>
      <c r="F893" s="14">
        <v>150000</v>
      </c>
    </row>
    <row r="894" spans="1:6" x14ac:dyDescent="0.3">
      <c r="A894" s="8">
        <v>892</v>
      </c>
      <c r="B894" s="8" t="s">
        <v>275</v>
      </c>
      <c r="C894" s="8" t="s">
        <v>1934</v>
      </c>
      <c r="D894" s="8" t="s">
        <v>1935</v>
      </c>
      <c r="E894" s="13">
        <v>25000</v>
      </c>
      <c r="F894" s="14">
        <v>50000</v>
      </c>
    </row>
    <row r="895" spans="1:6" x14ac:dyDescent="0.3">
      <c r="A895" s="8">
        <v>893</v>
      </c>
      <c r="B895" s="8" t="s">
        <v>144</v>
      </c>
      <c r="C895" s="8" t="s">
        <v>1936</v>
      </c>
      <c r="D895" s="8" t="s">
        <v>1937</v>
      </c>
      <c r="E895" s="13">
        <v>0</v>
      </c>
      <c r="F895" s="14">
        <v>0</v>
      </c>
    </row>
    <row r="896" spans="1:6" x14ac:dyDescent="0.3">
      <c r="A896" s="8">
        <v>894</v>
      </c>
      <c r="B896" s="8" t="s">
        <v>144</v>
      </c>
      <c r="C896" s="8" t="s">
        <v>1938</v>
      </c>
      <c r="D896" s="8" t="s">
        <v>1939</v>
      </c>
      <c r="E896" s="13">
        <v>0</v>
      </c>
      <c r="F896" s="14">
        <v>0</v>
      </c>
    </row>
    <row r="897" spans="1:6" x14ac:dyDescent="0.3">
      <c r="A897" s="8">
        <v>895</v>
      </c>
      <c r="B897" s="8" t="s">
        <v>144</v>
      </c>
      <c r="C897" s="8" t="s">
        <v>1940</v>
      </c>
      <c r="D897" s="8" t="s">
        <v>1941</v>
      </c>
      <c r="E897" s="13">
        <v>0</v>
      </c>
      <c r="F897" s="14">
        <v>0</v>
      </c>
    </row>
    <row r="898" spans="1:6" x14ac:dyDescent="0.3">
      <c r="A898" s="8">
        <v>896</v>
      </c>
      <c r="B898" s="8" t="s">
        <v>144</v>
      </c>
      <c r="C898" s="8" t="s">
        <v>1942</v>
      </c>
      <c r="D898" s="8" t="s">
        <v>1943</v>
      </c>
      <c r="E898" s="13">
        <v>365000</v>
      </c>
      <c r="F898" s="14">
        <v>729630</v>
      </c>
    </row>
    <row r="899" spans="1:6" x14ac:dyDescent="0.3">
      <c r="A899" s="8">
        <v>897</v>
      </c>
      <c r="B899" s="8" t="s">
        <v>144</v>
      </c>
      <c r="C899" s="8" t="s">
        <v>1944</v>
      </c>
      <c r="D899" s="8" t="s">
        <v>1945</v>
      </c>
      <c r="E899" s="13">
        <v>0</v>
      </c>
      <c r="F899" s="14">
        <v>0</v>
      </c>
    </row>
    <row r="900" spans="1:6" x14ac:dyDescent="0.3">
      <c r="A900" s="8">
        <v>898</v>
      </c>
      <c r="B900" s="8" t="s">
        <v>144</v>
      </c>
      <c r="C900" s="8" t="s">
        <v>1946</v>
      </c>
      <c r="D900" s="8" t="s">
        <v>1947</v>
      </c>
      <c r="E900" s="13">
        <v>0</v>
      </c>
      <c r="F900" s="14">
        <v>0</v>
      </c>
    </row>
    <row r="901" spans="1:6" x14ac:dyDescent="0.3">
      <c r="A901" s="8">
        <v>899</v>
      </c>
      <c r="B901" s="8" t="s">
        <v>144</v>
      </c>
      <c r="C901" s="8" t="s">
        <v>1948</v>
      </c>
      <c r="D901" s="8" t="s">
        <v>1949</v>
      </c>
      <c r="E901" s="13">
        <v>0</v>
      </c>
      <c r="F901" s="14">
        <v>0</v>
      </c>
    </row>
    <row r="902" spans="1:6" x14ac:dyDescent="0.3">
      <c r="A902" s="8">
        <v>900</v>
      </c>
      <c r="B902" s="8" t="s">
        <v>144</v>
      </c>
      <c r="C902" s="8" t="s">
        <v>1950</v>
      </c>
      <c r="D902" s="8" t="s">
        <v>1951</v>
      </c>
      <c r="E902" s="13">
        <v>0</v>
      </c>
      <c r="F902" s="14">
        <v>0</v>
      </c>
    </row>
    <row r="903" spans="1:6" x14ac:dyDescent="0.3">
      <c r="A903" s="8">
        <v>901</v>
      </c>
      <c r="B903" s="8" t="s">
        <v>144</v>
      </c>
      <c r="C903" s="8" t="s">
        <v>1952</v>
      </c>
      <c r="D903" s="8" t="s">
        <v>1953</v>
      </c>
      <c r="E903" s="13">
        <v>0</v>
      </c>
      <c r="F903" s="14">
        <v>0</v>
      </c>
    </row>
    <row r="904" spans="1:6" x14ac:dyDescent="0.3">
      <c r="A904" s="8">
        <v>902</v>
      </c>
      <c r="B904" s="8" t="s">
        <v>144</v>
      </c>
      <c r="C904" s="8" t="s">
        <v>1954</v>
      </c>
      <c r="D904" s="8" t="s">
        <v>1955</v>
      </c>
      <c r="E904" s="13">
        <v>0</v>
      </c>
      <c r="F904" s="14">
        <v>0</v>
      </c>
    </row>
    <row r="905" spans="1:6" x14ac:dyDescent="0.3">
      <c r="A905" s="8">
        <v>903</v>
      </c>
      <c r="B905" s="8" t="s">
        <v>144</v>
      </c>
      <c r="C905" s="8" t="s">
        <v>1956</v>
      </c>
      <c r="D905" s="8" t="s">
        <v>1957</v>
      </c>
      <c r="E905" s="13">
        <v>0</v>
      </c>
      <c r="F905" s="14">
        <v>0</v>
      </c>
    </row>
    <row r="906" spans="1:6" x14ac:dyDescent="0.3">
      <c r="A906" s="8">
        <v>904</v>
      </c>
      <c r="B906" s="8" t="s">
        <v>144</v>
      </c>
      <c r="C906" s="8" t="s">
        <v>1958</v>
      </c>
      <c r="D906" s="8" t="s">
        <v>1959</v>
      </c>
      <c r="E906" s="13">
        <v>0</v>
      </c>
      <c r="F906" s="14">
        <v>0</v>
      </c>
    </row>
    <row r="907" spans="1:6" x14ac:dyDescent="0.3">
      <c r="A907" s="8">
        <v>905</v>
      </c>
      <c r="B907" s="8" t="s">
        <v>275</v>
      </c>
      <c r="C907" s="8" t="s">
        <v>1960</v>
      </c>
      <c r="D907" s="8" t="s">
        <v>1961</v>
      </c>
      <c r="E907" s="13">
        <v>0</v>
      </c>
      <c r="F907" s="14">
        <v>0</v>
      </c>
    </row>
    <row r="908" spans="1:6" x14ac:dyDescent="0.3">
      <c r="A908" s="8">
        <v>906</v>
      </c>
      <c r="B908" s="8" t="s">
        <v>275</v>
      </c>
      <c r="C908" s="8" t="s">
        <v>1962</v>
      </c>
      <c r="D908" s="8" t="s">
        <v>1963</v>
      </c>
      <c r="E908" s="13">
        <v>44000</v>
      </c>
      <c r="F908" s="14">
        <v>87963</v>
      </c>
    </row>
    <row r="909" spans="1:6" x14ac:dyDescent="0.3">
      <c r="A909" s="8">
        <v>907</v>
      </c>
      <c r="B909" s="8" t="s">
        <v>275</v>
      </c>
      <c r="C909" s="8" t="s">
        <v>1964</v>
      </c>
      <c r="D909" s="8" t="s">
        <v>1965</v>
      </c>
      <c r="E909" s="13">
        <v>0</v>
      </c>
      <c r="F909" s="14">
        <v>0</v>
      </c>
    </row>
    <row r="910" spans="1:6" x14ac:dyDescent="0.3">
      <c r="A910" s="8">
        <v>908</v>
      </c>
      <c r="B910" s="8" t="s">
        <v>275</v>
      </c>
      <c r="C910" s="8" t="s">
        <v>1966</v>
      </c>
      <c r="D910" s="8" t="s">
        <v>1967</v>
      </c>
      <c r="E910" s="13">
        <v>0</v>
      </c>
      <c r="F910" s="14">
        <v>0</v>
      </c>
    </row>
    <row r="911" spans="1:6" x14ac:dyDescent="0.3">
      <c r="A911" s="8">
        <v>909</v>
      </c>
      <c r="B911" s="8" t="s">
        <v>282</v>
      </c>
      <c r="C911" s="8" t="s">
        <v>1968</v>
      </c>
      <c r="D911" s="8" t="s">
        <v>1969</v>
      </c>
      <c r="E911" s="13">
        <v>0</v>
      </c>
      <c r="F911" s="14">
        <v>105000</v>
      </c>
    </row>
    <row r="912" spans="1:6" x14ac:dyDescent="0.3">
      <c r="A912" s="8">
        <v>910</v>
      </c>
      <c r="B912" s="8" t="s">
        <v>287</v>
      </c>
      <c r="C912" s="8" t="s">
        <v>1970</v>
      </c>
      <c r="D912" s="8" t="s">
        <v>1971</v>
      </c>
      <c r="E912" s="13">
        <v>207000</v>
      </c>
      <c r="F912" s="14">
        <v>413889</v>
      </c>
    </row>
    <row r="913" spans="1:6" x14ac:dyDescent="0.3">
      <c r="A913" s="8">
        <v>911</v>
      </c>
      <c r="B913" s="8" t="s">
        <v>287</v>
      </c>
      <c r="C913" s="8" t="s">
        <v>1972</v>
      </c>
      <c r="D913" s="8" t="s">
        <v>1973</v>
      </c>
      <c r="E913" s="13">
        <v>104000</v>
      </c>
      <c r="F913" s="14">
        <v>208333</v>
      </c>
    </row>
    <row r="914" spans="1:6" x14ac:dyDescent="0.3">
      <c r="A914" s="8">
        <v>912</v>
      </c>
      <c r="B914" s="8" t="s">
        <v>1259</v>
      </c>
      <c r="C914" s="8" t="s">
        <v>1974</v>
      </c>
      <c r="D914" s="8" t="s">
        <v>1975</v>
      </c>
      <c r="E914" s="13">
        <v>75550</v>
      </c>
      <c r="F914" s="14">
        <v>126000</v>
      </c>
    </row>
    <row r="915" spans="1:6" x14ac:dyDescent="0.3">
      <c r="A915" s="8">
        <v>913</v>
      </c>
      <c r="B915" s="8" t="s">
        <v>1259</v>
      </c>
      <c r="C915" s="8" t="s">
        <v>1976</v>
      </c>
      <c r="D915" s="8" t="s">
        <v>1977</v>
      </c>
      <c r="E915" s="13">
        <v>0</v>
      </c>
      <c r="F915" s="14">
        <v>0</v>
      </c>
    </row>
    <row r="916" spans="1:6" x14ac:dyDescent="0.3">
      <c r="A916" s="8">
        <v>914</v>
      </c>
      <c r="B916" s="8" t="s">
        <v>1259</v>
      </c>
      <c r="C916" s="8" t="s">
        <v>1978</v>
      </c>
      <c r="D916" s="8" t="s">
        <v>1979</v>
      </c>
      <c r="E916" s="13">
        <v>43010</v>
      </c>
      <c r="F916" s="14">
        <v>70000</v>
      </c>
    </row>
    <row r="917" spans="1:6" x14ac:dyDescent="0.3">
      <c r="A917" s="8">
        <v>915</v>
      </c>
      <c r="B917" s="8" t="s">
        <v>1259</v>
      </c>
      <c r="C917" s="8" t="s">
        <v>1980</v>
      </c>
      <c r="D917" s="8" t="s">
        <v>1981</v>
      </c>
      <c r="E917" s="13">
        <v>0</v>
      </c>
      <c r="F917" s="14">
        <v>0</v>
      </c>
    </row>
    <row r="918" spans="1:6" x14ac:dyDescent="0.3">
      <c r="A918" s="8">
        <v>916</v>
      </c>
      <c r="B918" s="8" t="s">
        <v>1259</v>
      </c>
      <c r="C918" s="8" t="s">
        <v>1982</v>
      </c>
      <c r="D918" s="8" t="s">
        <v>1983</v>
      </c>
      <c r="E918" s="13">
        <v>0</v>
      </c>
      <c r="F918" s="14">
        <v>0</v>
      </c>
    </row>
    <row r="919" spans="1:6" x14ac:dyDescent="0.3">
      <c r="A919" s="8">
        <v>917</v>
      </c>
      <c r="B919" s="8" t="s">
        <v>1259</v>
      </c>
      <c r="C919" s="8" t="s">
        <v>1984</v>
      </c>
      <c r="D919" s="8" t="s">
        <v>1985</v>
      </c>
      <c r="E919" s="13">
        <v>0</v>
      </c>
      <c r="F919" s="14">
        <v>0</v>
      </c>
    </row>
    <row r="920" spans="1:6" x14ac:dyDescent="0.3">
      <c r="A920" s="8">
        <v>918</v>
      </c>
      <c r="B920" s="8" t="s">
        <v>144</v>
      </c>
      <c r="C920" s="8" t="s">
        <v>1986</v>
      </c>
      <c r="D920" s="8" t="s">
        <v>1987</v>
      </c>
      <c r="E920" s="13">
        <v>0</v>
      </c>
      <c r="F920" s="14">
        <v>0</v>
      </c>
    </row>
    <row r="921" spans="1:6" x14ac:dyDescent="0.3">
      <c r="A921" s="8">
        <v>919</v>
      </c>
      <c r="B921" s="8" t="s">
        <v>144</v>
      </c>
      <c r="C921" s="8" t="s">
        <v>1988</v>
      </c>
      <c r="D921" s="8" t="s">
        <v>1989</v>
      </c>
      <c r="E921" s="13">
        <v>2903400</v>
      </c>
      <c r="F921" s="14">
        <v>5648148</v>
      </c>
    </row>
    <row r="922" spans="1:6" x14ac:dyDescent="0.3">
      <c r="A922" s="8">
        <v>920</v>
      </c>
      <c r="B922" s="8" t="s">
        <v>144</v>
      </c>
      <c r="C922" s="8" t="s">
        <v>1990</v>
      </c>
      <c r="D922" s="8" t="s">
        <v>1991</v>
      </c>
      <c r="E922" s="13">
        <v>0</v>
      </c>
      <c r="F922" s="14">
        <v>0</v>
      </c>
    </row>
    <row r="923" spans="1:6" x14ac:dyDescent="0.3">
      <c r="A923" s="8">
        <v>921</v>
      </c>
      <c r="B923" s="8" t="s">
        <v>144</v>
      </c>
      <c r="C923" s="8" t="s">
        <v>1992</v>
      </c>
      <c r="D923" s="8" t="s">
        <v>1993</v>
      </c>
      <c r="E923" s="13">
        <v>0</v>
      </c>
      <c r="F923" s="14">
        <v>0</v>
      </c>
    </row>
    <row r="924" spans="1:6" x14ac:dyDescent="0.3">
      <c r="A924" s="8">
        <v>922</v>
      </c>
      <c r="B924" s="8" t="s">
        <v>144</v>
      </c>
      <c r="C924" s="8" t="s">
        <v>1994</v>
      </c>
      <c r="D924" s="8" t="s">
        <v>1995</v>
      </c>
      <c r="E924" s="13">
        <v>0</v>
      </c>
      <c r="F924" s="14">
        <v>0</v>
      </c>
    </row>
    <row r="925" spans="1:6" x14ac:dyDescent="0.3">
      <c r="A925" s="8">
        <v>923</v>
      </c>
      <c r="B925" s="8" t="s">
        <v>144</v>
      </c>
      <c r="C925" s="8" t="s">
        <v>1996</v>
      </c>
      <c r="D925" s="8" t="s">
        <v>1997</v>
      </c>
      <c r="E925" s="13">
        <v>0</v>
      </c>
      <c r="F925" s="14">
        <v>0</v>
      </c>
    </row>
    <row r="926" spans="1:6" x14ac:dyDescent="0.3">
      <c r="A926" s="8">
        <v>924</v>
      </c>
      <c r="B926" s="8" t="s">
        <v>144</v>
      </c>
      <c r="C926" s="8" t="s">
        <v>1998</v>
      </c>
      <c r="D926" s="8" t="s">
        <v>1999</v>
      </c>
      <c r="E926" s="13">
        <v>0</v>
      </c>
      <c r="F926" s="14">
        <v>0</v>
      </c>
    </row>
    <row r="927" spans="1:6" x14ac:dyDescent="0.3">
      <c r="A927" s="8">
        <v>925</v>
      </c>
      <c r="B927" s="8" t="s">
        <v>144</v>
      </c>
      <c r="C927" s="8" t="s">
        <v>2000</v>
      </c>
      <c r="D927" s="8" t="s">
        <v>2001</v>
      </c>
      <c r="E927" s="13">
        <v>0</v>
      </c>
      <c r="F927" s="14">
        <v>0</v>
      </c>
    </row>
    <row r="928" spans="1:6" x14ac:dyDescent="0.3">
      <c r="A928" s="8">
        <v>926</v>
      </c>
      <c r="B928" s="8" t="s">
        <v>144</v>
      </c>
      <c r="C928" s="8" t="s">
        <v>2002</v>
      </c>
      <c r="D928" s="8" t="s">
        <v>2003</v>
      </c>
      <c r="E928" s="13">
        <v>158000</v>
      </c>
      <c r="F928" s="14">
        <v>315741</v>
      </c>
    </row>
    <row r="929" spans="1:6" x14ac:dyDescent="0.3">
      <c r="A929" s="8">
        <v>927</v>
      </c>
      <c r="B929" s="8" t="s">
        <v>144</v>
      </c>
      <c r="C929" s="8" t="s">
        <v>2004</v>
      </c>
      <c r="D929" s="8" t="s">
        <v>2005</v>
      </c>
      <c r="E929" s="13">
        <v>0</v>
      </c>
      <c r="F929" s="14">
        <v>0</v>
      </c>
    </row>
    <row r="930" spans="1:6" x14ac:dyDescent="0.3">
      <c r="A930" s="8">
        <v>928</v>
      </c>
      <c r="B930" s="8" t="s">
        <v>144</v>
      </c>
      <c r="C930" s="8" t="s">
        <v>2006</v>
      </c>
      <c r="D930" s="8" t="s">
        <v>2007</v>
      </c>
      <c r="E930" s="13">
        <v>0</v>
      </c>
      <c r="F930" s="14">
        <v>0</v>
      </c>
    </row>
    <row r="931" spans="1:6" x14ac:dyDescent="0.3">
      <c r="A931" s="8">
        <v>929</v>
      </c>
      <c r="B931" s="8" t="s">
        <v>144</v>
      </c>
      <c r="C931" s="8" t="s">
        <v>2008</v>
      </c>
      <c r="D931" s="8" t="s">
        <v>2009</v>
      </c>
      <c r="E931" s="13">
        <v>0</v>
      </c>
      <c r="F931" s="14">
        <v>0</v>
      </c>
    </row>
    <row r="932" spans="1:6" x14ac:dyDescent="0.3">
      <c r="A932" s="8">
        <v>930</v>
      </c>
      <c r="B932" s="8" t="s">
        <v>144</v>
      </c>
      <c r="C932" s="8" t="s">
        <v>2010</v>
      </c>
      <c r="D932" s="8" t="s">
        <v>2011</v>
      </c>
      <c r="E932" s="13">
        <v>510000</v>
      </c>
      <c r="F932" s="14">
        <v>1020370</v>
      </c>
    </row>
    <row r="933" spans="1:6" x14ac:dyDescent="0.3">
      <c r="A933" s="8">
        <v>931</v>
      </c>
      <c r="B933" s="8" t="s">
        <v>144</v>
      </c>
      <c r="C933" s="8" t="s">
        <v>2012</v>
      </c>
      <c r="D933" s="8" t="s">
        <v>2013</v>
      </c>
      <c r="E933" s="13">
        <v>0</v>
      </c>
      <c r="F933" s="14">
        <v>0</v>
      </c>
    </row>
    <row r="934" spans="1:6" x14ac:dyDescent="0.3">
      <c r="A934" s="8">
        <v>932</v>
      </c>
      <c r="B934" s="8" t="s">
        <v>144</v>
      </c>
      <c r="C934" s="8" t="s">
        <v>2014</v>
      </c>
      <c r="D934" s="8" t="s">
        <v>2015</v>
      </c>
      <c r="E934" s="13">
        <v>0</v>
      </c>
      <c r="F934" s="14">
        <v>0</v>
      </c>
    </row>
    <row r="935" spans="1:6" x14ac:dyDescent="0.3">
      <c r="A935" s="8">
        <v>933</v>
      </c>
      <c r="B935" s="8" t="s">
        <v>144</v>
      </c>
      <c r="C935" s="8" t="s">
        <v>2016</v>
      </c>
      <c r="D935" s="8" t="s">
        <v>2017</v>
      </c>
      <c r="E935" s="13">
        <v>0</v>
      </c>
      <c r="F935" s="14">
        <v>0</v>
      </c>
    </row>
    <row r="936" spans="1:6" x14ac:dyDescent="0.3">
      <c r="A936" s="8">
        <v>934</v>
      </c>
      <c r="B936" s="8" t="s">
        <v>275</v>
      </c>
      <c r="C936" s="8" t="s">
        <v>2018</v>
      </c>
      <c r="D936" s="8" t="s">
        <v>2019</v>
      </c>
      <c r="E936" s="13">
        <v>0</v>
      </c>
      <c r="F936" s="14">
        <v>0</v>
      </c>
    </row>
    <row r="937" spans="1:6" x14ac:dyDescent="0.3">
      <c r="A937" s="8">
        <v>935</v>
      </c>
      <c r="B937" s="8" t="s">
        <v>275</v>
      </c>
      <c r="C937" s="8" t="s">
        <v>2020</v>
      </c>
      <c r="D937" s="8" t="s">
        <v>2021</v>
      </c>
      <c r="E937" s="13">
        <v>11000</v>
      </c>
      <c r="F937" s="14">
        <v>22222</v>
      </c>
    </row>
    <row r="938" spans="1:6" x14ac:dyDescent="0.3">
      <c r="A938" s="8">
        <v>936</v>
      </c>
      <c r="B938" s="8" t="s">
        <v>275</v>
      </c>
      <c r="C938" s="8" t="s">
        <v>2022</v>
      </c>
      <c r="D938" s="8" t="s">
        <v>2023</v>
      </c>
      <c r="E938" s="13">
        <v>90000</v>
      </c>
      <c r="F938" s="14">
        <v>179630</v>
      </c>
    </row>
    <row r="939" spans="1:6" x14ac:dyDescent="0.3">
      <c r="A939" s="8">
        <v>937</v>
      </c>
      <c r="B939" s="8" t="s">
        <v>275</v>
      </c>
      <c r="C939" s="8" t="s">
        <v>2024</v>
      </c>
      <c r="D939" s="8" t="s">
        <v>2025</v>
      </c>
      <c r="E939" s="13">
        <v>450000</v>
      </c>
      <c r="F939" s="14">
        <v>900000</v>
      </c>
    </row>
    <row r="940" spans="1:6" x14ac:dyDescent="0.3">
      <c r="A940" s="8">
        <v>938</v>
      </c>
      <c r="B940" s="8" t="s">
        <v>275</v>
      </c>
      <c r="C940" s="8" t="s">
        <v>2026</v>
      </c>
      <c r="D940" s="8" t="s">
        <v>2027</v>
      </c>
      <c r="E940" s="13">
        <v>48000</v>
      </c>
      <c r="F940" s="14">
        <v>96296</v>
      </c>
    </row>
    <row r="941" spans="1:6" x14ac:dyDescent="0.3">
      <c r="A941" s="8">
        <v>939</v>
      </c>
      <c r="B941" s="8" t="s">
        <v>275</v>
      </c>
      <c r="C941" s="8" t="s">
        <v>2028</v>
      </c>
      <c r="D941" s="8" t="s">
        <v>2029</v>
      </c>
      <c r="E941" s="13">
        <v>0</v>
      </c>
      <c r="F941" s="14">
        <v>0</v>
      </c>
    </row>
    <row r="942" spans="1:6" x14ac:dyDescent="0.3">
      <c r="A942" s="8">
        <v>940</v>
      </c>
      <c r="B942" s="8" t="s">
        <v>275</v>
      </c>
      <c r="C942" s="8" t="s">
        <v>2030</v>
      </c>
      <c r="D942" s="8" t="s">
        <v>2031</v>
      </c>
      <c r="E942" s="13">
        <v>0</v>
      </c>
      <c r="F942" s="14">
        <v>0</v>
      </c>
    </row>
    <row r="943" spans="1:6" x14ac:dyDescent="0.3">
      <c r="A943" s="8">
        <v>941</v>
      </c>
      <c r="B943" s="8" t="s">
        <v>1178</v>
      </c>
      <c r="C943" s="8" t="s">
        <v>2032</v>
      </c>
      <c r="D943" s="8" t="s">
        <v>2033</v>
      </c>
      <c r="E943" s="13">
        <v>0</v>
      </c>
      <c r="F943" s="14">
        <v>0</v>
      </c>
    </row>
    <row r="944" spans="1:6" x14ac:dyDescent="0.3">
      <c r="A944" s="8">
        <v>942</v>
      </c>
      <c r="B944" s="8" t="s">
        <v>1178</v>
      </c>
      <c r="C944" s="8" t="s">
        <v>2034</v>
      </c>
      <c r="D944" s="8" t="s">
        <v>2035</v>
      </c>
      <c r="E944" s="13">
        <v>0</v>
      </c>
      <c r="F944" s="14">
        <v>0</v>
      </c>
    </row>
    <row r="945" spans="1:6" x14ac:dyDescent="0.3">
      <c r="A945" s="8">
        <v>943</v>
      </c>
      <c r="B945" s="8" t="s">
        <v>287</v>
      </c>
      <c r="C945" s="8" t="s">
        <v>2036</v>
      </c>
      <c r="D945" s="8" t="s">
        <v>2037</v>
      </c>
      <c r="E945" s="13">
        <v>129000</v>
      </c>
      <c r="F945" s="14">
        <v>258333</v>
      </c>
    </row>
    <row r="946" spans="1:6" x14ac:dyDescent="0.3">
      <c r="A946" s="8">
        <v>944</v>
      </c>
      <c r="B946" s="8" t="s">
        <v>287</v>
      </c>
      <c r="C946" s="8" t="s">
        <v>2038</v>
      </c>
      <c r="D946" s="8" t="s">
        <v>2039</v>
      </c>
      <c r="E946" s="13">
        <v>101000</v>
      </c>
      <c r="F946" s="14">
        <v>201852</v>
      </c>
    </row>
    <row r="947" spans="1:6" x14ac:dyDescent="0.3">
      <c r="A947" s="8">
        <v>945</v>
      </c>
      <c r="B947" s="8" t="s">
        <v>1259</v>
      </c>
      <c r="C947" s="8" t="s">
        <v>2040</v>
      </c>
      <c r="D947" s="8" t="s">
        <v>2041</v>
      </c>
      <c r="E947" s="13">
        <v>24770</v>
      </c>
      <c r="F947" s="14">
        <v>34000</v>
      </c>
    </row>
    <row r="948" spans="1:6" x14ac:dyDescent="0.3">
      <c r="A948" s="8">
        <v>946</v>
      </c>
      <c r="B948" s="8" t="s">
        <v>1259</v>
      </c>
      <c r="C948" s="8" t="s">
        <v>2042</v>
      </c>
      <c r="D948" s="8" t="s">
        <v>2043</v>
      </c>
      <c r="E948" s="13">
        <v>125900</v>
      </c>
      <c r="F948" s="14">
        <v>166000</v>
      </c>
    </row>
    <row r="949" spans="1:6" x14ac:dyDescent="0.3">
      <c r="A949" s="8">
        <v>947</v>
      </c>
      <c r="B949" s="8" t="s">
        <v>1259</v>
      </c>
      <c r="C949" s="8" t="s">
        <v>2044</v>
      </c>
      <c r="D949" s="8" t="s">
        <v>2045</v>
      </c>
      <c r="E949" s="13">
        <v>0</v>
      </c>
      <c r="F949" s="14">
        <v>0</v>
      </c>
    </row>
    <row r="950" spans="1:6" x14ac:dyDescent="0.3">
      <c r="A950" s="8">
        <v>948</v>
      </c>
      <c r="B950" s="8" t="s">
        <v>1259</v>
      </c>
      <c r="C950" s="8" t="s">
        <v>2046</v>
      </c>
      <c r="D950" s="8" t="s">
        <v>2047</v>
      </c>
      <c r="E950" s="13">
        <v>18520</v>
      </c>
      <c r="F950" s="14">
        <v>32000</v>
      </c>
    </row>
    <row r="951" spans="1:6" x14ac:dyDescent="0.3">
      <c r="A951" s="8">
        <v>949</v>
      </c>
      <c r="B951" s="8" t="s">
        <v>1259</v>
      </c>
      <c r="C951" s="8" t="s">
        <v>2048</v>
      </c>
      <c r="D951" s="8" t="s">
        <v>2049</v>
      </c>
      <c r="E951" s="13">
        <v>0</v>
      </c>
      <c r="F951" s="14">
        <v>0</v>
      </c>
    </row>
    <row r="952" spans="1:6" x14ac:dyDescent="0.3">
      <c r="A952" s="8">
        <v>950</v>
      </c>
      <c r="B952" s="8" t="s">
        <v>1259</v>
      </c>
      <c r="C952" s="8" t="s">
        <v>2050</v>
      </c>
      <c r="D952" s="8" t="s">
        <v>2051</v>
      </c>
      <c r="E952" s="13">
        <v>28370</v>
      </c>
      <c r="F952" s="14">
        <v>58000</v>
      </c>
    </row>
    <row r="953" spans="1:6" x14ac:dyDescent="0.3">
      <c r="A953" s="8">
        <v>951</v>
      </c>
      <c r="B953" s="8" t="s">
        <v>1259</v>
      </c>
      <c r="C953" s="8" t="s">
        <v>2052</v>
      </c>
      <c r="D953" s="8" t="s">
        <v>2053</v>
      </c>
      <c r="E953" s="13">
        <v>0</v>
      </c>
      <c r="F953" s="14">
        <v>0</v>
      </c>
    </row>
    <row r="954" spans="1:6" x14ac:dyDescent="0.3">
      <c r="A954" s="8">
        <v>952</v>
      </c>
      <c r="B954" s="8" t="s">
        <v>1259</v>
      </c>
      <c r="C954" s="8" t="s">
        <v>2054</v>
      </c>
      <c r="D954" s="8" t="s">
        <v>2055</v>
      </c>
      <c r="E954" s="13">
        <v>0</v>
      </c>
      <c r="F954" s="14">
        <v>0</v>
      </c>
    </row>
    <row r="955" spans="1:6" x14ac:dyDescent="0.3">
      <c r="A955" s="8">
        <v>953</v>
      </c>
      <c r="B955" s="8" t="s">
        <v>1259</v>
      </c>
      <c r="C955" s="8" t="s">
        <v>2056</v>
      </c>
      <c r="D955" s="8" t="s">
        <v>2057</v>
      </c>
      <c r="E955" s="13">
        <v>0</v>
      </c>
      <c r="F955" s="14">
        <v>0</v>
      </c>
    </row>
    <row r="956" spans="1:6" x14ac:dyDescent="0.3">
      <c r="A956" s="8">
        <v>954</v>
      </c>
      <c r="B956" s="8" t="s">
        <v>1280</v>
      </c>
      <c r="C956" s="8" t="s">
        <v>2058</v>
      </c>
      <c r="D956" s="8" t="s">
        <v>2059</v>
      </c>
      <c r="E956" s="13">
        <v>111300</v>
      </c>
      <c r="F956" s="14">
        <v>203000</v>
      </c>
    </row>
    <row r="957" spans="1:6" x14ac:dyDescent="0.3">
      <c r="A957" s="8">
        <v>955</v>
      </c>
      <c r="B957" s="8" t="s">
        <v>1280</v>
      </c>
      <c r="C957" s="8" t="s">
        <v>2060</v>
      </c>
      <c r="D957" s="8" t="s">
        <v>2061</v>
      </c>
      <c r="E957" s="13">
        <v>12920</v>
      </c>
      <c r="F957" s="14">
        <v>21818</v>
      </c>
    </row>
    <row r="958" spans="1:6" x14ac:dyDescent="0.3">
      <c r="A958" s="8">
        <v>956</v>
      </c>
      <c r="B958" s="8" t="s">
        <v>1280</v>
      </c>
      <c r="C958" s="8" t="s">
        <v>2062</v>
      </c>
      <c r="D958" s="8" t="s">
        <v>2063</v>
      </c>
      <c r="E958" s="13">
        <v>22000</v>
      </c>
      <c r="F958" s="14">
        <v>44545</v>
      </c>
    </row>
    <row r="959" spans="1:6" x14ac:dyDescent="0.3">
      <c r="A959" s="8">
        <v>957</v>
      </c>
      <c r="B959" s="8" t="s">
        <v>1280</v>
      </c>
      <c r="C959" s="8" t="s">
        <v>2064</v>
      </c>
      <c r="D959" s="8" t="s">
        <v>2065</v>
      </c>
      <c r="E959" s="13">
        <v>49200</v>
      </c>
      <c r="F959" s="14">
        <v>84000</v>
      </c>
    </row>
    <row r="960" spans="1:6" x14ac:dyDescent="0.3">
      <c r="A960" s="8">
        <v>958</v>
      </c>
      <c r="B960" s="8" t="s">
        <v>1280</v>
      </c>
      <c r="C960" s="8" t="s">
        <v>2066</v>
      </c>
      <c r="D960" s="8" t="s">
        <v>2067</v>
      </c>
      <c r="E960" s="13">
        <v>78500</v>
      </c>
      <c r="F960" s="14">
        <v>157000</v>
      </c>
    </row>
    <row r="961" spans="1:6" x14ac:dyDescent="0.3">
      <c r="A961" s="8">
        <v>959</v>
      </c>
      <c r="B961" s="8" t="s">
        <v>1280</v>
      </c>
      <c r="C961" s="8" t="s">
        <v>2068</v>
      </c>
      <c r="D961" s="8" t="s">
        <v>2069</v>
      </c>
      <c r="E961" s="13">
        <v>0</v>
      </c>
      <c r="F961" s="14">
        <v>0</v>
      </c>
    </row>
    <row r="962" spans="1:6" x14ac:dyDescent="0.3">
      <c r="A962" s="8">
        <v>960</v>
      </c>
      <c r="B962" s="8" t="s">
        <v>1280</v>
      </c>
      <c r="C962" s="8" t="s">
        <v>2070</v>
      </c>
      <c r="D962" s="8" t="s">
        <v>2071</v>
      </c>
      <c r="E962" s="13">
        <v>346000</v>
      </c>
      <c r="F962" s="14">
        <v>598000</v>
      </c>
    </row>
    <row r="963" spans="1:6" x14ac:dyDescent="0.3">
      <c r="A963" s="8">
        <v>961</v>
      </c>
      <c r="B963" s="8" t="s">
        <v>1293</v>
      </c>
      <c r="C963" s="8" t="s">
        <v>2072</v>
      </c>
      <c r="D963" s="8" t="s">
        <v>2073</v>
      </c>
      <c r="E963" s="13">
        <v>0</v>
      </c>
      <c r="F963" s="14">
        <v>0</v>
      </c>
    </row>
    <row r="964" spans="1:6" x14ac:dyDescent="0.3">
      <c r="A964" s="8">
        <v>962</v>
      </c>
      <c r="B964" s="8" t="s">
        <v>1293</v>
      </c>
      <c r="C964" s="8" t="s">
        <v>2074</v>
      </c>
      <c r="D964" s="8" t="s">
        <v>2075</v>
      </c>
      <c r="E964" s="13">
        <v>0</v>
      </c>
      <c r="F964" s="14">
        <v>0</v>
      </c>
    </row>
    <row r="965" spans="1:6" x14ac:dyDescent="0.3">
      <c r="A965" s="8">
        <v>963</v>
      </c>
      <c r="B965" s="8" t="s">
        <v>1293</v>
      </c>
      <c r="C965" s="8" t="s">
        <v>2076</v>
      </c>
      <c r="D965" s="8" t="s">
        <v>2077</v>
      </c>
      <c r="E965" s="13">
        <v>301000</v>
      </c>
      <c r="F965" s="14">
        <v>601852</v>
      </c>
    </row>
    <row r="966" spans="1:6" x14ac:dyDescent="0.3">
      <c r="A966" s="8">
        <v>964</v>
      </c>
      <c r="B966" s="8" t="s">
        <v>1293</v>
      </c>
      <c r="C966" s="8" t="s">
        <v>2078</v>
      </c>
      <c r="D966" s="8" t="s">
        <v>2079</v>
      </c>
      <c r="E966" s="13">
        <v>195000</v>
      </c>
      <c r="F966" s="14">
        <v>389815</v>
      </c>
    </row>
    <row r="967" spans="1:6" x14ac:dyDescent="0.3">
      <c r="A967" s="8">
        <v>965</v>
      </c>
      <c r="B967" s="8" t="s">
        <v>1293</v>
      </c>
      <c r="C967" s="8" t="s">
        <v>2080</v>
      </c>
      <c r="D967" s="8" t="s">
        <v>2081</v>
      </c>
      <c r="E967" s="13">
        <v>0</v>
      </c>
      <c r="F967" s="14">
        <v>0</v>
      </c>
    </row>
    <row r="968" spans="1:6" x14ac:dyDescent="0.3">
      <c r="A968" s="8">
        <v>966</v>
      </c>
      <c r="B968" s="8" t="s">
        <v>1293</v>
      </c>
      <c r="C968" s="8" t="s">
        <v>2082</v>
      </c>
      <c r="D968" s="8" t="s">
        <v>2083</v>
      </c>
      <c r="E968" s="13">
        <v>0</v>
      </c>
      <c r="F968" s="14">
        <v>0</v>
      </c>
    </row>
    <row r="969" spans="1:6" x14ac:dyDescent="0.3">
      <c r="A969" s="8">
        <v>967</v>
      </c>
      <c r="B969" s="8" t="s">
        <v>1293</v>
      </c>
      <c r="C969" s="8" t="s">
        <v>2084</v>
      </c>
      <c r="D969" s="8" t="s">
        <v>2085</v>
      </c>
      <c r="E969" s="13">
        <v>314900</v>
      </c>
      <c r="F969" s="14">
        <v>629630</v>
      </c>
    </row>
    <row r="970" spans="1:6" x14ac:dyDescent="0.3">
      <c r="A970" s="8">
        <v>968</v>
      </c>
      <c r="B970" s="8" t="s">
        <v>144</v>
      </c>
      <c r="C970" s="8" t="s">
        <v>2086</v>
      </c>
      <c r="D970" s="8" t="s">
        <v>2087</v>
      </c>
      <c r="E970" s="13">
        <v>0</v>
      </c>
      <c r="F970" s="14">
        <v>0</v>
      </c>
    </row>
    <row r="971" spans="1:6" x14ac:dyDescent="0.3">
      <c r="A971" s="8">
        <v>969</v>
      </c>
      <c r="B971" s="8" t="s">
        <v>144</v>
      </c>
      <c r="C971" s="8" t="s">
        <v>2088</v>
      </c>
      <c r="D971" s="8" t="s">
        <v>2089</v>
      </c>
      <c r="E971" s="13">
        <v>0</v>
      </c>
      <c r="F971" s="14">
        <v>0</v>
      </c>
    </row>
    <row r="972" spans="1:6" x14ac:dyDescent="0.3">
      <c r="A972" s="8">
        <v>970</v>
      </c>
      <c r="B972" s="8" t="s">
        <v>144</v>
      </c>
      <c r="C972" s="8" t="s">
        <v>2090</v>
      </c>
      <c r="D972" s="8" t="s">
        <v>2091</v>
      </c>
      <c r="E972" s="13">
        <v>0</v>
      </c>
      <c r="F972" s="14">
        <v>0</v>
      </c>
    </row>
    <row r="973" spans="1:6" x14ac:dyDescent="0.3">
      <c r="A973" s="8">
        <v>971</v>
      </c>
      <c r="B973" s="8" t="s">
        <v>144</v>
      </c>
      <c r="C973" s="8" t="s">
        <v>2092</v>
      </c>
      <c r="D973" s="8" t="s">
        <v>2093</v>
      </c>
      <c r="E973" s="13">
        <v>0</v>
      </c>
      <c r="F973" s="14">
        <v>0</v>
      </c>
    </row>
    <row r="974" spans="1:6" x14ac:dyDescent="0.3">
      <c r="A974" s="8">
        <v>972</v>
      </c>
      <c r="B974" s="8" t="s">
        <v>144</v>
      </c>
      <c r="C974" s="8" t="s">
        <v>2094</v>
      </c>
      <c r="D974" s="8" t="s">
        <v>2095</v>
      </c>
      <c r="E974" s="13">
        <v>0</v>
      </c>
      <c r="F974" s="14">
        <v>0</v>
      </c>
    </row>
    <row r="975" spans="1:6" x14ac:dyDescent="0.3">
      <c r="A975" s="8">
        <v>973</v>
      </c>
      <c r="B975" s="8" t="s">
        <v>144</v>
      </c>
      <c r="C975" s="8" t="s">
        <v>2096</v>
      </c>
      <c r="D975" s="8" t="s">
        <v>2097</v>
      </c>
      <c r="E975" s="13">
        <v>0</v>
      </c>
      <c r="F975" s="14">
        <v>0</v>
      </c>
    </row>
    <row r="976" spans="1:6" x14ac:dyDescent="0.3">
      <c r="A976" s="8">
        <v>974</v>
      </c>
      <c r="B976" s="8" t="s">
        <v>144</v>
      </c>
      <c r="C976" s="8" t="s">
        <v>2098</v>
      </c>
      <c r="D976" s="8" t="s">
        <v>2099</v>
      </c>
      <c r="E976" s="13">
        <v>0</v>
      </c>
      <c r="F976" s="14">
        <v>0</v>
      </c>
    </row>
    <row r="977" spans="1:6" x14ac:dyDescent="0.3">
      <c r="A977" s="8">
        <v>975</v>
      </c>
      <c r="B977" s="8" t="s">
        <v>144</v>
      </c>
      <c r="C977" s="8" t="s">
        <v>2100</v>
      </c>
      <c r="D977" s="8" t="s">
        <v>2101</v>
      </c>
      <c r="E977" s="13">
        <v>650000</v>
      </c>
      <c r="F977" s="14">
        <v>1300000</v>
      </c>
    </row>
    <row r="978" spans="1:6" x14ac:dyDescent="0.3">
      <c r="A978" s="8">
        <v>976</v>
      </c>
      <c r="B978" s="8" t="s">
        <v>144</v>
      </c>
      <c r="C978" s="8" t="s">
        <v>2102</v>
      </c>
      <c r="D978" s="8" t="s">
        <v>2103</v>
      </c>
      <c r="E978" s="13">
        <v>0</v>
      </c>
      <c r="F978" s="14">
        <v>0</v>
      </c>
    </row>
    <row r="979" spans="1:6" x14ac:dyDescent="0.3">
      <c r="A979" s="8">
        <v>977</v>
      </c>
      <c r="B979" s="8" t="s">
        <v>144</v>
      </c>
      <c r="C979" s="8" t="s">
        <v>2104</v>
      </c>
      <c r="D979" s="8" t="s">
        <v>2105</v>
      </c>
      <c r="E979" s="13">
        <v>0</v>
      </c>
      <c r="F979" s="14">
        <v>0</v>
      </c>
    </row>
    <row r="980" spans="1:6" x14ac:dyDescent="0.3">
      <c r="A980" s="8">
        <v>978</v>
      </c>
      <c r="B980" s="8" t="s">
        <v>144</v>
      </c>
      <c r="C980" s="8" t="s">
        <v>2106</v>
      </c>
      <c r="D980" s="8" t="s">
        <v>2107</v>
      </c>
      <c r="E980" s="13">
        <v>0</v>
      </c>
      <c r="F980" s="14">
        <v>0</v>
      </c>
    </row>
    <row r="981" spans="1:6" x14ac:dyDescent="0.3">
      <c r="A981" s="8">
        <v>979</v>
      </c>
      <c r="B981" s="8" t="s">
        <v>144</v>
      </c>
      <c r="C981" s="8" t="s">
        <v>2108</v>
      </c>
      <c r="D981" s="8" t="s">
        <v>2109</v>
      </c>
      <c r="E981" s="13">
        <v>161000</v>
      </c>
      <c r="F981" s="14">
        <v>322222</v>
      </c>
    </row>
    <row r="982" spans="1:6" x14ac:dyDescent="0.3">
      <c r="A982" s="8">
        <v>980</v>
      </c>
      <c r="B982" s="8" t="s">
        <v>144</v>
      </c>
      <c r="C982" s="8" t="s">
        <v>2110</v>
      </c>
      <c r="D982" s="8" t="s">
        <v>2111</v>
      </c>
      <c r="E982" s="13">
        <v>0</v>
      </c>
      <c r="F982" s="14">
        <v>0</v>
      </c>
    </row>
    <row r="983" spans="1:6" x14ac:dyDescent="0.3">
      <c r="A983" s="8">
        <v>981</v>
      </c>
      <c r="B983" s="8" t="s">
        <v>144</v>
      </c>
      <c r="C983" s="8" t="s">
        <v>2112</v>
      </c>
      <c r="D983" s="8" t="s">
        <v>2113</v>
      </c>
      <c r="E983" s="13">
        <v>0</v>
      </c>
      <c r="F983" s="14">
        <v>0</v>
      </c>
    </row>
    <row r="984" spans="1:6" x14ac:dyDescent="0.3">
      <c r="A984" s="8">
        <v>982</v>
      </c>
      <c r="B984" s="8" t="s">
        <v>275</v>
      </c>
      <c r="C984" s="8" t="s">
        <v>2114</v>
      </c>
      <c r="D984" s="8" t="s">
        <v>2115</v>
      </c>
      <c r="E984" s="13">
        <v>230000</v>
      </c>
      <c r="F984" s="14">
        <v>460000</v>
      </c>
    </row>
    <row r="985" spans="1:6" x14ac:dyDescent="0.3">
      <c r="A985" s="8">
        <v>983</v>
      </c>
      <c r="B985" s="8" t="s">
        <v>1178</v>
      </c>
      <c r="C985" s="8" t="s">
        <v>2116</v>
      </c>
      <c r="D985" s="8" t="s">
        <v>2117</v>
      </c>
      <c r="E985" s="13">
        <v>0</v>
      </c>
      <c r="F985" s="14">
        <v>0</v>
      </c>
    </row>
    <row r="986" spans="1:6" x14ac:dyDescent="0.3">
      <c r="A986" s="8">
        <v>984</v>
      </c>
      <c r="B986" s="8" t="s">
        <v>282</v>
      </c>
      <c r="C986" s="8" t="s">
        <v>2118</v>
      </c>
      <c r="D986" s="8" t="s">
        <v>2119</v>
      </c>
      <c r="E986" s="13">
        <v>0</v>
      </c>
      <c r="F986" s="14">
        <v>0</v>
      </c>
    </row>
    <row r="987" spans="1:6" x14ac:dyDescent="0.3">
      <c r="A987" s="8">
        <v>985</v>
      </c>
      <c r="B987" s="8" t="s">
        <v>282</v>
      </c>
      <c r="C987" s="8" t="s">
        <v>2120</v>
      </c>
      <c r="D987" s="8" t="s">
        <v>2121</v>
      </c>
      <c r="E987" s="13">
        <v>0</v>
      </c>
      <c r="F987" s="14">
        <v>0</v>
      </c>
    </row>
    <row r="988" spans="1:6" x14ac:dyDescent="0.3">
      <c r="A988" s="8">
        <v>986</v>
      </c>
      <c r="B988" s="8" t="s">
        <v>287</v>
      </c>
      <c r="C988" s="8" t="s">
        <v>2122</v>
      </c>
      <c r="D988" s="8" t="s">
        <v>2123</v>
      </c>
      <c r="E988" s="13">
        <v>190000</v>
      </c>
      <c r="F988" s="14">
        <v>342000</v>
      </c>
    </row>
    <row r="989" spans="1:6" x14ac:dyDescent="0.3">
      <c r="A989" s="8">
        <v>987</v>
      </c>
      <c r="B989" s="8" t="s">
        <v>287</v>
      </c>
      <c r="C989" s="8" t="s">
        <v>2124</v>
      </c>
      <c r="D989" s="8" t="s">
        <v>2125</v>
      </c>
      <c r="E989" s="13">
        <v>0</v>
      </c>
      <c r="F989" s="14">
        <v>0</v>
      </c>
    </row>
    <row r="990" spans="1:6" x14ac:dyDescent="0.3">
      <c r="A990" s="8">
        <v>988</v>
      </c>
      <c r="B990" s="8" t="s">
        <v>1259</v>
      </c>
      <c r="C990" s="8" t="s">
        <v>2126</v>
      </c>
      <c r="D990" s="8" t="s">
        <v>2127</v>
      </c>
      <c r="E990" s="13">
        <v>18520</v>
      </c>
      <c r="F990" s="14">
        <v>32000</v>
      </c>
    </row>
    <row r="991" spans="1:6" x14ac:dyDescent="0.3">
      <c r="A991" s="8">
        <v>989</v>
      </c>
      <c r="B991" s="8" t="s">
        <v>1259</v>
      </c>
      <c r="C991" s="8" t="s">
        <v>2128</v>
      </c>
      <c r="D991" s="8" t="s">
        <v>2129</v>
      </c>
      <c r="E991" s="13">
        <v>0</v>
      </c>
      <c r="F991" s="14">
        <v>0</v>
      </c>
    </row>
    <row r="992" spans="1:6" x14ac:dyDescent="0.3">
      <c r="A992" s="8">
        <v>990</v>
      </c>
      <c r="B992" s="8" t="s">
        <v>1259</v>
      </c>
      <c r="C992" s="8" t="s">
        <v>2130</v>
      </c>
      <c r="D992" s="8" t="s">
        <v>2131</v>
      </c>
      <c r="E992" s="13">
        <v>0</v>
      </c>
      <c r="F992" s="14">
        <v>0</v>
      </c>
    </row>
    <row r="993" spans="1:6" x14ac:dyDescent="0.3">
      <c r="A993" s="8">
        <v>991</v>
      </c>
      <c r="B993" s="8" t="s">
        <v>1259</v>
      </c>
      <c r="C993" s="8" t="s">
        <v>2132</v>
      </c>
      <c r="D993" s="8" t="s">
        <v>2133</v>
      </c>
      <c r="E993" s="13">
        <v>0</v>
      </c>
      <c r="F993" s="14">
        <v>0</v>
      </c>
    </row>
    <row r="994" spans="1:6" x14ac:dyDescent="0.3">
      <c r="A994" s="8">
        <v>992</v>
      </c>
      <c r="B994" s="8" t="s">
        <v>1280</v>
      </c>
      <c r="C994" s="8" t="s">
        <v>2134</v>
      </c>
      <c r="D994" s="8" t="s">
        <v>2135</v>
      </c>
      <c r="E994" s="13">
        <v>64300</v>
      </c>
      <c r="F994" s="14">
        <v>129000</v>
      </c>
    </row>
    <row r="995" spans="1:6" x14ac:dyDescent="0.3">
      <c r="A995" s="8">
        <v>993</v>
      </c>
      <c r="B995" s="8" t="s">
        <v>144</v>
      </c>
      <c r="C995" s="8" t="s">
        <v>2136</v>
      </c>
      <c r="D995" s="8" t="s">
        <v>2137</v>
      </c>
      <c r="E995" s="13">
        <v>0</v>
      </c>
      <c r="F995" s="14">
        <v>0</v>
      </c>
    </row>
    <row r="996" spans="1:6" x14ac:dyDescent="0.3">
      <c r="A996" s="8">
        <v>994</v>
      </c>
      <c r="B996" s="8" t="s">
        <v>144</v>
      </c>
      <c r="C996" s="8" t="s">
        <v>2138</v>
      </c>
      <c r="D996" s="8" t="s">
        <v>2139</v>
      </c>
      <c r="E996" s="13">
        <v>0</v>
      </c>
      <c r="F996" s="14">
        <v>0</v>
      </c>
    </row>
    <row r="997" spans="1:6" x14ac:dyDescent="0.3">
      <c r="A997" s="8">
        <v>995</v>
      </c>
      <c r="B997" s="8" t="s">
        <v>144</v>
      </c>
      <c r="C997" s="8" t="s">
        <v>2140</v>
      </c>
      <c r="D997" s="8" t="s">
        <v>2141</v>
      </c>
      <c r="E997" s="13">
        <v>0</v>
      </c>
      <c r="F997" s="14">
        <v>0</v>
      </c>
    </row>
    <row r="998" spans="1:6" x14ac:dyDescent="0.3">
      <c r="A998" s="8">
        <v>996</v>
      </c>
      <c r="B998" s="8" t="s">
        <v>144</v>
      </c>
      <c r="C998" s="8" t="s">
        <v>2142</v>
      </c>
      <c r="D998" s="8" t="s">
        <v>2143</v>
      </c>
      <c r="E998" s="13">
        <v>0</v>
      </c>
      <c r="F998" s="14">
        <v>0</v>
      </c>
    </row>
    <row r="999" spans="1:6" x14ac:dyDescent="0.3">
      <c r="A999" s="8">
        <v>997</v>
      </c>
      <c r="B999" s="8" t="s">
        <v>144</v>
      </c>
      <c r="C999" s="8" t="s">
        <v>2144</v>
      </c>
      <c r="D999" s="8" t="s">
        <v>2145</v>
      </c>
      <c r="E999" s="13">
        <v>365000</v>
      </c>
      <c r="F999" s="14">
        <v>586111</v>
      </c>
    </row>
    <row r="1000" spans="1:6" x14ac:dyDescent="0.3">
      <c r="A1000" s="8">
        <v>998</v>
      </c>
      <c r="B1000" s="8" t="s">
        <v>144</v>
      </c>
      <c r="C1000" s="8" t="s">
        <v>2146</v>
      </c>
      <c r="D1000" s="8" t="s">
        <v>2147</v>
      </c>
      <c r="E1000" s="13">
        <v>0</v>
      </c>
      <c r="F1000" s="14">
        <v>0</v>
      </c>
    </row>
    <row r="1001" spans="1:6" x14ac:dyDescent="0.3">
      <c r="A1001" s="8">
        <v>999</v>
      </c>
      <c r="B1001" s="8" t="s">
        <v>144</v>
      </c>
      <c r="C1001" s="8" t="s">
        <v>2148</v>
      </c>
      <c r="D1001" s="8" t="s">
        <v>2149</v>
      </c>
      <c r="E1001" s="13">
        <v>0</v>
      </c>
      <c r="F1001" s="14">
        <v>0</v>
      </c>
    </row>
    <row r="1002" spans="1:6" x14ac:dyDescent="0.3">
      <c r="A1002" s="8">
        <v>1000</v>
      </c>
      <c r="B1002" s="8" t="s">
        <v>144</v>
      </c>
      <c r="C1002" s="8" t="s">
        <v>2150</v>
      </c>
      <c r="D1002" s="8" t="s">
        <v>2151</v>
      </c>
      <c r="E1002" s="13">
        <v>0</v>
      </c>
      <c r="F1002" s="14">
        <v>0</v>
      </c>
    </row>
    <row r="1003" spans="1:6" x14ac:dyDescent="0.3">
      <c r="A1003" s="8">
        <v>1001</v>
      </c>
      <c r="B1003" s="8" t="s">
        <v>144</v>
      </c>
      <c r="C1003" s="8" t="s">
        <v>2152</v>
      </c>
      <c r="D1003" s="8" t="s">
        <v>2153</v>
      </c>
      <c r="E1003" s="13">
        <v>0</v>
      </c>
      <c r="F1003" s="14">
        <v>0</v>
      </c>
    </row>
    <row r="1004" spans="1:6" x14ac:dyDescent="0.3">
      <c r="A1004" s="8">
        <v>1002</v>
      </c>
      <c r="B1004" s="8" t="s">
        <v>1335</v>
      </c>
      <c r="C1004" s="8" t="s">
        <v>2154</v>
      </c>
      <c r="D1004" s="8" t="s">
        <v>2155</v>
      </c>
      <c r="E1004" s="13">
        <v>0</v>
      </c>
      <c r="F1004" s="14">
        <v>0</v>
      </c>
    </row>
    <row r="1005" spans="1:6" x14ac:dyDescent="0.3">
      <c r="A1005" s="8">
        <v>1003</v>
      </c>
      <c r="B1005" s="8" t="s">
        <v>1335</v>
      </c>
      <c r="C1005" s="8" t="s">
        <v>2156</v>
      </c>
      <c r="D1005" s="8" t="s">
        <v>81</v>
      </c>
      <c r="E1005" s="13">
        <v>4700</v>
      </c>
      <c r="F1005" s="14">
        <v>8182</v>
      </c>
    </row>
    <row r="1006" spans="1:6" x14ac:dyDescent="0.3">
      <c r="A1006" s="8">
        <v>1004</v>
      </c>
      <c r="B1006" s="8" t="s">
        <v>275</v>
      </c>
      <c r="C1006" s="8" t="s">
        <v>2157</v>
      </c>
      <c r="D1006" s="8" t="s">
        <v>2158</v>
      </c>
      <c r="E1006" s="13">
        <v>230000</v>
      </c>
      <c r="F1006" s="14">
        <v>460185</v>
      </c>
    </row>
    <row r="1007" spans="1:6" x14ac:dyDescent="0.3">
      <c r="A1007" s="8">
        <v>1005</v>
      </c>
      <c r="B1007" s="8" t="s">
        <v>275</v>
      </c>
      <c r="C1007" s="8" t="s">
        <v>2159</v>
      </c>
      <c r="D1007" s="8" t="s">
        <v>2160</v>
      </c>
      <c r="E1007" s="13">
        <v>6300</v>
      </c>
      <c r="F1007" s="14">
        <v>12963</v>
      </c>
    </row>
    <row r="1008" spans="1:6" x14ac:dyDescent="0.3">
      <c r="A1008" s="8">
        <v>1006</v>
      </c>
      <c r="B1008" s="8" t="s">
        <v>275</v>
      </c>
      <c r="C1008" s="8" t="s">
        <v>2161</v>
      </c>
      <c r="D1008" s="8" t="s">
        <v>2162</v>
      </c>
      <c r="E1008" s="13">
        <v>230000</v>
      </c>
      <c r="F1008" s="14">
        <v>460000</v>
      </c>
    </row>
    <row r="1009" spans="1:6" x14ac:dyDescent="0.3">
      <c r="A1009" s="8">
        <v>1007</v>
      </c>
      <c r="B1009" s="8" t="s">
        <v>275</v>
      </c>
      <c r="C1009" s="8" t="s">
        <v>2163</v>
      </c>
      <c r="D1009" s="8" t="s">
        <v>2164</v>
      </c>
      <c r="E1009" s="13">
        <v>230000</v>
      </c>
      <c r="F1009" s="14">
        <v>460000</v>
      </c>
    </row>
    <row r="1010" spans="1:6" x14ac:dyDescent="0.3">
      <c r="A1010" s="8">
        <v>1008</v>
      </c>
      <c r="B1010" s="8" t="s">
        <v>275</v>
      </c>
      <c r="C1010" s="8" t="s">
        <v>2165</v>
      </c>
      <c r="D1010" s="8" t="s">
        <v>2166</v>
      </c>
      <c r="E1010" s="13">
        <v>0</v>
      </c>
      <c r="F1010" s="14">
        <v>0</v>
      </c>
    </row>
    <row r="1011" spans="1:6" x14ac:dyDescent="0.3">
      <c r="A1011" s="8">
        <v>1009</v>
      </c>
      <c r="B1011" s="8" t="s">
        <v>275</v>
      </c>
      <c r="C1011" s="8" t="s">
        <v>2167</v>
      </c>
      <c r="D1011" s="8" t="s">
        <v>2168</v>
      </c>
      <c r="E1011" s="13">
        <v>450000</v>
      </c>
      <c r="F1011" s="14">
        <v>900000</v>
      </c>
    </row>
    <row r="1012" spans="1:6" x14ac:dyDescent="0.3">
      <c r="A1012" s="8">
        <v>1010</v>
      </c>
      <c r="B1012" s="8" t="s">
        <v>275</v>
      </c>
      <c r="C1012" s="8" t="s">
        <v>2169</v>
      </c>
      <c r="D1012" s="8" t="s">
        <v>2170</v>
      </c>
      <c r="E1012" s="13">
        <v>0</v>
      </c>
      <c r="F1012" s="14">
        <v>0</v>
      </c>
    </row>
    <row r="1013" spans="1:6" x14ac:dyDescent="0.3">
      <c r="A1013" s="8">
        <v>1011</v>
      </c>
      <c r="B1013" s="8" t="s">
        <v>275</v>
      </c>
      <c r="C1013" s="8" t="s">
        <v>2171</v>
      </c>
      <c r="D1013" s="8" t="s">
        <v>2172</v>
      </c>
      <c r="E1013" s="13">
        <v>0</v>
      </c>
      <c r="F1013" s="14">
        <v>0</v>
      </c>
    </row>
    <row r="1014" spans="1:6" x14ac:dyDescent="0.3">
      <c r="A1014" s="8">
        <v>1012</v>
      </c>
      <c r="B1014" s="8" t="s">
        <v>275</v>
      </c>
      <c r="C1014" s="8" t="s">
        <v>2173</v>
      </c>
      <c r="D1014" s="8" t="s">
        <v>2174</v>
      </c>
      <c r="E1014" s="13">
        <v>130000</v>
      </c>
      <c r="F1014" s="14">
        <v>260000</v>
      </c>
    </row>
    <row r="1015" spans="1:6" x14ac:dyDescent="0.3">
      <c r="A1015" s="8">
        <v>1013</v>
      </c>
      <c r="B1015" s="8" t="s">
        <v>1178</v>
      </c>
      <c r="C1015" s="8" t="s">
        <v>2175</v>
      </c>
      <c r="D1015" s="8" t="s">
        <v>2176</v>
      </c>
      <c r="E1015" s="13">
        <v>0</v>
      </c>
      <c r="F1015" s="14">
        <v>0</v>
      </c>
    </row>
    <row r="1016" spans="1:6" x14ac:dyDescent="0.3">
      <c r="A1016" s="8">
        <v>1014</v>
      </c>
      <c r="B1016" s="8" t="s">
        <v>1178</v>
      </c>
      <c r="C1016" s="8" t="s">
        <v>2177</v>
      </c>
      <c r="D1016" s="8" t="s">
        <v>2178</v>
      </c>
      <c r="E1016" s="13">
        <v>0</v>
      </c>
      <c r="F1016" s="14">
        <v>0</v>
      </c>
    </row>
    <row r="1017" spans="1:6" x14ac:dyDescent="0.3">
      <c r="A1017" s="8">
        <v>1015</v>
      </c>
      <c r="B1017" s="8" t="s">
        <v>282</v>
      </c>
      <c r="C1017" s="8" t="s">
        <v>2179</v>
      </c>
      <c r="D1017" s="8" t="s">
        <v>2180</v>
      </c>
      <c r="E1017" s="13">
        <v>0</v>
      </c>
      <c r="F1017" s="14">
        <v>117000</v>
      </c>
    </row>
    <row r="1018" spans="1:6" x14ac:dyDescent="0.3">
      <c r="A1018" s="8">
        <v>1016</v>
      </c>
      <c r="B1018" s="8" t="s">
        <v>282</v>
      </c>
      <c r="C1018" s="8" t="s">
        <v>2181</v>
      </c>
      <c r="D1018" s="8" t="s">
        <v>2182</v>
      </c>
      <c r="E1018" s="13">
        <v>0</v>
      </c>
      <c r="F1018" s="14">
        <v>0</v>
      </c>
    </row>
    <row r="1019" spans="1:6" x14ac:dyDescent="0.3">
      <c r="A1019" s="8">
        <v>1017</v>
      </c>
      <c r="B1019" s="8" t="s">
        <v>282</v>
      </c>
      <c r="C1019" s="8" t="s">
        <v>2183</v>
      </c>
      <c r="D1019" s="8" t="s">
        <v>2184</v>
      </c>
      <c r="E1019" s="13">
        <v>11670</v>
      </c>
      <c r="F1019" s="14">
        <v>19000</v>
      </c>
    </row>
    <row r="1020" spans="1:6" x14ac:dyDescent="0.3">
      <c r="A1020" s="8">
        <v>1018</v>
      </c>
      <c r="B1020" s="8" t="s">
        <v>282</v>
      </c>
      <c r="C1020" s="8" t="s">
        <v>2185</v>
      </c>
      <c r="D1020" s="8" t="s">
        <v>2186</v>
      </c>
      <c r="E1020" s="13">
        <v>0</v>
      </c>
      <c r="F1020" s="14">
        <v>0</v>
      </c>
    </row>
    <row r="1021" spans="1:6" x14ac:dyDescent="0.3">
      <c r="A1021" s="8">
        <v>1019</v>
      </c>
      <c r="B1021" s="8" t="s">
        <v>287</v>
      </c>
      <c r="C1021" s="8" t="s">
        <v>2187</v>
      </c>
      <c r="D1021" s="8" t="s">
        <v>2188</v>
      </c>
      <c r="E1021" s="13">
        <v>106560</v>
      </c>
      <c r="F1021" s="14">
        <v>169000</v>
      </c>
    </row>
    <row r="1022" spans="1:6" x14ac:dyDescent="0.3">
      <c r="A1022" s="8">
        <v>1020</v>
      </c>
      <c r="B1022" s="8" t="s">
        <v>287</v>
      </c>
      <c r="C1022" s="8" t="s">
        <v>2189</v>
      </c>
      <c r="D1022" s="8" t="s">
        <v>2190</v>
      </c>
      <c r="E1022" s="13">
        <v>0</v>
      </c>
      <c r="F1022" s="14">
        <v>0</v>
      </c>
    </row>
    <row r="1023" spans="1:6" x14ac:dyDescent="0.3">
      <c r="A1023" s="8">
        <v>1021</v>
      </c>
      <c r="B1023" s="8" t="s">
        <v>287</v>
      </c>
      <c r="C1023" s="8" t="s">
        <v>2191</v>
      </c>
      <c r="D1023" s="8" t="s">
        <v>2192</v>
      </c>
      <c r="E1023" s="13">
        <v>104000</v>
      </c>
      <c r="F1023" s="14">
        <v>208333</v>
      </c>
    </row>
    <row r="1024" spans="1:6" x14ac:dyDescent="0.3">
      <c r="A1024" s="8">
        <v>1022</v>
      </c>
      <c r="B1024" s="8" t="s">
        <v>287</v>
      </c>
      <c r="C1024" s="8" t="s">
        <v>2193</v>
      </c>
      <c r="D1024" s="8" t="s">
        <v>2194</v>
      </c>
      <c r="E1024" s="13">
        <v>105000</v>
      </c>
      <c r="F1024" s="14">
        <v>191000</v>
      </c>
    </row>
    <row r="1025" spans="1:6" x14ac:dyDescent="0.3">
      <c r="A1025" s="8">
        <v>1023</v>
      </c>
      <c r="B1025" s="8" t="s">
        <v>287</v>
      </c>
      <c r="C1025" s="8" t="s">
        <v>2195</v>
      </c>
      <c r="D1025" s="8" t="s">
        <v>2196</v>
      </c>
      <c r="E1025" s="13">
        <v>0</v>
      </c>
      <c r="F1025" s="14">
        <v>0</v>
      </c>
    </row>
    <row r="1026" spans="1:6" x14ac:dyDescent="0.3">
      <c r="A1026" s="8">
        <v>1024</v>
      </c>
      <c r="B1026" s="8" t="s">
        <v>1259</v>
      </c>
      <c r="C1026" s="8" t="s">
        <v>2197</v>
      </c>
      <c r="D1026" s="8" t="s">
        <v>2198</v>
      </c>
      <c r="E1026" s="13">
        <v>0</v>
      </c>
      <c r="F1026" s="14">
        <v>0</v>
      </c>
    </row>
    <row r="1027" spans="1:6" x14ac:dyDescent="0.3">
      <c r="A1027" s="8">
        <v>1025</v>
      </c>
      <c r="B1027" s="8" t="s">
        <v>1259</v>
      </c>
      <c r="C1027" s="8" t="s">
        <v>2199</v>
      </c>
      <c r="D1027" s="8" t="s">
        <v>2200</v>
      </c>
      <c r="E1027" s="13">
        <v>0</v>
      </c>
      <c r="F1027" s="14">
        <v>0</v>
      </c>
    </row>
    <row r="1028" spans="1:6" x14ac:dyDescent="0.3">
      <c r="A1028" s="8">
        <v>1026</v>
      </c>
      <c r="B1028" s="8" t="s">
        <v>1259</v>
      </c>
      <c r="C1028" s="8" t="s">
        <v>2201</v>
      </c>
      <c r="D1028" s="8" t="s">
        <v>2202</v>
      </c>
      <c r="E1028" s="13">
        <v>0</v>
      </c>
      <c r="F1028" s="14">
        <v>0</v>
      </c>
    </row>
    <row r="1029" spans="1:6" x14ac:dyDescent="0.3">
      <c r="A1029" s="8">
        <v>1027</v>
      </c>
      <c r="B1029" s="8" t="s">
        <v>1259</v>
      </c>
      <c r="C1029" s="8" t="s">
        <v>2203</v>
      </c>
      <c r="D1029" s="8" t="s">
        <v>2204</v>
      </c>
      <c r="E1029" s="13">
        <v>0</v>
      </c>
      <c r="F1029" s="14">
        <v>0</v>
      </c>
    </row>
    <row r="1030" spans="1:6" x14ac:dyDescent="0.3">
      <c r="A1030" s="8">
        <v>1028</v>
      </c>
      <c r="B1030" s="8" t="s">
        <v>1259</v>
      </c>
      <c r="C1030" s="8" t="s">
        <v>2205</v>
      </c>
      <c r="D1030" s="8" t="s">
        <v>2206</v>
      </c>
      <c r="E1030" s="13">
        <v>0</v>
      </c>
      <c r="F1030" s="14">
        <v>0</v>
      </c>
    </row>
    <row r="1031" spans="1:6" x14ac:dyDescent="0.3">
      <c r="A1031" s="8">
        <v>1029</v>
      </c>
      <c r="B1031" s="8" t="s">
        <v>1280</v>
      </c>
      <c r="C1031" s="8" t="s">
        <v>2207</v>
      </c>
      <c r="D1031" s="8" t="s">
        <v>2208</v>
      </c>
      <c r="E1031" s="13">
        <v>0</v>
      </c>
      <c r="F1031" s="14">
        <v>0</v>
      </c>
    </row>
    <row r="1032" spans="1:6" x14ac:dyDescent="0.3">
      <c r="A1032" s="8">
        <v>1030</v>
      </c>
      <c r="B1032" s="8" t="s">
        <v>1280</v>
      </c>
      <c r="C1032" s="8" t="s">
        <v>2209</v>
      </c>
      <c r="D1032" s="8" t="s">
        <v>2210</v>
      </c>
      <c r="E1032" s="13">
        <v>0</v>
      </c>
      <c r="F1032" s="14">
        <v>0</v>
      </c>
    </row>
    <row r="1033" spans="1:6" x14ac:dyDescent="0.3">
      <c r="A1033" s="8">
        <v>1031</v>
      </c>
      <c r="B1033" s="8" t="s">
        <v>1280</v>
      </c>
      <c r="C1033" s="8" t="s">
        <v>2211</v>
      </c>
      <c r="D1033" s="8" t="s">
        <v>2212</v>
      </c>
      <c r="E1033" s="13">
        <v>16300</v>
      </c>
      <c r="F1033" s="14">
        <v>26000</v>
      </c>
    </row>
    <row r="1034" spans="1:6" x14ac:dyDescent="0.3">
      <c r="A1034" s="8">
        <v>1032</v>
      </c>
      <c r="B1034" s="8" t="s">
        <v>1280</v>
      </c>
      <c r="C1034" s="8" t="s">
        <v>2213</v>
      </c>
      <c r="D1034" s="8" t="s">
        <v>2214</v>
      </c>
      <c r="E1034" s="13">
        <v>0</v>
      </c>
      <c r="F1034" s="14">
        <v>0</v>
      </c>
    </row>
    <row r="1035" spans="1:6" x14ac:dyDescent="0.3">
      <c r="A1035" s="8">
        <v>1033</v>
      </c>
      <c r="B1035" s="8" t="s">
        <v>1293</v>
      </c>
      <c r="C1035" s="8" t="s">
        <v>2215</v>
      </c>
      <c r="D1035" s="8" t="s">
        <v>2216</v>
      </c>
      <c r="E1035" s="13">
        <v>213600</v>
      </c>
      <c r="F1035" s="14">
        <v>426852</v>
      </c>
    </row>
    <row r="1036" spans="1:6" x14ac:dyDescent="0.3">
      <c r="A1036" s="8">
        <v>1034</v>
      </c>
      <c r="B1036" s="8" t="s">
        <v>1293</v>
      </c>
      <c r="C1036" s="8" t="s">
        <v>2217</v>
      </c>
      <c r="D1036" s="8" t="s">
        <v>2218</v>
      </c>
      <c r="E1036" s="13">
        <v>0</v>
      </c>
      <c r="F1036" s="14">
        <v>646000</v>
      </c>
    </row>
    <row r="1037" spans="1:6" x14ac:dyDescent="0.3">
      <c r="A1037" s="8">
        <v>1035</v>
      </c>
      <c r="B1037" s="8" t="s">
        <v>1293</v>
      </c>
      <c r="C1037" s="8" t="s">
        <v>2219</v>
      </c>
      <c r="D1037" s="8" t="s">
        <v>2220</v>
      </c>
      <c r="E1037" s="13">
        <v>148200</v>
      </c>
      <c r="F1037" s="14">
        <v>296296</v>
      </c>
    </row>
    <row r="1038" spans="1:6" x14ac:dyDescent="0.3">
      <c r="A1038" s="8">
        <v>1036</v>
      </c>
      <c r="B1038" s="8" t="s">
        <v>1293</v>
      </c>
      <c r="C1038" s="8" t="s">
        <v>2221</v>
      </c>
      <c r="D1038" s="8" t="s">
        <v>2222</v>
      </c>
      <c r="E1038" s="13">
        <v>106500</v>
      </c>
      <c r="F1038" s="14">
        <v>212963</v>
      </c>
    </row>
    <row r="1039" spans="1:6" x14ac:dyDescent="0.3">
      <c r="A1039" s="8">
        <v>1037</v>
      </c>
      <c r="B1039" s="8" t="s">
        <v>1293</v>
      </c>
      <c r="C1039" s="8" t="s">
        <v>2223</v>
      </c>
      <c r="D1039" s="8" t="s">
        <v>2224</v>
      </c>
      <c r="E1039" s="13">
        <v>0</v>
      </c>
      <c r="F1039" s="14">
        <v>0</v>
      </c>
    </row>
    <row r="1040" spans="1:6" x14ac:dyDescent="0.3">
      <c r="A1040" s="8">
        <v>1038</v>
      </c>
      <c r="B1040" s="8" t="s">
        <v>1296</v>
      </c>
      <c r="C1040" s="8" t="s">
        <v>2225</v>
      </c>
      <c r="D1040" s="8" t="s">
        <v>2226</v>
      </c>
      <c r="E1040" s="13">
        <v>0</v>
      </c>
      <c r="F1040" s="14">
        <v>1050000</v>
      </c>
    </row>
    <row r="1041" spans="1:6" x14ac:dyDescent="0.3">
      <c r="A1041" s="8">
        <v>1039</v>
      </c>
      <c r="B1041" s="8" t="s">
        <v>1296</v>
      </c>
      <c r="C1041" s="8" t="s">
        <v>2227</v>
      </c>
      <c r="D1041" s="8" t="s">
        <v>2228</v>
      </c>
      <c r="E1041" s="13">
        <v>0</v>
      </c>
      <c r="F1041" s="14">
        <v>183333</v>
      </c>
    </row>
    <row r="1042" spans="1:6" x14ac:dyDescent="0.3">
      <c r="A1042" s="8">
        <v>1040</v>
      </c>
      <c r="B1042" s="8" t="s">
        <v>2229</v>
      </c>
      <c r="C1042" s="8" t="s">
        <v>2230</v>
      </c>
      <c r="D1042" s="8" t="s">
        <v>2231</v>
      </c>
      <c r="E1042" s="13">
        <v>0</v>
      </c>
      <c r="F1042" s="14">
        <v>0</v>
      </c>
    </row>
    <row r="1043" spans="1:6" x14ac:dyDescent="0.3">
      <c r="A1043" s="8">
        <v>1041</v>
      </c>
      <c r="B1043" s="8" t="s">
        <v>2229</v>
      </c>
      <c r="C1043" s="8" t="s">
        <v>2232</v>
      </c>
      <c r="D1043" s="8" t="s">
        <v>2233</v>
      </c>
      <c r="E1043" s="13">
        <v>493900</v>
      </c>
      <c r="F1043" s="14">
        <v>960185</v>
      </c>
    </row>
    <row r="1044" spans="1:6" x14ac:dyDescent="0.3">
      <c r="A1044" s="8">
        <v>1042</v>
      </c>
      <c r="B1044" s="8" t="s">
        <v>2229</v>
      </c>
      <c r="C1044" s="8" t="s">
        <v>2234</v>
      </c>
      <c r="D1044" s="8" t="s">
        <v>2235</v>
      </c>
      <c r="E1044" s="13">
        <v>0</v>
      </c>
      <c r="F1044" s="14">
        <v>798000</v>
      </c>
    </row>
    <row r="1045" spans="1:6" x14ac:dyDescent="0.3">
      <c r="A1045" s="8">
        <v>1043</v>
      </c>
      <c r="B1045" s="8" t="s">
        <v>1178</v>
      </c>
      <c r="C1045" s="8" t="s">
        <v>2236</v>
      </c>
      <c r="D1045" s="8" t="s">
        <v>2237</v>
      </c>
      <c r="E1045" s="13">
        <v>0</v>
      </c>
      <c r="F1045" s="14">
        <v>11000</v>
      </c>
    </row>
    <row r="1046" spans="1:6" x14ac:dyDescent="0.3">
      <c r="A1046" s="8">
        <v>1044</v>
      </c>
      <c r="B1046" s="8" t="s">
        <v>1178</v>
      </c>
      <c r="C1046" s="8" t="s">
        <v>2238</v>
      </c>
      <c r="D1046" s="8" t="s">
        <v>2239</v>
      </c>
      <c r="E1046" s="13">
        <v>0</v>
      </c>
      <c r="F1046" s="14">
        <v>0</v>
      </c>
    </row>
    <row r="1047" spans="1:6" x14ac:dyDescent="0.3">
      <c r="A1047" s="8">
        <v>1045</v>
      </c>
      <c r="B1047" s="8" t="s">
        <v>282</v>
      </c>
      <c r="C1047" s="8" t="s">
        <v>2240</v>
      </c>
      <c r="D1047" s="8" t="s">
        <v>2241</v>
      </c>
      <c r="E1047" s="13">
        <v>11670</v>
      </c>
      <c r="F1047" s="14">
        <v>17000</v>
      </c>
    </row>
    <row r="1048" spans="1:6" x14ac:dyDescent="0.3">
      <c r="A1048" s="8">
        <v>1046</v>
      </c>
      <c r="B1048" s="8" t="s">
        <v>282</v>
      </c>
      <c r="C1048" s="8" t="s">
        <v>2242</v>
      </c>
      <c r="D1048" s="8" t="s">
        <v>2243</v>
      </c>
      <c r="E1048" s="13">
        <v>46000</v>
      </c>
      <c r="F1048" s="14">
        <v>74000</v>
      </c>
    </row>
    <row r="1049" spans="1:6" x14ac:dyDescent="0.3">
      <c r="A1049" s="8">
        <v>1047</v>
      </c>
      <c r="B1049" s="8" t="s">
        <v>282</v>
      </c>
      <c r="C1049" s="8" t="s">
        <v>2244</v>
      </c>
      <c r="D1049" s="8" t="s">
        <v>2245</v>
      </c>
      <c r="E1049" s="13">
        <v>0</v>
      </c>
      <c r="F1049" s="14">
        <v>0</v>
      </c>
    </row>
    <row r="1050" spans="1:6" x14ac:dyDescent="0.3">
      <c r="A1050" s="8">
        <v>1048</v>
      </c>
      <c r="B1050" s="8" t="s">
        <v>282</v>
      </c>
      <c r="C1050" s="8" t="s">
        <v>2246</v>
      </c>
      <c r="D1050" s="8" t="s">
        <v>2247</v>
      </c>
      <c r="E1050" s="13">
        <v>0</v>
      </c>
      <c r="F1050" s="14">
        <v>288000</v>
      </c>
    </row>
    <row r="1051" spans="1:6" x14ac:dyDescent="0.3">
      <c r="A1051" s="8">
        <v>1049</v>
      </c>
      <c r="B1051" s="8" t="s">
        <v>282</v>
      </c>
      <c r="C1051" s="8" t="s">
        <v>2248</v>
      </c>
      <c r="D1051" s="8" t="s">
        <v>2249</v>
      </c>
      <c r="E1051" s="13">
        <v>0</v>
      </c>
      <c r="F1051" s="14">
        <v>0</v>
      </c>
    </row>
    <row r="1052" spans="1:6" x14ac:dyDescent="0.3">
      <c r="A1052" s="8">
        <v>1050</v>
      </c>
      <c r="B1052" s="8" t="s">
        <v>287</v>
      </c>
      <c r="C1052" s="8" t="s">
        <v>2250</v>
      </c>
      <c r="D1052" s="8" t="s">
        <v>2251</v>
      </c>
      <c r="E1052" s="13">
        <v>106800</v>
      </c>
      <c r="F1052" s="14">
        <v>184000</v>
      </c>
    </row>
    <row r="1053" spans="1:6" x14ac:dyDescent="0.3">
      <c r="A1053" s="8">
        <v>1051</v>
      </c>
      <c r="B1053" s="8" t="s">
        <v>287</v>
      </c>
      <c r="C1053" s="8" t="s">
        <v>2252</v>
      </c>
      <c r="D1053" s="8" t="s">
        <v>2253</v>
      </c>
      <c r="E1053" s="13">
        <v>190000</v>
      </c>
      <c r="F1053" s="14">
        <v>342000</v>
      </c>
    </row>
    <row r="1054" spans="1:6" x14ac:dyDescent="0.3">
      <c r="A1054" s="8">
        <v>1052</v>
      </c>
      <c r="B1054" s="8" t="s">
        <v>287</v>
      </c>
      <c r="C1054" s="8" t="s">
        <v>2254</v>
      </c>
      <c r="D1054" s="8" t="s">
        <v>2255</v>
      </c>
      <c r="E1054" s="13">
        <v>104000</v>
      </c>
      <c r="F1054" s="14">
        <v>208333</v>
      </c>
    </row>
    <row r="1055" spans="1:6" x14ac:dyDescent="0.3">
      <c r="A1055" s="8">
        <v>1053</v>
      </c>
      <c r="B1055" s="8" t="s">
        <v>287</v>
      </c>
      <c r="C1055" s="8" t="s">
        <v>2256</v>
      </c>
      <c r="D1055" s="8" t="s">
        <v>2257</v>
      </c>
      <c r="E1055" s="13">
        <v>104000</v>
      </c>
      <c r="F1055" s="14">
        <v>208333</v>
      </c>
    </row>
    <row r="1056" spans="1:6" x14ac:dyDescent="0.3">
      <c r="A1056" s="8">
        <v>1054</v>
      </c>
      <c r="B1056" s="8" t="s">
        <v>287</v>
      </c>
      <c r="C1056" s="8" t="s">
        <v>2258</v>
      </c>
      <c r="D1056" s="8" t="s">
        <v>2259</v>
      </c>
      <c r="E1056" s="13">
        <v>0</v>
      </c>
      <c r="F1056" s="14">
        <v>0</v>
      </c>
    </row>
    <row r="1057" spans="1:6" x14ac:dyDescent="0.3">
      <c r="A1057" s="8">
        <v>1055</v>
      </c>
      <c r="B1057" s="8" t="s">
        <v>1259</v>
      </c>
      <c r="C1057" s="8" t="s">
        <v>2260</v>
      </c>
      <c r="D1057" s="8" t="s">
        <v>2261</v>
      </c>
      <c r="E1057" s="13">
        <v>24770</v>
      </c>
      <c r="F1057" s="14">
        <v>34000</v>
      </c>
    </row>
    <row r="1058" spans="1:6" x14ac:dyDescent="0.3">
      <c r="A1058" s="8">
        <v>1056</v>
      </c>
      <c r="B1058" s="8" t="s">
        <v>1259</v>
      </c>
      <c r="C1058" s="8" t="s">
        <v>2262</v>
      </c>
      <c r="D1058" s="8" t="s">
        <v>2263</v>
      </c>
      <c r="E1058" s="13">
        <v>0</v>
      </c>
      <c r="F1058" s="14">
        <v>0</v>
      </c>
    </row>
    <row r="1059" spans="1:6" x14ac:dyDescent="0.3">
      <c r="A1059" s="8">
        <v>1057</v>
      </c>
      <c r="B1059" s="8" t="s">
        <v>1259</v>
      </c>
      <c r="C1059" s="8" t="s">
        <v>2264</v>
      </c>
      <c r="D1059" s="8" t="s">
        <v>2265</v>
      </c>
      <c r="E1059" s="13">
        <v>0</v>
      </c>
      <c r="F1059" s="14">
        <v>0</v>
      </c>
    </row>
    <row r="1060" spans="1:6" x14ac:dyDescent="0.3">
      <c r="A1060" s="8">
        <v>1058</v>
      </c>
      <c r="B1060" s="8" t="s">
        <v>1280</v>
      </c>
      <c r="C1060" s="8" t="s">
        <v>2266</v>
      </c>
      <c r="D1060" s="8" t="s">
        <v>2267</v>
      </c>
      <c r="E1060" s="13">
        <v>0</v>
      </c>
      <c r="F1060" s="14">
        <v>0</v>
      </c>
    </row>
    <row r="1061" spans="1:6" x14ac:dyDescent="0.3">
      <c r="A1061" s="8">
        <v>1059</v>
      </c>
      <c r="B1061" s="8" t="s">
        <v>1293</v>
      </c>
      <c r="C1061" s="8" t="s">
        <v>2268</v>
      </c>
      <c r="D1061" s="8" t="s">
        <v>2269</v>
      </c>
      <c r="E1061" s="13">
        <v>0</v>
      </c>
      <c r="F1061" s="14">
        <v>0</v>
      </c>
    </row>
    <row r="1062" spans="1:6" x14ac:dyDescent="0.3">
      <c r="A1062" s="8">
        <v>1060</v>
      </c>
      <c r="B1062" s="8" t="s">
        <v>1293</v>
      </c>
      <c r="C1062" s="8" t="s">
        <v>2270</v>
      </c>
      <c r="D1062" s="8" t="s">
        <v>2271</v>
      </c>
      <c r="E1062" s="13">
        <v>0</v>
      </c>
      <c r="F1062" s="14">
        <v>0</v>
      </c>
    </row>
    <row r="1063" spans="1:6" x14ac:dyDescent="0.3">
      <c r="A1063" s="8">
        <v>1061</v>
      </c>
      <c r="B1063" s="8" t="s">
        <v>1296</v>
      </c>
      <c r="C1063" s="8" t="s">
        <v>2272</v>
      </c>
      <c r="D1063" s="8" t="s">
        <v>2273</v>
      </c>
      <c r="E1063" s="13">
        <v>0</v>
      </c>
      <c r="F1063" s="14">
        <v>2375926</v>
      </c>
    </row>
    <row r="1064" spans="1:6" x14ac:dyDescent="0.3">
      <c r="A1064" s="8">
        <v>1062</v>
      </c>
      <c r="B1064" s="8" t="s">
        <v>2229</v>
      </c>
      <c r="C1064" s="8" t="s">
        <v>2274</v>
      </c>
      <c r="D1064" s="8" t="s">
        <v>2275</v>
      </c>
      <c r="E1064" s="13">
        <v>0</v>
      </c>
      <c r="F1064" s="14">
        <v>0</v>
      </c>
    </row>
    <row r="1065" spans="1:6" x14ac:dyDescent="0.3">
      <c r="A1065" s="8">
        <v>1063</v>
      </c>
      <c r="B1065" s="8" t="s">
        <v>2229</v>
      </c>
      <c r="C1065" s="8" t="s">
        <v>2276</v>
      </c>
      <c r="D1065" s="8" t="s">
        <v>2277</v>
      </c>
      <c r="E1065" s="13">
        <v>2745800</v>
      </c>
      <c r="F1065" s="14">
        <v>5491667</v>
      </c>
    </row>
    <row r="1066" spans="1:6" x14ac:dyDescent="0.3">
      <c r="A1066" s="8">
        <v>1064</v>
      </c>
      <c r="B1066" s="8" t="s">
        <v>2229</v>
      </c>
      <c r="C1066" s="8" t="s">
        <v>2278</v>
      </c>
      <c r="D1066" s="8" t="s">
        <v>2279</v>
      </c>
      <c r="E1066" s="13">
        <v>4308890</v>
      </c>
      <c r="F1066" s="14">
        <v>8381481</v>
      </c>
    </row>
    <row r="1067" spans="1:6" x14ac:dyDescent="0.3">
      <c r="A1067" s="8">
        <v>1065</v>
      </c>
      <c r="B1067" s="8" t="s">
        <v>2229</v>
      </c>
      <c r="C1067" s="8" t="s">
        <v>2280</v>
      </c>
      <c r="D1067" s="8" t="s">
        <v>2281</v>
      </c>
      <c r="E1067" s="13">
        <v>5685200</v>
      </c>
      <c r="F1067" s="14">
        <v>9289815</v>
      </c>
    </row>
    <row r="1068" spans="1:6" x14ac:dyDescent="0.3">
      <c r="A1068" s="8">
        <v>1066</v>
      </c>
      <c r="B1068" s="8" t="s">
        <v>2229</v>
      </c>
      <c r="C1068" s="8" t="s">
        <v>2282</v>
      </c>
      <c r="D1068" s="8" t="s">
        <v>2283</v>
      </c>
      <c r="E1068" s="13">
        <v>393500</v>
      </c>
      <c r="F1068" s="14">
        <v>787037</v>
      </c>
    </row>
    <row r="1069" spans="1:6" x14ac:dyDescent="0.3">
      <c r="A1069" s="8">
        <v>1067</v>
      </c>
      <c r="B1069" s="8" t="s">
        <v>2229</v>
      </c>
      <c r="C1069" s="8" t="s">
        <v>2284</v>
      </c>
      <c r="D1069" s="8" t="s">
        <v>2285</v>
      </c>
      <c r="E1069" s="13">
        <v>2800600</v>
      </c>
      <c r="F1069" s="14">
        <v>6111111</v>
      </c>
    </row>
    <row r="1070" spans="1:6" x14ac:dyDescent="0.3">
      <c r="A1070" s="8">
        <v>1068</v>
      </c>
      <c r="B1070" s="8" t="s">
        <v>2229</v>
      </c>
      <c r="C1070" s="8" t="s">
        <v>2286</v>
      </c>
      <c r="D1070" s="8" t="s">
        <v>2287</v>
      </c>
      <c r="E1070" s="13">
        <v>40000</v>
      </c>
      <c r="F1070" s="14">
        <v>85185</v>
      </c>
    </row>
    <row r="1071" spans="1:6" x14ac:dyDescent="0.3">
      <c r="A1071" s="8">
        <v>1069</v>
      </c>
      <c r="B1071" s="8" t="s">
        <v>2229</v>
      </c>
      <c r="C1071" s="8" t="s">
        <v>2288</v>
      </c>
      <c r="D1071" s="8" t="s">
        <v>2289</v>
      </c>
      <c r="E1071" s="13">
        <v>2745800</v>
      </c>
      <c r="F1071" s="14">
        <v>5491667</v>
      </c>
    </row>
    <row r="1072" spans="1:6" x14ac:dyDescent="0.3">
      <c r="A1072" s="8">
        <v>1070</v>
      </c>
      <c r="B1072" s="8" t="s">
        <v>2229</v>
      </c>
      <c r="C1072" s="8" t="s">
        <v>2290</v>
      </c>
      <c r="D1072" s="8" t="s">
        <v>2291</v>
      </c>
      <c r="E1072" s="13">
        <v>0</v>
      </c>
      <c r="F1072" s="14">
        <v>360185</v>
      </c>
    </row>
    <row r="1073" spans="1:6" x14ac:dyDescent="0.3">
      <c r="A1073" s="8">
        <v>1071</v>
      </c>
      <c r="B1073" s="8" t="s">
        <v>2229</v>
      </c>
      <c r="C1073" s="8" t="s">
        <v>2292</v>
      </c>
      <c r="D1073" s="8" t="s">
        <v>2293</v>
      </c>
      <c r="E1073" s="13">
        <v>38500</v>
      </c>
      <c r="F1073" s="14">
        <v>76852</v>
      </c>
    </row>
    <row r="1074" spans="1:6" x14ac:dyDescent="0.3">
      <c r="A1074" s="8">
        <v>1072</v>
      </c>
      <c r="B1074" s="8" t="s">
        <v>2229</v>
      </c>
      <c r="C1074" s="8" t="s">
        <v>2294</v>
      </c>
      <c r="D1074" s="8" t="s">
        <v>2295</v>
      </c>
      <c r="E1074" s="13">
        <v>2632000</v>
      </c>
      <c r="F1074" s="14">
        <v>6203704</v>
      </c>
    </row>
    <row r="1075" spans="1:6" x14ac:dyDescent="0.3">
      <c r="A1075" s="8">
        <v>1073</v>
      </c>
      <c r="B1075" s="8" t="s">
        <v>2229</v>
      </c>
      <c r="C1075" s="8" t="s">
        <v>2296</v>
      </c>
      <c r="D1075" s="8" t="s">
        <v>2297</v>
      </c>
      <c r="E1075" s="13">
        <v>2632000</v>
      </c>
      <c r="F1075" s="14">
        <v>6203704</v>
      </c>
    </row>
    <row r="1076" spans="1:6" x14ac:dyDescent="0.3">
      <c r="A1076" s="8">
        <v>1074</v>
      </c>
      <c r="B1076" s="8" t="s">
        <v>2229</v>
      </c>
      <c r="C1076" s="8" t="s">
        <v>2298</v>
      </c>
      <c r="D1076" s="8" t="s">
        <v>2299</v>
      </c>
      <c r="E1076" s="13">
        <v>0</v>
      </c>
      <c r="F1076" s="14">
        <v>4636364</v>
      </c>
    </row>
    <row r="1077" spans="1:6" x14ac:dyDescent="0.3">
      <c r="A1077" s="8">
        <v>1075</v>
      </c>
      <c r="B1077" s="8" t="s">
        <v>2300</v>
      </c>
      <c r="C1077" s="8" t="s">
        <v>2301</v>
      </c>
      <c r="D1077" s="8" t="s">
        <v>2302</v>
      </c>
      <c r="E1077" s="13">
        <v>69500</v>
      </c>
      <c r="F1077" s="14">
        <v>138889</v>
      </c>
    </row>
    <row r="1078" spans="1:6" x14ac:dyDescent="0.3">
      <c r="A1078" s="8">
        <v>1076</v>
      </c>
      <c r="B1078" s="8" t="s">
        <v>2303</v>
      </c>
      <c r="C1078" s="8" t="s">
        <v>2304</v>
      </c>
      <c r="D1078" s="8" t="s">
        <v>2305</v>
      </c>
      <c r="E1078" s="13">
        <v>26500</v>
      </c>
      <c r="F1078" s="14">
        <v>52963</v>
      </c>
    </row>
    <row r="1079" spans="1:6" x14ac:dyDescent="0.3">
      <c r="A1079" s="8">
        <v>1077</v>
      </c>
      <c r="B1079" s="8" t="s">
        <v>2303</v>
      </c>
      <c r="C1079" s="8" t="s">
        <v>2306</v>
      </c>
      <c r="D1079" s="8" t="s">
        <v>2307</v>
      </c>
      <c r="E1079" s="13">
        <v>36600</v>
      </c>
      <c r="F1079" s="14">
        <v>63000</v>
      </c>
    </row>
    <row r="1080" spans="1:6" x14ac:dyDescent="0.3">
      <c r="A1080" s="8">
        <v>1078</v>
      </c>
      <c r="B1080" s="8" t="s">
        <v>2303</v>
      </c>
      <c r="C1080" s="8" t="s">
        <v>2308</v>
      </c>
      <c r="D1080" s="8" t="s">
        <v>2309</v>
      </c>
      <c r="E1080" s="13">
        <v>0</v>
      </c>
      <c r="F1080" s="14">
        <v>0</v>
      </c>
    </row>
    <row r="1081" spans="1:6" x14ac:dyDescent="0.3">
      <c r="A1081" s="8">
        <v>1079</v>
      </c>
      <c r="B1081" s="8" t="s">
        <v>2303</v>
      </c>
      <c r="C1081" s="8" t="s">
        <v>2310</v>
      </c>
      <c r="D1081" s="8" t="s">
        <v>2311</v>
      </c>
      <c r="E1081" s="13">
        <v>51000</v>
      </c>
      <c r="F1081" s="14">
        <v>101852</v>
      </c>
    </row>
    <row r="1082" spans="1:6" x14ac:dyDescent="0.3">
      <c r="A1082" s="8">
        <v>1080</v>
      </c>
      <c r="B1082" s="8" t="s">
        <v>2303</v>
      </c>
      <c r="C1082" s="8" t="s">
        <v>2312</v>
      </c>
      <c r="D1082" s="8" t="s">
        <v>2313</v>
      </c>
      <c r="E1082" s="13">
        <v>87500</v>
      </c>
      <c r="F1082" s="14">
        <v>175000</v>
      </c>
    </row>
    <row r="1083" spans="1:6" x14ac:dyDescent="0.3">
      <c r="A1083" s="8">
        <v>1081</v>
      </c>
      <c r="B1083" s="8" t="s">
        <v>2303</v>
      </c>
      <c r="C1083" s="8" t="s">
        <v>2314</v>
      </c>
      <c r="D1083" s="8" t="s">
        <v>2315</v>
      </c>
      <c r="E1083" s="13">
        <v>0</v>
      </c>
      <c r="F1083" s="14">
        <v>0</v>
      </c>
    </row>
    <row r="1084" spans="1:6" x14ac:dyDescent="0.3">
      <c r="A1084" s="8">
        <v>1082</v>
      </c>
      <c r="B1084" s="8" t="s">
        <v>2303</v>
      </c>
      <c r="C1084" s="8" t="s">
        <v>2316</v>
      </c>
      <c r="D1084" s="8" t="s">
        <v>2317</v>
      </c>
      <c r="E1084" s="13">
        <v>14500</v>
      </c>
      <c r="F1084" s="14">
        <v>28981</v>
      </c>
    </row>
    <row r="1085" spans="1:6" x14ac:dyDescent="0.3">
      <c r="A1085" s="8">
        <v>1083</v>
      </c>
      <c r="B1085" s="8" t="s">
        <v>2303</v>
      </c>
      <c r="C1085" s="8" t="s">
        <v>2318</v>
      </c>
      <c r="D1085" s="8" t="s">
        <v>2319</v>
      </c>
      <c r="E1085" s="13">
        <v>15300</v>
      </c>
      <c r="F1085" s="14">
        <v>26000</v>
      </c>
    </row>
    <row r="1086" spans="1:6" x14ac:dyDescent="0.3">
      <c r="A1086" s="8">
        <v>1084</v>
      </c>
      <c r="B1086" s="8" t="s">
        <v>2303</v>
      </c>
      <c r="C1086" s="8" t="s">
        <v>2320</v>
      </c>
      <c r="D1086" s="8" t="s">
        <v>2321</v>
      </c>
      <c r="E1086" s="13">
        <v>62000</v>
      </c>
      <c r="F1086" s="14">
        <v>124000</v>
      </c>
    </row>
    <row r="1087" spans="1:6" x14ac:dyDescent="0.3">
      <c r="A1087" s="8">
        <v>1085</v>
      </c>
      <c r="B1087" s="8" t="s">
        <v>2303</v>
      </c>
      <c r="C1087" s="8" t="s">
        <v>2322</v>
      </c>
      <c r="D1087" s="8" t="s">
        <v>2323</v>
      </c>
      <c r="E1087" s="13">
        <v>0</v>
      </c>
      <c r="F1087" s="14">
        <v>0</v>
      </c>
    </row>
    <row r="1088" spans="1:6" x14ac:dyDescent="0.3">
      <c r="A1088" s="8">
        <v>1086</v>
      </c>
      <c r="B1088" s="8" t="s">
        <v>2303</v>
      </c>
      <c r="C1088" s="8" t="s">
        <v>2324</v>
      </c>
      <c r="D1088" s="8" t="s">
        <v>2325</v>
      </c>
      <c r="E1088" s="13">
        <v>27000</v>
      </c>
      <c r="F1088" s="14">
        <v>53704</v>
      </c>
    </row>
    <row r="1089" spans="1:6" x14ac:dyDescent="0.3">
      <c r="A1089" s="8">
        <v>1087</v>
      </c>
      <c r="B1089" s="8" t="s">
        <v>2303</v>
      </c>
      <c r="C1089" s="8" t="s">
        <v>2326</v>
      </c>
      <c r="D1089" s="8" t="s">
        <v>2327</v>
      </c>
      <c r="E1089" s="13">
        <v>0</v>
      </c>
      <c r="F1089" s="14">
        <v>0</v>
      </c>
    </row>
    <row r="1090" spans="1:6" x14ac:dyDescent="0.3">
      <c r="A1090" s="8">
        <v>1088</v>
      </c>
      <c r="B1090" s="8" t="s">
        <v>2303</v>
      </c>
      <c r="C1090" s="8" t="s">
        <v>2328</v>
      </c>
      <c r="D1090" s="8" t="s">
        <v>2329</v>
      </c>
      <c r="E1090" s="13">
        <v>34200</v>
      </c>
      <c r="F1090" s="14">
        <v>67593</v>
      </c>
    </row>
    <row r="1091" spans="1:6" x14ac:dyDescent="0.3">
      <c r="A1091" s="8">
        <v>1089</v>
      </c>
      <c r="B1091" s="8" t="s">
        <v>2303</v>
      </c>
      <c r="C1091" s="8" t="s">
        <v>2330</v>
      </c>
      <c r="D1091" s="8" t="s">
        <v>2331</v>
      </c>
      <c r="E1091" s="13">
        <v>69000</v>
      </c>
      <c r="F1091" s="14">
        <v>137963</v>
      </c>
    </row>
    <row r="1092" spans="1:6" x14ac:dyDescent="0.3">
      <c r="A1092" s="8">
        <v>1090</v>
      </c>
      <c r="B1092" s="8" t="s">
        <v>2303</v>
      </c>
      <c r="C1092" s="8" t="s">
        <v>2332</v>
      </c>
      <c r="D1092" s="8" t="s">
        <v>2333</v>
      </c>
      <c r="E1092" s="13">
        <v>0</v>
      </c>
      <c r="F1092" s="14">
        <v>0</v>
      </c>
    </row>
    <row r="1093" spans="1:6" x14ac:dyDescent="0.3">
      <c r="A1093" s="8">
        <v>1091</v>
      </c>
      <c r="B1093" s="8" t="s">
        <v>2303</v>
      </c>
      <c r="C1093" s="8" t="s">
        <v>2334</v>
      </c>
      <c r="D1093" s="8" t="s">
        <v>2335</v>
      </c>
      <c r="E1093" s="13">
        <v>48500</v>
      </c>
      <c r="F1093" s="14">
        <v>97037</v>
      </c>
    </row>
    <row r="1094" spans="1:6" x14ac:dyDescent="0.3">
      <c r="A1094" s="8">
        <v>1092</v>
      </c>
      <c r="B1094" s="8" t="s">
        <v>2303</v>
      </c>
      <c r="C1094" s="8" t="s">
        <v>2336</v>
      </c>
      <c r="D1094" s="8" t="s">
        <v>2337</v>
      </c>
      <c r="E1094" s="13">
        <v>0</v>
      </c>
      <c r="F1094" s="14">
        <v>0</v>
      </c>
    </row>
    <row r="1095" spans="1:6" x14ac:dyDescent="0.3">
      <c r="A1095" s="8">
        <v>1093</v>
      </c>
      <c r="B1095" s="8" t="s">
        <v>1293</v>
      </c>
      <c r="C1095" s="8" t="s">
        <v>2338</v>
      </c>
      <c r="D1095" s="8" t="s">
        <v>2339</v>
      </c>
      <c r="E1095" s="13">
        <v>320000</v>
      </c>
      <c r="F1095" s="14">
        <v>639815</v>
      </c>
    </row>
    <row r="1096" spans="1:6" x14ac:dyDescent="0.3">
      <c r="A1096" s="8">
        <v>1094</v>
      </c>
      <c r="B1096" s="8" t="s">
        <v>1293</v>
      </c>
      <c r="C1096" s="8" t="s">
        <v>2340</v>
      </c>
      <c r="D1096" s="8" t="s">
        <v>2341</v>
      </c>
      <c r="E1096" s="13">
        <v>263900</v>
      </c>
      <c r="F1096" s="14">
        <v>527778</v>
      </c>
    </row>
    <row r="1097" spans="1:6" x14ac:dyDescent="0.3">
      <c r="A1097" s="8">
        <v>1095</v>
      </c>
      <c r="B1097" s="8" t="s">
        <v>1293</v>
      </c>
      <c r="C1097" s="8" t="s">
        <v>2342</v>
      </c>
      <c r="D1097" s="8" t="s">
        <v>2343</v>
      </c>
      <c r="E1097" s="13">
        <v>230000</v>
      </c>
      <c r="F1097" s="14">
        <v>460185</v>
      </c>
    </row>
    <row r="1098" spans="1:6" x14ac:dyDescent="0.3">
      <c r="A1098" s="8">
        <v>1096</v>
      </c>
      <c r="B1098" s="8" t="s">
        <v>1293</v>
      </c>
      <c r="C1098" s="8" t="s">
        <v>2344</v>
      </c>
      <c r="D1098" s="8" t="s">
        <v>2345</v>
      </c>
      <c r="E1098" s="13">
        <v>280000</v>
      </c>
      <c r="F1098" s="14">
        <v>560185</v>
      </c>
    </row>
    <row r="1099" spans="1:6" x14ac:dyDescent="0.3">
      <c r="A1099" s="8">
        <v>1097</v>
      </c>
      <c r="B1099" s="8" t="s">
        <v>1293</v>
      </c>
      <c r="C1099" s="8" t="s">
        <v>2346</v>
      </c>
      <c r="D1099" s="8" t="s">
        <v>2347</v>
      </c>
      <c r="E1099" s="13">
        <v>280000</v>
      </c>
      <c r="F1099" s="14">
        <v>560185</v>
      </c>
    </row>
    <row r="1100" spans="1:6" x14ac:dyDescent="0.3">
      <c r="A1100" s="8">
        <v>1098</v>
      </c>
      <c r="B1100" s="8" t="s">
        <v>1293</v>
      </c>
      <c r="C1100" s="8" t="s">
        <v>2348</v>
      </c>
      <c r="D1100" s="8" t="s">
        <v>2349</v>
      </c>
      <c r="E1100" s="13">
        <v>0</v>
      </c>
      <c r="F1100" s="14">
        <v>0</v>
      </c>
    </row>
    <row r="1101" spans="1:6" x14ac:dyDescent="0.3">
      <c r="A1101" s="8">
        <v>1099</v>
      </c>
      <c r="B1101" s="8" t="s">
        <v>1293</v>
      </c>
      <c r="C1101" s="8" t="s">
        <v>2350</v>
      </c>
      <c r="D1101" s="8" t="s">
        <v>2351</v>
      </c>
      <c r="E1101" s="13">
        <v>0</v>
      </c>
      <c r="F1101" s="14">
        <v>0</v>
      </c>
    </row>
    <row r="1102" spans="1:6" x14ac:dyDescent="0.3">
      <c r="A1102" s="8">
        <v>1100</v>
      </c>
      <c r="B1102" s="8" t="s">
        <v>1296</v>
      </c>
      <c r="C1102" s="8" t="s">
        <v>2352</v>
      </c>
      <c r="D1102" s="8" t="s">
        <v>2353</v>
      </c>
      <c r="E1102" s="13">
        <v>0</v>
      </c>
      <c r="F1102" s="14">
        <v>132407</v>
      </c>
    </row>
    <row r="1103" spans="1:6" x14ac:dyDescent="0.3">
      <c r="A1103" s="8">
        <v>1101</v>
      </c>
      <c r="B1103" s="8" t="s">
        <v>2229</v>
      </c>
      <c r="C1103" s="8" t="s">
        <v>2354</v>
      </c>
      <c r="D1103" s="8" t="s">
        <v>2355</v>
      </c>
      <c r="E1103" s="13">
        <v>0</v>
      </c>
      <c r="F1103" s="14">
        <v>1050000</v>
      </c>
    </row>
    <row r="1104" spans="1:6" x14ac:dyDescent="0.3">
      <c r="A1104" s="8">
        <v>1102</v>
      </c>
      <c r="B1104" s="8" t="s">
        <v>2229</v>
      </c>
      <c r="C1104" s="8" t="s">
        <v>2356</v>
      </c>
      <c r="D1104" s="8" t="s">
        <v>2357</v>
      </c>
      <c r="E1104" s="13">
        <v>0</v>
      </c>
      <c r="F1104" s="14">
        <v>0</v>
      </c>
    </row>
    <row r="1105" spans="1:6" x14ac:dyDescent="0.3">
      <c r="A1105" s="8">
        <v>1103</v>
      </c>
      <c r="B1105" s="8" t="s">
        <v>2229</v>
      </c>
      <c r="C1105" s="8" t="s">
        <v>2358</v>
      </c>
      <c r="D1105" s="8" t="s">
        <v>2359</v>
      </c>
      <c r="E1105" s="13">
        <v>0</v>
      </c>
      <c r="F1105" s="14">
        <v>0</v>
      </c>
    </row>
    <row r="1106" spans="1:6" x14ac:dyDescent="0.3">
      <c r="A1106" s="8">
        <v>1104</v>
      </c>
      <c r="B1106" s="8" t="s">
        <v>2229</v>
      </c>
      <c r="C1106" s="8" t="s">
        <v>2360</v>
      </c>
      <c r="D1106" s="8" t="s">
        <v>2361</v>
      </c>
      <c r="E1106" s="13">
        <v>0</v>
      </c>
      <c r="F1106" s="14">
        <v>0</v>
      </c>
    </row>
    <row r="1107" spans="1:6" x14ac:dyDescent="0.3">
      <c r="A1107" s="8">
        <v>1105</v>
      </c>
      <c r="B1107" s="8" t="s">
        <v>2229</v>
      </c>
      <c r="C1107" s="8" t="s">
        <v>2362</v>
      </c>
      <c r="D1107" s="8" t="s">
        <v>2363</v>
      </c>
      <c r="E1107" s="13">
        <v>0</v>
      </c>
      <c r="F1107" s="14">
        <v>0</v>
      </c>
    </row>
    <row r="1108" spans="1:6" x14ac:dyDescent="0.3">
      <c r="A1108" s="8">
        <v>1106</v>
      </c>
      <c r="B1108" s="8" t="s">
        <v>2229</v>
      </c>
      <c r="C1108" s="8" t="s">
        <v>2364</v>
      </c>
      <c r="D1108" s="8" t="s">
        <v>2365</v>
      </c>
      <c r="E1108" s="13">
        <v>2800600</v>
      </c>
      <c r="F1108" s="14">
        <v>6111111</v>
      </c>
    </row>
    <row r="1109" spans="1:6" x14ac:dyDescent="0.3">
      <c r="A1109" s="8">
        <v>1107</v>
      </c>
      <c r="B1109" s="8" t="s">
        <v>2229</v>
      </c>
      <c r="C1109" s="8" t="s">
        <v>2366</v>
      </c>
      <c r="D1109" s="8" t="s">
        <v>2367</v>
      </c>
      <c r="E1109" s="13">
        <v>0</v>
      </c>
      <c r="F1109" s="14">
        <v>0</v>
      </c>
    </row>
    <row r="1110" spans="1:6" x14ac:dyDescent="0.3">
      <c r="A1110" s="8">
        <v>1108</v>
      </c>
      <c r="B1110" s="8" t="s">
        <v>2229</v>
      </c>
      <c r="C1110" s="8" t="s">
        <v>2368</v>
      </c>
      <c r="D1110" s="8" t="s">
        <v>2369</v>
      </c>
      <c r="E1110" s="13">
        <v>2632000</v>
      </c>
      <c r="F1110" s="14">
        <v>6203704</v>
      </c>
    </row>
    <row r="1111" spans="1:6" x14ac:dyDescent="0.3">
      <c r="A1111" s="8">
        <v>1109</v>
      </c>
      <c r="B1111" s="8" t="s">
        <v>2229</v>
      </c>
      <c r="C1111" s="8" t="s">
        <v>2370</v>
      </c>
      <c r="D1111" s="8" t="s">
        <v>2371</v>
      </c>
      <c r="E1111" s="13">
        <v>0</v>
      </c>
      <c r="F1111" s="14">
        <v>0</v>
      </c>
    </row>
    <row r="1112" spans="1:6" x14ac:dyDescent="0.3">
      <c r="A1112" s="8">
        <v>1110</v>
      </c>
      <c r="B1112" s="8" t="s">
        <v>2303</v>
      </c>
      <c r="C1112" s="8" t="s">
        <v>2372</v>
      </c>
      <c r="D1112" s="8" t="s">
        <v>2373</v>
      </c>
      <c r="E1112" s="13">
        <v>18000</v>
      </c>
      <c r="F1112" s="14">
        <v>36019</v>
      </c>
    </row>
    <row r="1113" spans="1:6" x14ac:dyDescent="0.3">
      <c r="A1113" s="8">
        <v>1111</v>
      </c>
      <c r="B1113" s="8" t="s">
        <v>2303</v>
      </c>
      <c r="C1113" s="8" t="s">
        <v>2374</v>
      </c>
      <c r="D1113" s="8" t="s">
        <v>2375</v>
      </c>
      <c r="E1113" s="13">
        <v>18000</v>
      </c>
      <c r="F1113" s="14">
        <v>36019</v>
      </c>
    </row>
    <row r="1114" spans="1:6" x14ac:dyDescent="0.3">
      <c r="A1114" s="8">
        <v>1112</v>
      </c>
      <c r="B1114" s="8" t="s">
        <v>2303</v>
      </c>
      <c r="C1114" s="8" t="s">
        <v>2376</v>
      </c>
      <c r="D1114" s="8" t="s">
        <v>2377</v>
      </c>
      <c r="E1114" s="13">
        <v>0</v>
      </c>
      <c r="F1114" s="14">
        <v>0</v>
      </c>
    </row>
    <row r="1115" spans="1:6" x14ac:dyDescent="0.3">
      <c r="A1115" s="8">
        <v>1113</v>
      </c>
      <c r="B1115" s="8" t="s">
        <v>2303</v>
      </c>
      <c r="C1115" s="8" t="s">
        <v>2378</v>
      </c>
      <c r="D1115" s="8" t="s">
        <v>2379</v>
      </c>
      <c r="E1115" s="13">
        <v>0</v>
      </c>
      <c r="F1115" s="14">
        <v>0</v>
      </c>
    </row>
    <row r="1116" spans="1:6" x14ac:dyDescent="0.3">
      <c r="A1116" s="8">
        <v>1114</v>
      </c>
      <c r="B1116" s="8" t="s">
        <v>2303</v>
      </c>
      <c r="C1116" s="8" t="s">
        <v>2380</v>
      </c>
      <c r="D1116" s="8" t="s">
        <v>2381</v>
      </c>
      <c r="E1116" s="13">
        <v>0</v>
      </c>
      <c r="F1116" s="14">
        <v>0</v>
      </c>
    </row>
    <row r="1117" spans="1:6" x14ac:dyDescent="0.3">
      <c r="A1117" s="8">
        <v>1115</v>
      </c>
      <c r="B1117" s="8" t="s">
        <v>2303</v>
      </c>
      <c r="C1117" s="8" t="s">
        <v>2382</v>
      </c>
      <c r="D1117" s="8" t="s">
        <v>2383</v>
      </c>
      <c r="E1117" s="13">
        <v>104000</v>
      </c>
      <c r="F1117" s="14">
        <v>213889</v>
      </c>
    </row>
    <row r="1118" spans="1:6" x14ac:dyDescent="0.3">
      <c r="A1118" s="8">
        <v>1116</v>
      </c>
      <c r="B1118" s="8" t="s">
        <v>2303</v>
      </c>
      <c r="C1118" s="8" t="s">
        <v>2384</v>
      </c>
      <c r="D1118" s="8" t="s">
        <v>2385</v>
      </c>
      <c r="E1118" s="13">
        <v>63100</v>
      </c>
      <c r="F1118" s="14">
        <v>125926</v>
      </c>
    </row>
    <row r="1119" spans="1:6" x14ac:dyDescent="0.3">
      <c r="A1119" s="8">
        <v>1117</v>
      </c>
      <c r="B1119" s="8" t="s">
        <v>282</v>
      </c>
      <c r="C1119" s="8" t="s">
        <v>2386</v>
      </c>
      <c r="D1119" s="8" t="s">
        <v>2387</v>
      </c>
      <c r="E1119" s="13">
        <v>0</v>
      </c>
      <c r="F1119" s="14">
        <v>0</v>
      </c>
    </row>
    <row r="1120" spans="1:6" x14ac:dyDescent="0.3">
      <c r="A1120" s="8">
        <v>1118</v>
      </c>
      <c r="B1120" s="8" t="s">
        <v>282</v>
      </c>
      <c r="C1120" s="8" t="s">
        <v>2388</v>
      </c>
      <c r="D1120" s="8" t="s">
        <v>2389</v>
      </c>
      <c r="E1120" s="13">
        <v>0</v>
      </c>
      <c r="F1120" s="14">
        <v>0</v>
      </c>
    </row>
    <row r="1121" spans="1:6" x14ac:dyDescent="0.3">
      <c r="A1121" s="8">
        <v>1119</v>
      </c>
      <c r="B1121" s="8" t="s">
        <v>287</v>
      </c>
      <c r="C1121" s="8" t="s">
        <v>2390</v>
      </c>
      <c r="D1121" s="8" t="s">
        <v>2391</v>
      </c>
      <c r="E1121" s="13">
        <v>106000</v>
      </c>
      <c r="F1121" s="14">
        <v>212037</v>
      </c>
    </row>
    <row r="1122" spans="1:6" x14ac:dyDescent="0.3">
      <c r="A1122" s="8">
        <v>1120</v>
      </c>
      <c r="B1122" s="8" t="s">
        <v>287</v>
      </c>
      <c r="C1122" s="8" t="s">
        <v>2392</v>
      </c>
      <c r="D1122" s="8" t="s">
        <v>2393</v>
      </c>
      <c r="E1122" s="13">
        <v>99000</v>
      </c>
      <c r="F1122" s="14">
        <v>198148</v>
      </c>
    </row>
    <row r="1123" spans="1:6" x14ac:dyDescent="0.3">
      <c r="A1123" s="8">
        <v>1121</v>
      </c>
      <c r="B1123" s="8" t="s">
        <v>287</v>
      </c>
      <c r="C1123" s="8" t="s">
        <v>2394</v>
      </c>
      <c r="D1123" s="8" t="s">
        <v>2395</v>
      </c>
      <c r="E1123" s="13">
        <v>129000</v>
      </c>
      <c r="F1123" s="14">
        <v>258333</v>
      </c>
    </row>
    <row r="1124" spans="1:6" x14ac:dyDescent="0.3">
      <c r="A1124" s="8">
        <v>1122</v>
      </c>
      <c r="B1124" s="8" t="s">
        <v>287</v>
      </c>
      <c r="C1124" s="8" t="s">
        <v>2396</v>
      </c>
      <c r="D1124" s="8" t="s">
        <v>2397</v>
      </c>
      <c r="E1124" s="13">
        <v>0</v>
      </c>
      <c r="F1124" s="14">
        <v>0</v>
      </c>
    </row>
    <row r="1125" spans="1:6" x14ac:dyDescent="0.3">
      <c r="A1125" s="8">
        <v>1123</v>
      </c>
      <c r="B1125" s="8" t="s">
        <v>1259</v>
      </c>
      <c r="C1125" s="8" t="s">
        <v>2398</v>
      </c>
      <c r="D1125" s="8" t="s">
        <v>2399</v>
      </c>
      <c r="E1125" s="13">
        <v>71620</v>
      </c>
      <c r="F1125" s="14">
        <v>136000</v>
      </c>
    </row>
    <row r="1126" spans="1:6" x14ac:dyDescent="0.3">
      <c r="A1126" s="8">
        <v>1124</v>
      </c>
      <c r="B1126" s="8" t="s">
        <v>1259</v>
      </c>
      <c r="C1126" s="8" t="s">
        <v>2400</v>
      </c>
      <c r="D1126" s="8" t="s">
        <v>2401</v>
      </c>
      <c r="E1126" s="13">
        <v>114000</v>
      </c>
      <c r="F1126" s="14">
        <v>193000</v>
      </c>
    </row>
    <row r="1127" spans="1:6" x14ac:dyDescent="0.3">
      <c r="A1127" s="8">
        <v>1125</v>
      </c>
      <c r="B1127" s="8" t="s">
        <v>1259</v>
      </c>
      <c r="C1127" s="8" t="s">
        <v>2402</v>
      </c>
      <c r="D1127" s="8" t="s">
        <v>2403</v>
      </c>
      <c r="E1127" s="13">
        <v>71530</v>
      </c>
      <c r="F1127" s="14">
        <v>114000</v>
      </c>
    </row>
    <row r="1128" spans="1:6" x14ac:dyDescent="0.3">
      <c r="A1128" s="8">
        <v>1126</v>
      </c>
      <c r="B1128" s="8" t="s">
        <v>1259</v>
      </c>
      <c r="C1128" s="8" t="s">
        <v>2404</v>
      </c>
      <c r="D1128" s="8" t="s">
        <v>2405</v>
      </c>
      <c r="E1128" s="13">
        <v>26660</v>
      </c>
      <c r="F1128" s="14">
        <v>52000</v>
      </c>
    </row>
    <row r="1129" spans="1:6" x14ac:dyDescent="0.3">
      <c r="A1129" s="8">
        <v>1127</v>
      </c>
      <c r="B1129" s="8" t="s">
        <v>1259</v>
      </c>
      <c r="C1129" s="8" t="s">
        <v>2406</v>
      </c>
      <c r="D1129" s="8" t="s">
        <v>2407</v>
      </c>
      <c r="E1129" s="13">
        <v>27920</v>
      </c>
      <c r="F1129" s="14">
        <v>44000</v>
      </c>
    </row>
    <row r="1130" spans="1:6" x14ac:dyDescent="0.3">
      <c r="A1130" s="8">
        <v>1128</v>
      </c>
      <c r="B1130" s="8" t="s">
        <v>1259</v>
      </c>
      <c r="C1130" s="8" t="s">
        <v>2408</v>
      </c>
      <c r="D1130" s="8" t="s">
        <v>2409</v>
      </c>
      <c r="E1130" s="13">
        <v>0</v>
      </c>
      <c r="F1130" s="14">
        <v>0</v>
      </c>
    </row>
    <row r="1131" spans="1:6" x14ac:dyDescent="0.3">
      <c r="A1131" s="8">
        <v>1129</v>
      </c>
      <c r="B1131" s="8" t="s">
        <v>1259</v>
      </c>
      <c r="C1131" s="8" t="s">
        <v>2410</v>
      </c>
      <c r="D1131" s="8" t="s">
        <v>2411</v>
      </c>
      <c r="E1131" s="13">
        <v>282000</v>
      </c>
      <c r="F1131" s="14">
        <v>484000</v>
      </c>
    </row>
    <row r="1132" spans="1:6" x14ac:dyDescent="0.3">
      <c r="A1132" s="8">
        <v>1130</v>
      </c>
      <c r="B1132" s="8" t="s">
        <v>1280</v>
      </c>
      <c r="C1132" s="8" t="s">
        <v>2412</v>
      </c>
      <c r="D1132" s="8" t="s">
        <v>2413</v>
      </c>
      <c r="E1132" s="13">
        <v>14200</v>
      </c>
      <c r="F1132" s="14">
        <v>23000</v>
      </c>
    </row>
    <row r="1133" spans="1:6" x14ac:dyDescent="0.3">
      <c r="A1133" s="8">
        <v>1131</v>
      </c>
      <c r="B1133" s="8" t="s">
        <v>1280</v>
      </c>
      <c r="C1133" s="8" t="s">
        <v>2414</v>
      </c>
      <c r="D1133" s="8" t="s">
        <v>2415</v>
      </c>
      <c r="E1133" s="13">
        <v>16300</v>
      </c>
      <c r="F1133" s="14">
        <v>26000</v>
      </c>
    </row>
    <row r="1134" spans="1:6" x14ac:dyDescent="0.3">
      <c r="A1134" s="8">
        <v>1132</v>
      </c>
      <c r="B1134" s="8" t="s">
        <v>1293</v>
      </c>
      <c r="C1134" s="8" t="s">
        <v>2416</v>
      </c>
      <c r="D1134" s="8" t="s">
        <v>2417</v>
      </c>
      <c r="E1134" s="13">
        <v>106000</v>
      </c>
      <c r="F1134" s="14">
        <v>212037</v>
      </c>
    </row>
    <row r="1135" spans="1:6" x14ac:dyDescent="0.3">
      <c r="A1135" s="8">
        <v>1133</v>
      </c>
      <c r="B1135" s="8" t="s">
        <v>1293</v>
      </c>
      <c r="C1135" s="8" t="s">
        <v>2418</v>
      </c>
      <c r="D1135" s="8" t="s">
        <v>2419</v>
      </c>
      <c r="E1135" s="13">
        <v>129000</v>
      </c>
      <c r="F1135" s="14">
        <v>258333</v>
      </c>
    </row>
    <row r="1136" spans="1:6" x14ac:dyDescent="0.3">
      <c r="A1136" s="8">
        <v>1134</v>
      </c>
      <c r="B1136" s="8" t="s">
        <v>1293</v>
      </c>
      <c r="C1136" s="8" t="s">
        <v>2420</v>
      </c>
      <c r="D1136" s="8" t="s">
        <v>2421</v>
      </c>
      <c r="E1136" s="13">
        <v>356500</v>
      </c>
      <c r="F1136" s="14">
        <v>712963</v>
      </c>
    </row>
    <row r="1137" spans="1:6" x14ac:dyDescent="0.3">
      <c r="A1137" s="8">
        <v>1135</v>
      </c>
      <c r="B1137" s="8" t="s">
        <v>1293</v>
      </c>
      <c r="C1137" s="8" t="s">
        <v>2422</v>
      </c>
      <c r="D1137" s="8" t="s">
        <v>2423</v>
      </c>
      <c r="E1137" s="13">
        <v>370400</v>
      </c>
      <c r="F1137" s="14">
        <v>740741</v>
      </c>
    </row>
    <row r="1138" spans="1:6" x14ac:dyDescent="0.3">
      <c r="A1138" s="8">
        <v>1136</v>
      </c>
      <c r="B1138" s="8" t="s">
        <v>1293</v>
      </c>
      <c r="C1138" s="8" t="s">
        <v>2424</v>
      </c>
      <c r="D1138" s="8" t="s">
        <v>2425</v>
      </c>
      <c r="E1138" s="13">
        <v>280000</v>
      </c>
      <c r="F1138" s="14">
        <v>560185</v>
      </c>
    </row>
    <row r="1139" spans="1:6" x14ac:dyDescent="0.3">
      <c r="A1139" s="8">
        <v>1137</v>
      </c>
      <c r="B1139" s="8" t="s">
        <v>1296</v>
      </c>
      <c r="C1139" s="8" t="s">
        <v>2426</v>
      </c>
      <c r="D1139" s="8" t="s">
        <v>2427</v>
      </c>
      <c r="E1139" s="13">
        <v>0</v>
      </c>
      <c r="F1139" s="14">
        <v>0</v>
      </c>
    </row>
    <row r="1140" spans="1:6" x14ac:dyDescent="0.3">
      <c r="A1140" s="8">
        <v>1138</v>
      </c>
      <c r="B1140" s="8" t="s">
        <v>2229</v>
      </c>
      <c r="C1140" s="8" t="s">
        <v>2428</v>
      </c>
      <c r="D1140" s="8" t="s">
        <v>2429</v>
      </c>
      <c r="E1140" s="13">
        <v>0</v>
      </c>
      <c r="F1140" s="14">
        <v>301000</v>
      </c>
    </row>
    <row r="1141" spans="1:6" x14ac:dyDescent="0.3">
      <c r="A1141" s="8">
        <v>1139</v>
      </c>
      <c r="B1141" s="8" t="s">
        <v>2229</v>
      </c>
      <c r="C1141" s="8" t="s">
        <v>2430</v>
      </c>
      <c r="D1141" s="8" t="s">
        <v>2431</v>
      </c>
      <c r="E1141" s="13">
        <v>0</v>
      </c>
      <c r="F1141" s="14">
        <v>313000</v>
      </c>
    </row>
    <row r="1142" spans="1:6" x14ac:dyDescent="0.3">
      <c r="A1142" s="8">
        <v>1140</v>
      </c>
      <c r="B1142" s="8" t="s">
        <v>2229</v>
      </c>
      <c r="C1142" s="8" t="s">
        <v>2432</v>
      </c>
      <c r="D1142" s="8" t="s">
        <v>2433</v>
      </c>
      <c r="E1142" s="13">
        <v>0</v>
      </c>
      <c r="F1142" s="14">
        <v>248000</v>
      </c>
    </row>
    <row r="1143" spans="1:6" x14ac:dyDescent="0.3">
      <c r="A1143" s="8">
        <v>1141</v>
      </c>
      <c r="B1143" s="8" t="s">
        <v>2229</v>
      </c>
      <c r="C1143" s="8" t="s">
        <v>2434</v>
      </c>
      <c r="D1143" s="8" t="s">
        <v>2435</v>
      </c>
      <c r="E1143" s="13">
        <v>0</v>
      </c>
      <c r="F1143" s="14">
        <v>0</v>
      </c>
    </row>
    <row r="1144" spans="1:6" x14ac:dyDescent="0.3">
      <c r="A1144" s="8">
        <v>1142</v>
      </c>
      <c r="B1144" s="8" t="s">
        <v>1293</v>
      </c>
      <c r="C1144" s="8" t="s">
        <v>2436</v>
      </c>
      <c r="D1144" s="8" t="s">
        <v>2437</v>
      </c>
      <c r="E1144" s="13">
        <v>160000</v>
      </c>
      <c r="F1144" s="14">
        <v>320370</v>
      </c>
    </row>
    <row r="1145" spans="1:6" x14ac:dyDescent="0.3">
      <c r="A1145" s="8">
        <v>1143</v>
      </c>
      <c r="B1145" s="8" t="s">
        <v>1296</v>
      </c>
      <c r="C1145" s="8" t="s">
        <v>2438</v>
      </c>
      <c r="D1145" s="8" t="s">
        <v>2439</v>
      </c>
      <c r="E1145" s="13">
        <v>0</v>
      </c>
      <c r="F1145" s="14">
        <v>1050000</v>
      </c>
    </row>
    <row r="1146" spans="1:6" x14ac:dyDescent="0.3">
      <c r="A1146" s="8">
        <v>1144</v>
      </c>
      <c r="B1146" s="8" t="s">
        <v>1296</v>
      </c>
      <c r="C1146" s="8" t="s">
        <v>2440</v>
      </c>
      <c r="D1146" s="8" t="s">
        <v>2441</v>
      </c>
      <c r="E1146" s="13">
        <v>4963000</v>
      </c>
      <c r="F1146" s="14">
        <v>8109259</v>
      </c>
    </row>
    <row r="1147" spans="1:6" x14ac:dyDescent="0.3">
      <c r="A1147" s="8">
        <v>1145</v>
      </c>
      <c r="B1147" s="8" t="s">
        <v>1296</v>
      </c>
      <c r="C1147" s="8" t="s">
        <v>2442</v>
      </c>
      <c r="D1147" s="8" t="s">
        <v>2443</v>
      </c>
      <c r="E1147" s="13">
        <v>493900</v>
      </c>
      <c r="F1147" s="14">
        <v>960185</v>
      </c>
    </row>
    <row r="1148" spans="1:6" x14ac:dyDescent="0.3">
      <c r="A1148" s="8">
        <v>1146</v>
      </c>
      <c r="B1148" s="8" t="s">
        <v>1296</v>
      </c>
      <c r="C1148" s="8" t="s">
        <v>2444</v>
      </c>
      <c r="D1148" s="8" t="s">
        <v>2445</v>
      </c>
      <c r="E1148" s="13">
        <v>0</v>
      </c>
      <c r="F1148" s="14">
        <v>0</v>
      </c>
    </row>
    <row r="1149" spans="1:6" x14ac:dyDescent="0.3">
      <c r="A1149" s="8">
        <v>1147</v>
      </c>
      <c r="B1149" s="8" t="s">
        <v>2229</v>
      </c>
      <c r="C1149" s="8" t="s">
        <v>2446</v>
      </c>
      <c r="D1149" s="8" t="s">
        <v>2447</v>
      </c>
      <c r="E1149" s="13">
        <v>0</v>
      </c>
      <c r="F1149" s="14">
        <v>362037</v>
      </c>
    </row>
    <row r="1150" spans="1:6" x14ac:dyDescent="0.3">
      <c r="A1150" s="8">
        <v>1148</v>
      </c>
      <c r="B1150" s="8" t="s">
        <v>2229</v>
      </c>
      <c r="C1150" s="8" t="s">
        <v>2448</v>
      </c>
      <c r="D1150" s="8" t="s">
        <v>2449</v>
      </c>
      <c r="E1150" s="13">
        <v>0</v>
      </c>
      <c r="F1150" s="14">
        <v>5488889</v>
      </c>
    </row>
    <row r="1151" spans="1:6" x14ac:dyDescent="0.3">
      <c r="A1151" s="8">
        <v>1149</v>
      </c>
      <c r="B1151" s="8" t="s">
        <v>2229</v>
      </c>
      <c r="C1151" s="8" t="s">
        <v>2450</v>
      </c>
      <c r="D1151" s="8" t="s">
        <v>2451</v>
      </c>
      <c r="E1151" s="13">
        <v>4963000</v>
      </c>
      <c r="F1151" s="14">
        <v>8109259</v>
      </c>
    </row>
    <row r="1152" spans="1:6" x14ac:dyDescent="0.3">
      <c r="A1152" s="8">
        <v>1150</v>
      </c>
      <c r="B1152" s="8" t="s">
        <v>2229</v>
      </c>
      <c r="C1152" s="8" t="s">
        <v>2452</v>
      </c>
      <c r="D1152" s="8" t="s">
        <v>2453</v>
      </c>
      <c r="E1152" s="13">
        <v>5685200</v>
      </c>
      <c r="F1152" s="14">
        <v>9289815</v>
      </c>
    </row>
    <row r="1153" spans="1:6" x14ac:dyDescent="0.3">
      <c r="A1153" s="8">
        <v>1151</v>
      </c>
      <c r="B1153" s="8" t="s">
        <v>2229</v>
      </c>
      <c r="C1153" s="8" t="s">
        <v>2454</v>
      </c>
      <c r="D1153" s="8" t="s">
        <v>2455</v>
      </c>
      <c r="E1153" s="13">
        <v>5685200</v>
      </c>
      <c r="F1153" s="14">
        <v>9289815</v>
      </c>
    </row>
    <row r="1154" spans="1:6" x14ac:dyDescent="0.3">
      <c r="A1154" s="8">
        <v>1152</v>
      </c>
      <c r="B1154" s="8" t="s">
        <v>2229</v>
      </c>
      <c r="C1154" s="8" t="s">
        <v>2456</v>
      </c>
      <c r="D1154" s="8" t="s">
        <v>2457</v>
      </c>
      <c r="E1154" s="13">
        <v>0</v>
      </c>
      <c r="F1154" s="14">
        <v>0</v>
      </c>
    </row>
    <row r="1155" spans="1:6" x14ac:dyDescent="0.3">
      <c r="A1155" s="8">
        <v>1153</v>
      </c>
      <c r="B1155" s="8" t="s">
        <v>2229</v>
      </c>
      <c r="C1155" s="8" t="s">
        <v>2458</v>
      </c>
      <c r="D1155" s="8" t="s">
        <v>2459</v>
      </c>
      <c r="E1155" s="13">
        <v>0</v>
      </c>
      <c r="F1155" s="14">
        <v>0</v>
      </c>
    </row>
    <row r="1156" spans="1:6" x14ac:dyDescent="0.3">
      <c r="A1156" s="8">
        <v>1154</v>
      </c>
      <c r="B1156" s="8" t="s">
        <v>2303</v>
      </c>
      <c r="C1156" s="8" t="s">
        <v>2460</v>
      </c>
      <c r="D1156" s="8" t="s">
        <v>2461</v>
      </c>
      <c r="E1156" s="13">
        <v>0</v>
      </c>
      <c r="F1156" s="14">
        <v>0</v>
      </c>
    </row>
    <row r="1157" spans="1:6" x14ac:dyDescent="0.3">
      <c r="A1157" s="8">
        <v>1155</v>
      </c>
      <c r="B1157" s="8" t="s">
        <v>2303</v>
      </c>
      <c r="C1157" s="8" t="s">
        <v>2462</v>
      </c>
      <c r="D1157" s="8" t="s">
        <v>2463</v>
      </c>
      <c r="E1157" s="13">
        <v>38700</v>
      </c>
      <c r="F1157" s="14">
        <v>66500</v>
      </c>
    </row>
    <row r="1158" spans="1:6" x14ac:dyDescent="0.3">
      <c r="A1158" s="8">
        <v>1156</v>
      </c>
      <c r="B1158" s="8" t="s">
        <v>2303</v>
      </c>
      <c r="C1158" s="8" t="s">
        <v>2464</v>
      </c>
      <c r="D1158" s="8" t="s">
        <v>2465</v>
      </c>
      <c r="E1158" s="13">
        <v>38000</v>
      </c>
      <c r="F1158" s="14">
        <v>76019</v>
      </c>
    </row>
    <row r="1159" spans="1:6" x14ac:dyDescent="0.3">
      <c r="A1159" s="8">
        <v>1157</v>
      </c>
      <c r="B1159" s="8" t="s">
        <v>2303</v>
      </c>
      <c r="C1159" s="8" t="s">
        <v>2466</v>
      </c>
      <c r="D1159" s="8" t="s">
        <v>2467</v>
      </c>
      <c r="E1159" s="13">
        <v>0</v>
      </c>
      <c r="F1159" s="14">
        <v>0</v>
      </c>
    </row>
    <row r="1160" spans="1:6" x14ac:dyDescent="0.3">
      <c r="A1160" s="8">
        <v>1158</v>
      </c>
      <c r="B1160" s="8" t="s">
        <v>2303</v>
      </c>
      <c r="C1160" s="8" t="s">
        <v>2468</v>
      </c>
      <c r="D1160" s="8" t="s">
        <v>2469</v>
      </c>
      <c r="E1160" s="13">
        <v>48400</v>
      </c>
      <c r="F1160" s="14">
        <v>96759</v>
      </c>
    </row>
    <row r="1161" spans="1:6" x14ac:dyDescent="0.3">
      <c r="A1161" s="8">
        <v>1159</v>
      </c>
      <c r="B1161" s="8" t="s">
        <v>2303</v>
      </c>
      <c r="C1161" s="8" t="s">
        <v>2470</v>
      </c>
      <c r="D1161" s="8" t="s">
        <v>2471</v>
      </c>
      <c r="E1161" s="13">
        <v>160000</v>
      </c>
      <c r="F1161" s="14">
        <v>329000</v>
      </c>
    </row>
    <row r="1162" spans="1:6" x14ac:dyDescent="0.3">
      <c r="A1162" s="8">
        <v>1160</v>
      </c>
      <c r="B1162" s="8" t="s">
        <v>2303</v>
      </c>
      <c r="C1162" s="8" t="s">
        <v>2472</v>
      </c>
      <c r="D1162" s="8" t="s">
        <v>2473</v>
      </c>
      <c r="E1162" s="13">
        <v>14500</v>
      </c>
      <c r="F1162" s="14">
        <v>28981</v>
      </c>
    </row>
    <row r="1163" spans="1:6" x14ac:dyDescent="0.3">
      <c r="A1163" s="8">
        <v>1161</v>
      </c>
      <c r="B1163" s="8" t="s">
        <v>2303</v>
      </c>
      <c r="C1163" s="8" t="s">
        <v>2474</v>
      </c>
      <c r="D1163" s="8" t="s">
        <v>2475</v>
      </c>
      <c r="E1163" s="13">
        <v>0</v>
      </c>
      <c r="F1163" s="14">
        <v>0</v>
      </c>
    </row>
    <row r="1164" spans="1:6" x14ac:dyDescent="0.3">
      <c r="A1164" s="8">
        <v>1162</v>
      </c>
      <c r="B1164" s="8" t="s">
        <v>2303</v>
      </c>
      <c r="C1164" s="8" t="s">
        <v>2476</v>
      </c>
      <c r="D1164" s="8" t="s">
        <v>2477</v>
      </c>
      <c r="E1164" s="13">
        <v>0</v>
      </c>
      <c r="F1164" s="14">
        <v>0</v>
      </c>
    </row>
    <row r="1165" spans="1:6" x14ac:dyDescent="0.3">
      <c r="A1165" s="8">
        <v>1163</v>
      </c>
      <c r="B1165" s="8" t="s">
        <v>2303</v>
      </c>
      <c r="C1165" s="8" t="s">
        <v>2478</v>
      </c>
      <c r="D1165" s="8" t="s">
        <v>2479</v>
      </c>
      <c r="E1165" s="13">
        <v>42300</v>
      </c>
      <c r="F1165" s="14">
        <v>85185</v>
      </c>
    </row>
    <row r="1166" spans="1:6" x14ac:dyDescent="0.3">
      <c r="A1166" s="8">
        <v>1164</v>
      </c>
      <c r="B1166" s="8" t="s">
        <v>2303</v>
      </c>
      <c r="C1166" s="8" t="s">
        <v>2480</v>
      </c>
      <c r="D1166" s="8" t="s">
        <v>2481</v>
      </c>
      <c r="E1166" s="13">
        <v>63000</v>
      </c>
      <c r="F1166" s="14">
        <v>125926</v>
      </c>
    </row>
    <row r="1167" spans="1:6" x14ac:dyDescent="0.3">
      <c r="A1167" s="8">
        <v>1165</v>
      </c>
      <c r="B1167" s="8" t="s">
        <v>2303</v>
      </c>
      <c r="C1167" s="8" t="s">
        <v>2482</v>
      </c>
      <c r="D1167" s="8" t="s">
        <v>2483</v>
      </c>
      <c r="E1167" s="13">
        <v>0</v>
      </c>
      <c r="F1167" s="14">
        <v>0</v>
      </c>
    </row>
    <row r="1168" spans="1:6" x14ac:dyDescent="0.3">
      <c r="A1168" s="8">
        <v>1166</v>
      </c>
      <c r="B1168" s="8" t="s">
        <v>1259</v>
      </c>
      <c r="C1168" s="8" t="s">
        <v>2484</v>
      </c>
      <c r="D1168" s="8" t="s">
        <v>2485</v>
      </c>
      <c r="E1168" s="13">
        <v>0</v>
      </c>
      <c r="F1168" s="14">
        <v>0</v>
      </c>
    </row>
    <row r="1169" spans="1:6" x14ac:dyDescent="0.3">
      <c r="A1169" s="8">
        <v>1167</v>
      </c>
      <c r="B1169" s="8" t="s">
        <v>1280</v>
      </c>
      <c r="C1169" s="8" t="s">
        <v>2486</v>
      </c>
      <c r="D1169" s="8" t="s">
        <v>2487</v>
      </c>
      <c r="E1169" s="13">
        <v>8960</v>
      </c>
      <c r="F1169" s="14">
        <v>17000</v>
      </c>
    </row>
    <row r="1170" spans="1:6" x14ac:dyDescent="0.3">
      <c r="A1170" s="8">
        <v>1168</v>
      </c>
      <c r="B1170" s="8" t="s">
        <v>1280</v>
      </c>
      <c r="C1170" s="8" t="s">
        <v>2488</v>
      </c>
      <c r="D1170" s="8" t="s">
        <v>2489</v>
      </c>
      <c r="E1170" s="13">
        <v>22800</v>
      </c>
      <c r="F1170" s="14">
        <v>46296</v>
      </c>
    </row>
    <row r="1171" spans="1:6" x14ac:dyDescent="0.3">
      <c r="A1171" s="8">
        <v>1169</v>
      </c>
      <c r="B1171" s="8" t="s">
        <v>1293</v>
      </c>
      <c r="C1171" s="8" t="s">
        <v>2490</v>
      </c>
      <c r="D1171" s="8" t="s">
        <v>2491</v>
      </c>
      <c r="E1171" s="13">
        <v>492000</v>
      </c>
      <c r="F1171" s="14">
        <v>800000</v>
      </c>
    </row>
    <row r="1172" spans="1:6" x14ac:dyDescent="0.3">
      <c r="A1172" s="8">
        <v>1170</v>
      </c>
      <c r="B1172" s="8" t="s">
        <v>1293</v>
      </c>
      <c r="C1172" s="8" t="s">
        <v>2492</v>
      </c>
      <c r="D1172" s="8" t="s">
        <v>2493</v>
      </c>
      <c r="E1172" s="13">
        <v>314900</v>
      </c>
      <c r="F1172" s="14">
        <v>629630</v>
      </c>
    </row>
    <row r="1173" spans="1:6" x14ac:dyDescent="0.3">
      <c r="A1173" s="8">
        <v>1171</v>
      </c>
      <c r="B1173" s="8" t="s">
        <v>1293</v>
      </c>
      <c r="C1173" s="8" t="s">
        <v>2494</v>
      </c>
      <c r="D1173" s="8" t="s">
        <v>2495</v>
      </c>
      <c r="E1173" s="13">
        <v>226000</v>
      </c>
      <c r="F1173" s="14">
        <v>451852</v>
      </c>
    </row>
    <row r="1174" spans="1:6" x14ac:dyDescent="0.3">
      <c r="A1174" s="8">
        <v>1172</v>
      </c>
      <c r="B1174" s="8" t="s">
        <v>1293</v>
      </c>
      <c r="C1174" s="8" t="s">
        <v>2496</v>
      </c>
      <c r="D1174" s="8" t="s">
        <v>2497</v>
      </c>
      <c r="E1174" s="13">
        <v>208400</v>
      </c>
      <c r="F1174" s="14">
        <v>416667</v>
      </c>
    </row>
    <row r="1175" spans="1:6" x14ac:dyDescent="0.3">
      <c r="A1175" s="8">
        <v>1173</v>
      </c>
      <c r="B1175" s="8" t="s">
        <v>1296</v>
      </c>
      <c r="C1175" s="8" t="s">
        <v>2498</v>
      </c>
      <c r="D1175" s="8" t="s">
        <v>2499</v>
      </c>
      <c r="E1175" s="13">
        <v>987000</v>
      </c>
      <c r="F1175" s="14">
        <v>1920370</v>
      </c>
    </row>
    <row r="1176" spans="1:6" x14ac:dyDescent="0.3">
      <c r="A1176" s="8">
        <v>1174</v>
      </c>
      <c r="B1176" s="8" t="s">
        <v>1296</v>
      </c>
      <c r="C1176" s="8" t="s">
        <v>2500</v>
      </c>
      <c r="D1176" s="8" t="s">
        <v>2501</v>
      </c>
      <c r="E1176" s="13">
        <v>0</v>
      </c>
      <c r="F1176" s="14">
        <v>0</v>
      </c>
    </row>
    <row r="1177" spans="1:6" x14ac:dyDescent="0.3">
      <c r="A1177" s="8">
        <v>1175</v>
      </c>
      <c r="B1177" s="8" t="s">
        <v>2229</v>
      </c>
      <c r="C1177" s="8" t="s">
        <v>2502</v>
      </c>
      <c r="D1177" s="8" t="s">
        <v>2503</v>
      </c>
      <c r="E1177" s="13">
        <v>38000</v>
      </c>
      <c r="F1177" s="14">
        <v>75926</v>
      </c>
    </row>
    <row r="1178" spans="1:6" x14ac:dyDescent="0.3">
      <c r="A1178" s="8">
        <v>1176</v>
      </c>
      <c r="B1178" s="8" t="s">
        <v>2229</v>
      </c>
      <c r="C1178" s="8" t="s">
        <v>2504</v>
      </c>
      <c r="D1178" s="8" t="s">
        <v>2505</v>
      </c>
      <c r="E1178" s="13">
        <v>2862200</v>
      </c>
      <c r="F1178" s="14">
        <v>5567593</v>
      </c>
    </row>
    <row r="1179" spans="1:6" x14ac:dyDescent="0.3">
      <c r="A1179" s="8">
        <v>1177</v>
      </c>
      <c r="B1179" s="8" t="s">
        <v>2229</v>
      </c>
      <c r="C1179" s="8" t="s">
        <v>2506</v>
      </c>
      <c r="D1179" s="8" t="s">
        <v>2507</v>
      </c>
      <c r="E1179" s="13">
        <v>0</v>
      </c>
      <c r="F1179" s="14">
        <v>0</v>
      </c>
    </row>
    <row r="1180" spans="1:6" x14ac:dyDescent="0.3">
      <c r="A1180" s="8">
        <v>1178</v>
      </c>
      <c r="B1180" s="8" t="s">
        <v>2229</v>
      </c>
      <c r="C1180" s="8" t="s">
        <v>2508</v>
      </c>
      <c r="D1180" s="8" t="s">
        <v>2509</v>
      </c>
      <c r="E1180" s="13">
        <v>2540600</v>
      </c>
      <c r="F1180" s="14">
        <v>5900000</v>
      </c>
    </row>
    <row r="1181" spans="1:6" x14ac:dyDescent="0.3">
      <c r="A1181" s="8">
        <v>1179</v>
      </c>
      <c r="B1181" s="8" t="s">
        <v>2229</v>
      </c>
      <c r="C1181" s="8" t="s">
        <v>2510</v>
      </c>
      <c r="D1181" s="8" t="s">
        <v>2511</v>
      </c>
      <c r="E1181" s="13">
        <v>2632000</v>
      </c>
      <c r="F1181" s="14">
        <v>6203704</v>
      </c>
    </row>
    <row r="1182" spans="1:6" x14ac:dyDescent="0.3">
      <c r="A1182" s="8">
        <v>1180</v>
      </c>
      <c r="B1182" s="8" t="s">
        <v>2229</v>
      </c>
      <c r="C1182" s="8" t="s">
        <v>2512</v>
      </c>
      <c r="D1182" s="8" t="s">
        <v>2513</v>
      </c>
      <c r="E1182" s="13">
        <v>2632000</v>
      </c>
      <c r="F1182" s="14">
        <v>6203704</v>
      </c>
    </row>
    <row r="1183" spans="1:6" x14ac:dyDescent="0.3">
      <c r="A1183" s="8">
        <v>1181</v>
      </c>
      <c r="B1183" s="8" t="s">
        <v>2229</v>
      </c>
      <c r="C1183" s="8" t="s">
        <v>2514</v>
      </c>
      <c r="D1183" s="8" t="s">
        <v>2515</v>
      </c>
      <c r="E1183" s="13">
        <v>0</v>
      </c>
      <c r="F1183" s="14">
        <v>0</v>
      </c>
    </row>
    <row r="1184" spans="1:6" x14ac:dyDescent="0.3">
      <c r="A1184" s="8">
        <v>1182</v>
      </c>
      <c r="B1184" s="8" t="s">
        <v>2229</v>
      </c>
      <c r="C1184" s="8" t="s">
        <v>2516</v>
      </c>
      <c r="D1184" s="8" t="s">
        <v>2517</v>
      </c>
      <c r="E1184" s="13">
        <v>2632000</v>
      </c>
      <c r="F1184" s="14">
        <v>6203704</v>
      </c>
    </row>
    <row r="1185" spans="1:6" x14ac:dyDescent="0.3">
      <c r="A1185" s="8">
        <v>1183</v>
      </c>
      <c r="B1185" s="8" t="s">
        <v>2229</v>
      </c>
      <c r="C1185" s="8" t="s">
        <v>2518</v>
      </c>
      <c r="D1185" s="8" t="s">
        <v>2519</v>
      </c>
      <c r="E1185" s="13">
        <v>0</v>
      </c>
      <c r="F1185" s="14">
        <v>0</v>
      </c>
    </row>
    <row r="1186" spans="1:6" x14ac:dyDescent="0.3">
      <c r="A1186" s="8">
        <v>1184</v>
      </c>
      <c r="B1186" s="8" t="s">
        <v>2303</v>
      </c>
      <c r="C1186" s="8" t="s">
        <v>2520</v>
      </c>
      <c r="D1186" s="8" t="s">
        <v>2521</v>
      </c>
      <c r="E1186" s="13">
        <v>0</v>
      </c>
      <c r="F1186" s="14">
        <v>0</v>
      </c>
    </row>
    <row r="1187" spans="1:6" x14ac:dyDescent="0.3">
      <c r="A1187" s="8">
        <v>1185</v>
      </c>
      <c r="B1187" s="8" t="s">
        <v>2303</v>
      </c>
      <c r="C1187" s="8" t="s">
        <v>2522</v>
      </c>
      <c r="D1187" s="8" t="s">
        <v>2523</v>
      </c>
      <c r="E1187" s="13">
        <v>38000</v>
      </c>
      <c r="F1187" s="14">
        <v>76019</v>
      </c>
    </row>
    <row r="1188" spans="1:6" x14ac:dyDescent="0.3">
      <c r="A1188" s="8">
        <v>1186</v>
      </c>
      <c r="B1188" s="8" t="s">
        <v>2303</v>
      </c>
      <c r="C1188" s="8" t="s">
        <v>2524</v>
      </c>
      <c r="D1188" s="8" t="s">
        <v>2525</v>
      </c>
      <c r="E1188" s="13">
        <v>28000</v>
      </c>
      <c r="F1188" s="14">
        <v>48200</v>
      </c>
    </row>
    <row r="1189" spans="1:6" x14ac:dyDescent="0.3">
      <c r="A1189" s="8">
        <v>1187</v>
      </c>
      <c r="B1189" s="8" t="s">
        <v>2303</v>
      </c>
      <c r="C1189" s="8" t="s">
        <v>2526</v>
      </c>
      <c r="D1189" s="8" t="s">
        <v>2527</v>
      </c>
      <c r="E1189" s="13">
        <v>48000</v>
      </c>
      <c r="F1189" s="14">
        <v>96019</v>
      </c>
    </row>
    <row r="1190" spans="1:6" x14ac:dyDescent="0.3">
      <c r="A1190" s="8">
        <v>1188</v>
      </c>
      <c r="B1190" s="8" t="s">
        <v>2303</v>
      </c>
      <c r="C1190" s="8" t="s">
        <v>2528</v>
      </c>
      <c r="D1190" s="8" t="s">
        <v>2529</v>
      </c>
      <c r="E1190" s="13">
        <v>63100</v>
      </c>
      <c r="F1190" s="14">
        <v>125926</v>
      </c>
    </row>
    <row r="1191" spans="1:6" x14ac:dyDescent="0.3">
      <c r="A1191" s="8">
        <v>1189</v>
      </c>
      <c r="B1191" s="8" t="s">
        <v>2303</v>
      </c>
      <c r="C1191" s="8" t="s">
        <v>2530</v>
      </c>
      <c r="D1191" s="8" t="s">
        <v>2531</v>
      </c>
      <c r="E1191" s="13">
        <v>0</v>
      </c>
      <c r="F1191" s="14">
        <v>0</v>
      </c>
    </row>
    <row r="1192" spans="1:6" x14ac:dyDescent="0.3">
      <c r="A1192" s="8">
        <v>1190</v>
      </c>
      <c r="B1192" s="8" t="s">
        <v>287</v>
      </c>
      <c r="C1192" s="8" t="s">
        <v>2532</v>
      </c>
      <c r="D1192" s="8" t="s">
        <v>2533</v>
      </c>
      <c r="E1192" s="13">
        <v>104000</v>
      </c>
      <c r="F1192" s="14">
        <v>208333</v>
      </c>
    </row>
    <row r="1193" spans="1:6" x14ac:dyDescent="0.3">
      <c r="A1193" s="8">
        <v>1191</v>
      </c>
      <c r="B1193" s="8" t="s">
        <v>287</v>
      </c>
      <c r="C1193" s="8" t="s">
        <v>2534</v>
      </c>
      <c r="D1193" s="8" t="s">
        <v>2535</v>
      </c>
      <c r="E1193" s="13">
        <v>101000</v>
      </c>
      <c r="F1193" s="14">
        <v>201852</v>
      </c>
    </row>
    <row r="1194" spans="1:6" x14ac:dyDescent="0.3">
      <c r="A1194" s="8">
        <v>1192</v>
      </c>
      <c r="B1194" s="8" t="s">
        <v>287</v>
      </c>
      <c r="C1194" s="8" t="s">
        <v>2536</v>
      </c>
      <c r="D1194" s="8" t="s">
        <v>2537</v>
      </c>
      <c r="E1194" s="13">
        <v>0</v>
      </c>
      <c r="F1194" s="14">
        <v>0</v>
      </c>
    </row>
    <row r="1195" spans="1:6" x14ac:dyDescent="0.3">
      <c r="A1195" s="8">
        <v>1193</v>
      </c>
      <c r="B1195" s="8" t="s">
        <v>287</v>
      </c>
      <c r="C1195" s="8" t="s">
        <v>2538</v>
      </c>
      <c r="D1195" s="8" t="s">
        <v>2539</v>
      </c>
      <c r="E1195" s="13">
        <v>0</v>
      </c>
      <c r="F1195" s="14">
        <v>0</v>
      </c>
    </row>
    <row r="1196" spans="1:6" x14ac:dyDescent="0.3">
      <c r="A1196" s="8">
        <v>1194</v>
      </c>
      <c r="B1196" s="8" t="s">
        <v>287</v>
      </c>
      <c r="C1196" s="8" t="s">
        <v>2540</v>
      </c>
      <c r="D1196" s="8" t="s">
        <v>2541</v>
      </c>
      <c r="E1196" s="13">
        <v>0</v>
      </c>
      <c r="F1196" s="14">
        <v>0</v>
      </c>
    </row>
    <row r="1197" spans="1:6" x14ac:dyDescent="0.3">
      <c r="A1197" s="8">
        <v>1195</v>
      </c>
      <c r="B1197" s="8" t="s">
        <v>287</v>
      </c>
      <c r="C1197" s="8" t="s">
        <v>2542</v>
      </c>
      <c r="D1197" s="8" t="s">
        <v>2543</v>
      </c>
      <c r="E1197" s="13">
        <v>0</v>
      </c>
      <c r="F1197" s="14">
        <v>0</v>
      </c>
    </row>
    <row r="1198" spans="1:6" x14ac:dyDescent="0.3">
      <c r="A1198" s="8">
        <v>1196</v>
      </c>
      <c r="B1198" s="8" t="s">
        <v>1259</v>
      </c>
      <c r="C1198" s="8" t="s">
        <v>2544</v>
      </c>
      <c r="D1198" s="8" t="s">
        <v>2545</v>
      </c>
      <c r="E1198" s="13">
        <v>0</v>
      </c>
      <c r="F1198" s="14">
        <v>0</v>
      </c>
    </row>
    <row r="1199" spans="1:6" x14ac:dyDescent="0.3">
      <c r="A1199" s="8">
        <v>1197</v>
      </c>
      <c r="B1199" s="8" t="s">
        <v>1259</v>
      </c>
      <c r="C1199" s="8" t="s">
        <v>2546</v>
      </c>
      <c r="D1199" s="8" t="s">
        <v>2547</v>
      </c>
      <c r="E1199" s="13">
        <v>0</v>
      </c>
      <c r="F1199" s="14">
        <v>0</v>
      </c>
    </row>
    <row r="1200" spans="1:6" x14ac:dyDescent="0.3">
      <c r="A1200" s="8">
        <v>1198</v>
      </c>
      <c r="B1200" s="8" t="s">
        <v>1259</v>
      </c>
      <c r="C1200" s="8" t="s">
        <v>2548</v>
      </c>
      <c r="D1200" s="8" t="s">
        <v>2549</v>
      </c>
      <c r="E1200" s="13">
        <v>0</v>
      </c>
      <c r="F1200" s="14">
        <v>0</v>
      </c>
    </row>
    <row r="1201" spans="1:6" x14ac:dyDescent="0.3">
      <c r="A1201" s="8">
        <v>1199</v>
      </c>
      <c r="B1201" s="8" t="s">
        <v>1259</v>
      </c>
      <c r="C1201" s="8" t="s">
        <v>2550</v>
      </c>
      <c r="D1201" s="8" t="s">
        <v>2551</v>
      </c>
      <c r="E1201" s="13">
        <v>42680</v>
      </c>
      <c r="F1201" s="14">
        <v>70000</v>
      </c>
    </row>
    <row r="1202" spans="1:6" x14ac:dyDescent="0.3">
      <c r="A1202" s="8">
        <v>1200</v>
      </c>
      <c r="B1202" s="8" t="s">
        <v>1259</v>
      </c>
      <c r="C1202" s="8" t="s">
        <v>2552</v>
      </c>
      <c r="D1202" s="8" t="s">
        <v>2553</v>
      </c>
      <c r="E1202" s="13">
        <v>0</v>
      </c>
      <c r="F1202" s="14">
        <v>0</v>
      </c>
    </row>
    <row r="1203" spans="1:6" x14ac:dyDescent="0.3">
      <c r="A1203" s="8">
        <v>1201</v>
      </c>
      <c r="B1203" s="8" t="s">
        <v>1259</v>
      </c>
      <c r="C1203" s="8" t="s">
        <v>2554</v>
      </c>
      <c r="D1203" s="8" t="s">
        <v>2555</v>
      </c>
      <c r="E1203" s="13">
        <v>0</v>
      </c>
      <c r="F1203" s="14">
        <v>0</v>
      </c>
    </row>
    <row r="1204" spans="1:6" x14ac:dyDescent="0.3">
      <c r="A1204" s="8">
        <v>1202</v>
      </c>
      <c r="B1204" s="8" t="s">
        <v>1280</v>
      </c>
      <c r="C1204" s="8" t="s">
        <v>2556</v>
      </c>
      <c r="D1204" s="8" t="s">
        <v>2557</v>
      </c>
      <c r="E1204" s="13">
        <v>10180</v>
      </c>
      <c r="F1204" s="14">
        <v>16000</v>
      </c>
    </row>
    <row r="1205" spans="1:6" x14ac:dyDescent="0.3">
      <c r="A1205" s="8">
        <v>1203</v>
      </c>
      <c r="B1205" s="8" t="s">
        <v>1280</v>
      </c>
      <c r="C1205" s="8" t="s">
        <v>2558</v>
      </c>
      <c r="D1205" s="8" t="s">
        <v>2559</v>
      </c>
      <c r="E1205" s="13">
        <v>0</v>
      </c>
      <c r="F1205" s="14">
        <v>0</v>
      </c>
    </row>
    <row r="1206" spans="1:6" x14ac:dyDescent="0.3">
      <c r="A1206" s="8">
        <v>1204</v>
      </c>
      <c r="B1206" s="8" t="s">
        <v>1280</v>
      </c>
      <c r="C1206" s="8" t="s">
        <v>2560</v>
      </c>
      <c r="D1206" s="8" t="s">
        <v>2561</v>
      </c>
      <c r="E1206" s="13">
        <v>38000</v>
      </c>
      <c r="F1206" s="14">
        <v>66000</v>
      </c>
    </row>
    <row r="1207" spans="1:6" x14ac:dyDescent="0.3">
      <c r="A1207" s="8">
        <v>1205</v>
      </c>
      <c r="B1207" s="8" t="s">
        <v>1293</v>
      </c>
      <c r="C1207" s="8" t="s">
        <v>2562</v>
      </c>
      <c r="D1207" s="8" t="s">
        <v>2563</v>
      </c>
      <c r="E1207" s="13">
        <v>213600</v>
      </c>
      <c r="F1207" s="14">
        <v>426852</v>
      </c>
    </row>
    <row r="1208" spans="1:6" x14ac:dyDescent="0.3">
      <c r="A1208" s="8">
        <v>1206</v>
      </c>
      <c r="B1208" s="8" t="s">
        <v>1293</v>
      </c>
      <c r="C1208" s="8" t="s">
        <v>2564</v>
      </c>
      <c r="D1208" s="8" t="s">
        <v>2565</v>
      </c>
      <c r="E1208" s="13">
        <v>230000</v>
      </c>
      <c r="F1208" s="14">
        <v>460185</v>
      </c>
    </row>
    <row r="1209" spans="1:6" x14ac:dyDescent="0.3">
      <c r="A1209" s="8">
        <v>1207</v>
      </c>
      <c r="B1209" s="8" t="s">
        <v>1293</v>
      </c>
      <c r="C1209" s="8" t="s">
        <v>2566</v>
      </c>
      <c r="D1209" s="8" t="s">
        <v>2567</v>
      </c>
      <c r="E1209" s="13">
        <v>148200</v>
      </c>
      <c r="F1209" s="14">
        <v>296296</v>
      </c>
    </row>
    <row r="1210" spans="1:6" x14ac:dyDescent="0.3">
      <c r="A1210" s="8">
        <v>1208</v>
      </c>
      <c r="B1210" s="8" t="s">
        <v>1293</v>
      </c>
      <c r="C1210" s="8" t="s">
        <v>2568</v>
      </c>
      <c r="D1210" s="8" t="s">
        <v>2569</v>
      </c>
      <c r="E1210" s="13">
        <v>280000</v>
      </c>
      <c r="F1210" s="14">
        <v>560185</v>
      </c>
    </row>
    <row r="1211" spans="1:6" x14ac:dyDescent="0.3">
      <c r="A1211" s="8">
        <v>1209</v>
      </c>
      <c r="B1211" s="8" t="s">
        <v>1293</v>
      </c>
      <c r="C1211" s="8" t="s">
        <v>2570</v>
      </c>
      <c r="D1211" s="8" t="s">
        <v>2571</v>
      </c>
      <c r="E1211" s="13">
        <v>120000</v>
      </c>
      <c r="F1211" s="14">
        <v>239815</v>
      </c>
    </row>
    <row r="1212" spans="1:6" x14ac:dyDescent="0.3">
      <c r="A1212" s="8">
        <v>1210</v>
      </c>
      <c r="B1212" s="8" t="s">
        <v>1296</v>
      </c>
      <c r="C1212" s="8" t="s">
        <v>2572</v>
      </c>
      <c r="D1212" s="8" t="s">
        <v>2573</v>
      </c>
      <c r="E1212" s="13">
        <v>493900</v>
      </c>
      <c r="F1212" s="14">
        <v>960185</v>
      </c>
    </row>
    <row r="1213" spans="1:6" x14ac:dyDescent="0.3">
      <c r="A1213" s="8">
        <v>1211</v>
      </c>
      <c r="B1213" s="8" t="s">
        <v>1296</v>
      </c>
      <c r="C1213" s="8" t="s">
        <v>2574</v>
      </c>
      <c r="D1213" s="8" t="s">
        <v>2575</v>
      </c>
      <c r="E1213" s="13">
        <v>987000</v>
      </c>
      <c r="F1213" s="14">
        <v>1920370</v>
      </c>
    </row>
    <row r="1214" spans="1:6" x14ac:dyDescent="0.3">
      <c r="A1214" s="8">
        <v>1212</v>
      </c>
      <c r="B1214" s="8" t="s">
        <v>1296</v>
      </c>
      <c r="C1214" s="8" t="s">
        <v>2576</v>
      </c>
      <c r="D1214" s="8" t="s">
        <v>2577</v>
      </c>
      <c r="E1214" s="13">
        <v>0</v>
      </c>
      <c r="F1214" s="14">
        <v>333333</v>
      </c>
    </row>
    <row r="1215" spans="1:6" x14ac:dyDescent="0.3">
      <c r="A1215" s="8">
        <v>1213</v>
      </c>
      <c r="B1215" s="8" t="s">
        <v>2229</v>
      </c>
      <c r="C1215" s="8" t="s">
        <v>2578</v>
      </c>
      <c r="D1215" s="8" t="s">
        <v>2579</v>
      </c>
      <c r="E1215" s="13">
        <v>0</v>
      </c>
      <c r="F1215" s="14">
        <v>332407</v>
      </c>
    </row>
    <row r="1216" spans="1:6" x14ac:dyDescent="0.3">
      <c r="A1216" s="8">
        <v>1214</v>
      </c>
      <c r="B1216" s="8" t="s">
        <v>2229</v>
      </c>
      <c r="C1216" s="8" t="s">
        <v>2580</v>
      </c>
      <c r="D1216" s="8" t="s">
        <v>2581</v>
      </c>
      <c r="E1216" s="13">
        <v>0</v>
      </c>
      <c r="F1216" s="14">
        <v>2761111</v>
      </c>
    </row>
    <row r="1217" spans="1:6" x14ac:dyDescent="0.3">
      <c r="A1217" s="8">
        <v>1215</v>
      </c>
      <c r="B1217" s="8" t="s">
        <v>1280</v>
      </c>
      <c r="C1217" s="8" t="s">
        <v>2582</v>
      </c>
      <c r="D1217" s="8" t="s">
        <v>2583</v>
      </c>
      <c r="E1217" s="13">
        <v>22000</v>
      </c>
      <c r="F1217" s="14">
        <v>44444</v>
      </c>
    </row>
    <row r="1218" spans="1:6" x14ac:dyDescent="0.3">
      <c r="A1218" s="8">
        <v>1216</v>
      </c>
      <c r="B1218" s="8" t="s">
        <v>1280</v>
      </c>
      <c r="C1218" s="8" t="s">
        <v>2584</v>
      </c>
      <c r="D1218" s="8" t="s">
        <v>2585</v>
      </c>
      <c r="E1218" s="13">
        <v>0</v>
      </c>
      <c r="F1218" s="14">
        <v>0</v>
      </c>
    </row>
    <row r="1219" spans="1:6" x14ac:dyDescent="0.3">
      <c r="A1219" s="8">
        <v>1217</v>
      </c>
      <c r="B1219" s="8" t="s">
        <v>1293</v>
      </c>
      <c r="C1219" s="8" t="s">
        <v>2586</v>
      </c>
      <c r="D1219" s="8" t="s">
        <v>2587</v>
      </c>
      <c r="E1219" s="13">
        <v>277800</v>
      </c>
      <c r="F1219" s="14">
        <v>555556</v>
      </c>
    </row>
    <row r="1220" spans="1:6" x14ac:dyDescent="0.3">
      <c r="A1220" s="8">
        <v>1218</v>
      </c>
      <c r="B1220" s="8" t="s">
        <v>1293</v>
      </c>
      <c r="C1220" s="8" t="s">
        <v>2588</v>
      </c>
      <c r="D1220" s="8" t="s">
        <v>2589</v>
      </c>
      <c r="E1220" s="13">
        <v>193000</v>
      </c>
      <c r="F1220" s="14">
        <v>386111</v>
      </c>
    </row>
    <row r="1221" spans="1:6" x14ac:dyDescent="0.3">
      <c r="A1221" s="8">
        <v>1219</v>
      </c>
      <c r="B1221" s="8" t="s">
        <v>1293</v>
      </c>
      <c r="C1221" s="8" t="s">
        <v>2590</v>
      </c>
      <c r="D1221" s="8" t="s">
        <v>2591</v>
      </c>
      <c r="E1221" s="13">
        <v>209000</v>
      </c>
      <c r="F1221" s="14">
        <v>417593</v>
      </c>
    </row>
    <row r="1222" spans="1:6" x14ac:dyDescent="0.3">
      <c r="A1222" s="8">
        <v>1220</v>
      </c>
      <c r="B1222" s="8" t="s">
        <v>1293</v>
      </c>
      <c r="C1222" s="8" t="s">
        <v>2592</v>
      </c>
      <c r="D1222" s="8" t="s">
        <v>2593</v>
      </c>
      <c r="E1222" s="13">
        <v>143000</v>
      </c>
      <c r="F1222" s="14">
        <v>286111</v>
      </c>
    </row>
    <row r="1223" spans="1:6" x14ac:dyDescent="0.3">
      <c r="A1223" s="8">
        <v>1221</v>
      </c>
      <c r="B1223" s="8" t="s">
        <v>1293</v>
      </c>
      <c r="C1223" s="8" t="s">
        <v>2594</v>
      </c>
      <c r="D1223" s="8" t="s">
        <v>2595</v>
      </c>
      <c r="E1223" s="13">
        <v>333400</v>
      </c>
      <c r="F1223" s="14">
        <v>666667</v>
      </c>
    </row>
    <row r="1224" spans="1:6" x14ac:dyDescent="0.3">
      <c r="A1224" s="8">
        <v>1222</v>
      </c>
      <c r="B1224" s="8" t="s">
        <v>1293</v>
      </c>
      <c r="C1224" s="8" t="s">
        <v>2596</v>
      </c>
      <c r="D1224" s="8" t="s">
        <v>2597</v>
      </c>
      <c r="E1224" s="13">
        <v>230000</v>
      </c>
      <c r="F1224" s="14">
        <v>460185</v>
      </c>
    </row>
    <row r="1225" spans="1:6" x14ac:dyDescent="0.3">
      <c r="A1225" s="8">
        <v>1223</v>
      </c>
      <c r="B1225" s="8" t="s">
        <v>1293</v>
      </c>
      <c r="C1225" s="8" t="s">
        <v>2598</v>
      </c>
      <c r="D1225" s="8" t="s">
        <v>2599</v>
      </c>
      <c r="E1225" s="13">
        <v>148200</v>
      </c>
      <c r="F1225" s="14">
        <v>296296</v>
      </c>
    </row>
    <row r="1226" spans="1:6" x14ac:dyDescent="0.3">
      <c r="A1226" s="8">
        <v>1224</v>
      </c>
      <c r="B1226" s="8" t="s">
        <v>1293</v>
      </c>
      <c r="C1226" s="8" t="s">
        <v>2600</v>
      </c>
      <c r="D1226" s="8" t="s">
        <v>2601</v>
      </c>
      <c r="E1226" s="13">
        <v>280000</v>
      </c>
      <c r="F1226" s="14">
        <v>560185</v>
      </c>
    </row>
    <row r="1227" spans="1:6" x14ac:dyDescent="0.3">
      <c r="A1227" s="8">
        <v>1225</v>
      </c>
      <c r="B1227" s="8" t="s">
        <v>1293</v>
      </c>
      <c r="C1227" s="8" t="s">
        <v>2602</v>
      </c>
      <c r="D1227" s="8" t="s">
        <v>2603</v>
      </c>
      <c r="E1227" s="13">
        <v>120000</v>
      </c>
      <c r="F1227" s="14">
        <v>239815</v>
      </c>
    </row>
    <row r="1228" spans="1:6" x14ac:dyDescent="0.3">
      <c r="A1228" s="8">
        <v>1226</v>
      </c>
      <c r="B1228" s="8" t="s">
        <v>1296</v>
      </c>
      <c r="C1228" s="8" t="s">
        <v>2604</v>
      </c>
      <c r="D1228" s="8" t="s">
        <v>2605</v>
      </c>
      <c r="E1228" s="13">
        <v>2232200</v>
      </c>
      <c r="F1228" s="14">
        <v>4342593</v>
      </c>
    </row>
    <row r="1229" spans="1:6" x14ac:dyDescent="0.3">
      <c r="A1229" s="8">
        <v>1227</v>
      </c>
      <c r="B1229" s="8" t="s">
        <v>1296</v>
      </c>
      <c r="C1229" s="8" t="s">
        <v>2606</v>
      </c>
      <c r="D1229" s="8" t="s">
        <v>2607</v>
      </c>
      <c r="E1229" s="13">
        <v>2745800</v>
      </c>
      <c r="F1229" s="14">
        <v>5491667</v>
      </c>
    </row>
    <row r="1230" spans="1:6" x14ac:dyDescent="0.3">
      <c r="A1230" s="8">
        <v>1228</v>
      </c>
      <c r="B1230" s="8" t="s">
        <v>2229</v>
      </c>
      <c r="C1230" s="8" t="s">
        <v>2608</v>
      </c>
      <c r="D1230" s="8" t="s">
        <v>2609</v>
      </c>
      <c r="E1230" s="13">
        <v>4308890</v>
      </c>
      <c r="F1230" s="14">
        <v>8381481</v>
      </c>
    </row>
    <row r="1231" spans="1:6" x14ac:dyDescent="0.3">
      <c r="A1231" s="8">
        <v>1229</v>
      </c>
      <c r="B1231" s="8" t="s">
        <v>2229</v>
      </c>
      <c r="C1231" s="8" t="s">
        <v>2610</v>
      </c>
      <c r="D1231" s="8" t="s">
        <v>2611</v>
      </c>
      <c r="E1231" s="13">
        <v>2745800</v>
      </c>
      <c r="F1231" s="14">
        <v>5491667</v>
      </c>
    </row>
    <row r="1232" spans="1:6" x14ac:dyDescent="0.3">
      <c r="A1232" s="8">
        <v>1230</v>
      </c>
      <c r="B1232" s="8" t="s">
        <v>2229</v>
      </c>
      <c r="C1232" s="8" t="s">
        <v>2612</v>
      </c>
      <c r="D1232" s="8" t="s">
        <v>2613</v>
      </c>
      <c r="E1232" s="13">
        <v>4736700</v>
      </c>
      <c r="F1232" s="14">
        <v>9213889</v>
      </c>
    </row>
    <row r="1233" spans="1:6" x14ac:dyDescent="0.3">
      <c r="A1233" s="8">
        <v>1231</v>
      </c>
      <c r="B1233" s="8" t="s">
        <v>2229</v>
      </c>
      <c r="C1233" s="8" t="s">
        <v>2614</v>
      </c>
      <c r="D1233" s="8" t="s">
        <v>2615</v>
      </c>
      <c r="E1233" s="13">
        <v>416700</v>
      </c>
      <c r="F1233" s="14">
        <v>833333</v>
      </c>
    </row>
    <row r="1234" spans="1:6" x14ac:dyDescent="0.3">
      <c r="A1234" s="8">
        <v>1232</v>
      </c>
      <c r="B1234" s="8" t="s">
        <v>2229</v>
      </c>
      <c r="C1234" s="8" t="s">
        <v>2616</v>
      </c>
      <c r="D1234" s="8" t="s">
        <v>2617</v>
      </c>
      <c r="E1234" s="13">
        <v>0</v>
      </c>
      <c r="F1234" s="14">
        <v>0</v>
      </c>
    </row>
    <row r="1235" spans="1:6" x14ac:dyDescent="0.3">
      <c r="A1235" s="8">
        <v>1233</v>
      </c>
      <c r="B1235" s="8" t="s">
        <v>2229</v>
      </c>
      <c r="C1235" s="8" t="s">
        <v>2618</v>
      </c>
      <c r="D1235" s="8" t="s">
        <v>2619</v>
      </c>
      <c r="E1235" s="13">
        <v>2540600</v>
      </c>
      <c r="F1235" s="14">
        <v>5870370</v>
      </c>
    </row>
    <row r="1236" spans="1:6" x14ac:dyDescent="0.3">
      <c r="A1236" s="8">
        <v>1234</v>
      </c>
      <c r="B1236" s="8" t="s">
        <v>2303</v>
      </c>
      <c r="C1236" s="8" t="s">
        <v>2620</v>
      </c>
      <c r="D1236" s="8" t="s">
        <v>2621</v>
      </c>
      <c r="E1236" s="13">
        <v>15300</v>
      </c>
      <c r="F1236" s="14">
        <v>26000</v>
      </c>
    </row>
    <row r="1237" spans="1:6" x14ac:dyDescent="0.3">
      <c r="A1237" s="8">
        <v>1235</v>
      </c>
      <c r="B1237" s="8" t="s">
        <v>2303</v>
      </c>
      <c r="C1237" s="8" t="s">
        <v>2622</v>
      </c>
      <c r="D1237" s="8" t="s">
        <v>2623</v>
      </c>
      <c r="E1237" s="13">
        <v>33800</v>
      </c>
      <c r="F1237" s="14">
        <v>67593</v>
      </c>
    </row>
    <row r="1238" spans="1:6" x14ac:dyDescent="0.3">
      <c r="A1238" s="8">
        <v>1236</v>
      </c>
      <c r="B1238" s="8" t="s">
        <v>2303</v>
      </c>
      <c r="C1238" s="8" t="s">
        <v>2624</v>
      </c>
      <c r="D1238" s="8" t="s">
        <v>2625</v>
      </c>
      <c r="E1238" s="13">
        <v>0</v>
      </c>
      <c r="F1238" s="14">
        <v>0</v>
      </c>
    </row>
    <row r="1239" spans="1:6" x14ac:dyDescent="0.3">
      <c r="A1239" s="8">
        <v>1237</v>
      </c>
      <c r="B1239" s="8" t="s">
        <v>2303</v>
      </c>
      <c r="C1239" s="8" t="s">
        <v>2626</v>
      </c>
      <c r="D1239" s="8" t="s">
        <v>2627</v>
      </c>
      <c r="E1239" s="13">
        <v>14500</v>
      </c>
      <c r="F1239" s="14">
        <v>28981</v>
      </c>
    </row>
    <row r="1240" spans="1:6" x14ac:dyDescent="0.3">
      <c r="A1240" s="8">
        <v>1238</v>
      </c>
      <c r="B1240" s="8" t="s">
        <v>2303</v>
      </c>
      <c r="C1240" s="8" t="s">
        <v>2628</v>
      </c>
      <c r="D1240" s="8" t="s">
        <v>2629</v>
      </c>
      <c r="E1240" s="13">
        <v>0</v>
      </c>
      <c r="F1240" s="14">
        <v>0</v>
      </c>
    </row>
    <row r="1241" spans="1:6" x14ac:dyDescent="0.3">
      <c r="A1241" s="8">
        <v>1239</v>
      </c>
      <c r="B1241" s="8" t="s">
        <v>287</v>
      </c>
      <c r="C1241" s="8" t="s">
        <v>2630</v>
      </c>
      <c r="D1241" s="8" t="s">
        <v>2631</v>
      </c>
      <c r="E1241" s="13">
        <v>106000</v>
      </c>
      <c r="F1241" s="14">
        <v>212037</v>
      </c>
    </row>
    <row r="1242" spans="1:6" x14ac:dyDescent="0.3">
      <c r="A1242" s="8">
        <v>1240</v>
      </c>
      <c r="B1242" s="8" t="s">
        <v>287</v>
      </c>
      <c r="C1242" s="8" t="s">
        <v>2632</v>
      </c>
      <c r="D1242" s="8" t="s">
        <v>2633</v>
      </c>
      <c r="E1242" s="13">
        <v>190000</v>
      </c>
      <c r="F1242" s="14">
        <v>342000</v>
      </c>
    </row>
    <row r="1243" spans="1:6" x14ac:dyDescent="0.3">
      <c r="A1243" s="8">
        <v>1241</v>
      </c>
      <c r="B1243" s="8" t="s">
        <v>287</v>
      </c>
      <c r="C1243" s="8" t="s">
        <v>2634</v>
      </c>
      <c r="D1243" s="8" t="s">
        <v>2635</v>
      </c>
      <c r="E1243" s="13">
        <v>129000</v>
      </c>
      <c r="F1243" s="14">
        <v>258333</v>
      </c>
    </row>
    <row r="1244" spans="1:6" x14ac:dyDescent="0.3">
      <c r="A1244" s="8">
        <v>1242</v>
      </c>
      <c r="B1244" s="8" t="s">
        <v>287</v>
      </c>
      <c r="C1244" s="8" t="s">
        <v>2636</v>
      </c>
      <c r="D1244" s="8" t="s">
        <v>2637</v>
      </c>
      <c r="E1244" s="13">
        <v>0</v>
      </c>
      <c r="F1244" s="14">
        <v>0</v>
      </c>
    </row>
    <row r="1245" spans="1:6" x14ac:dyDescent="0.3">
      <c r="A1245" s="8">
        <v>1243</v>
      </c>
      <c r="B1245" s="8" t="s">
        <v>1259</v>
      </c>
      <c r="C1245" s="8" t="s">
        <v>2638</v>
      </c>
      <c r="D1245" s="8" t="s">
        <v>2639</v>
      </c>
      <c r="E1245" s="13">
        <v>25570</v>
      </c>
      <c r="F1245" s="14">
        <v>38000</v>
      </c>
    </row>
    <row r="1246" spans="1:6" x14ac:dyDescent="0.3">
      <c r="A1246" s="8">
        <v>1244</v>
      </c>
      <c r="B1246" s="8" t="s">
        <v>1259</v>
      </c>
      <c r="C1246" s="8" t="s">
        <v>2640</v>
      </c>
      <c r="D1246" s="8" t="s">
        <v>2641</v>
      </c>
      <c r="E1246" s="13">
        <v>0</v>
      </c>
      <c r="F1246" s="14">
        <v>0</v>
      </c>
    </row>
    <row r="1247" spans="1:6" x14ac:dyDescent="0.3">
      <c r="A1247" s="8">
        <v>1245</v>
      </c>
      <c r="B1247" s="8" t="s">
        <v>1259</v>
      </c>
      <c r="C1247" s="8" t="s">
        <v>2642</v>
      </c>
      <c r="D1247" s="8" t="s">
        <v>2643</v>
      </c>
      <c r="E1247" s="13">
        <v>0</v>
      </c>
      <c r="F1247" s="14">
        <v>0</v>
      </c>
    </row>
    <row r="1248" spans="1:6" x14ac:dyDescent="0.3">
      <c r="A1248" s="8">
        <v>1246</v>
      </c>
      <c r="B1248" s="8" t="s">
        <v>1259</v>
      </c>
      <c r="C1248" s="8" t="s">
        <v>2644</v>
      </c>
      <c r="D1248" s="8" t="s">
        <v>2645</v>
      </c>
      <c r="E1248" s="13">
        <v>0</v>
      </c>
      <c r="F1248" s="14">
        <v>0</v>
      </c>
    </row>
    <row r="1249" spans="1:6" x14ac:dyDescent="0.3">
      <c r="A1249" s="8">
        <v>1247</v>
      </c>
      <c r="B1249" s="8" t="s">
        <v>1259</v>
      </c>
      <c r="C1249" s="8" t="s">
        <v>2646</v>
      </c>
      <c r="D1249" s="8" t="s">
        <v>2647</v>
      </c>
      <c r="E1249" s="13">
        <v>0</v>
      </c>
      <c r="F1249" s="14">
        <v>0</v>
      </c>
    </row>
    <row r="1250" spans="1:6" x14ac:dyDescent="0.3">
      <c r="A1250" s="8">
        <v>1248</v>
      </c>
      <c r="B1250" s="8" t="s">
        <v>1259</v>
      </c>
      <c r="C1250" s="8" t="s">
        <v>2648</v>
      </c>
      <c r="D1250" s="8" t="s">
        <v>2649</v>
      </c>
      <c r="E1250" s="13">
        <v>0</v>
      </c>
      <c r="F1250" s="14">
        <v>0</v>
      </c>
    </row>
    <row r="1251" spans="1:6" x14ac:dyDescent="0.3">
      <c r="A1251" s="8">
        <v>1249</v>
      </c>
      <c r="B1251" s="8" t="s">
        <v>1259</v>
      </c>
      <c r="C1251" s="8" t="s">
        <v>2650</v>
      </c>
      <c r="D1251" s="8" t="s">
        <v>2651</v>
      </c>
      <c r="E1251" s="13">
        <v>28370</v>
      </c>
      <c r="F1251" s="14">
        <v>58000</v>
      </c>
    </row>
    <row r="1252" spans="1:6" x14ac:dyDescent="0.3">
      <c r="A1252" s="8">
        <v>1250</v>
      </c>
      <c r="B1252" s="8" t="s">
        <v>1259</v>
      </c>
      <c r="C1252" s="8" t="s">
        <v>2652</v>
      </c>
      <c r="D1252" s="8" t="s">
        <v>2653</v>
      </c>
      <c r="E1252" s="13">
        <v>0</v>
      </c>
      <c r="F1252" s="14">
        <v>0</v>
      </c>
    </row>
    <row r="1253" spans="1:6" x14ac:dyDescent="0.3">
      <c r="A1253" s="8">
        <v>1251</v>
      </c>
      <c r="B1253" s="8" t="s">
        <v>1259</v>
      </c>
      <c r="C1253" s="8" t="s">
        <v>2654</v>
      </c>
      <c r="D1253" s="8" t="s">
        <v>2655</v>
      </c>
      <c r="E1253" s="13">
        <v>0</v>
      </c>
      <c r="F1253" s="14">
        <v>0</v>
      </c>
    </row>
    <row r="1254" spans="1:6" x14ac:dyDescent="0.3">
      <c r="A1254" s="8">
        <v>1252</v>
      </c>
      <c r="B1254" s="8" t="s">
        <v>1259</v>
      </c>
      <c r="C1254" s="8" t="s">
        <v>2656</v>
      </c>
      <c r="D1254" s="8" t="s">
        <v>2657</v>
      </c>
      <c r="E1254" s="13">
        <v>0</v>
      </c>
      <c r="F1254" s="14">
        <v>0</v>
      </c>
    </row>
    <row r="1255" spans="1:6" x14ac:dyDescent="0.3">
      <c r="A1255" s="8">
        <v>1253</v>
      </c>
      <c r="B1255" s="8" t="s">
        <v>1280</v>
      </c>
      <c r="C1255" s="8" t="s">
        <v>2658</v>
      </c>
      <c r="D1255" s="8" t="s">
        <v>2659</v>
      </c>
      <c r="E1255" s="13">
        <v>33840</v>
      </c>
      <c r="F1255" s="14">
        <v>54000</v>
      </c>
    </row>
    <row r="1256" spans="1:6" x14ac:dyDescent="0.3">
      <c r="A1256" s="8">
        <v>1254</v>
      </c>
      <c r="B1256" s="8" t="s">
        <v>1293</v>
      </c>
      <c r="C1256" s="8" t="s">
        <v>2660</v>
      </c>
      <c r="D1256" s="8" t="s">
        <v>2661</v>
      </c>
      <c r="E1256" s="13">
        <v>265000</v>
      </c>
      <c r="F1256" s="14">
        <v>426000</v>
      </c>
    </row>
    <row r="1257" spans="1:6" x14ac:dyDescent="0.3">
      <c r="A1257" s="8">
        <v>1255</v>
      </c>
      <c r="B1257" s="8" t="s">
        <v>1293</v>
      </c>
      <c r="C1257" s="8" t="s">
        <v>2662</v>
      </c>
      <c r="D1257" s="8" t="s">
        <v>2663</v>
      </c>
      <c r="E1257" s="13">
        <v>314900</v>
      </c>
      <c r="F1257" s="14">
        <v>629630</v>
      </c>
    </row>
    <row r="1258" spans="1:6" x14ac:dyDescent="0.3">
      <c r="A1258" s="8">
        <v>1256</v>
      </c>
      <c r="B1258" s="8" t="s">
        <v>1293</v>
      </c>
      <c r="C1258" s="8" t="s">
        <v>2664</v>
      </c>
      <c r="D1258" s="8" t="s">
        <v>2665</v>
      </c>
      <c r="E1258" s="13">
        <v>129000</v>
      </c>
      <c r="F1258" s="14">
        <v>258333</v>
      </c>
    </row>
    <row r="1259" spans="1:6" x14ac:dyDescent="0.3">
      <c r="A1259" s="8">
        <v>1257</v>
      </c>
      <c r="B1259" s="8" t="s">
        <v>1293</v>
      </c>
      <c r="C1259" s="8" t="s">
        <v>2666</v>
      </c>
      <c r="D1259" s="8" t="s">
        <v>2667</v>
      </c>
      <c r="E1259" s="13">
        <v>193000</v>
      </c>
      <c r="F1259" s="14">
        <v>386111</v>
      </c>
    </row>
    <row r="1260" spans="1:6" x14ac:dyDescent="0.3">
      <c r="A1260" s="8">
        <v>1258</v>
      </c>
      <c r="B1260" s="8" t="s">
        <v>1293</v>
      </c>
      <c r="C1260" s="8" t="s">
        <v>2668</v>
      </c>
      <c r="D1260" s="8" t="s">
        <v>2669</v>
      </c>
      <c r="E1260" s="13">
        <v>0</v>
      </c>
      <c r="F1260" s="14">
        <v>0</v>
      </c>
    </row>
    <row r="1261" spans="1:6" x14ac:dyDescent="0.3">
      <c r="A1261" s="8">
        <v>1259</v>
      </c>
      <c r="B1261" s="8" t="s">
        <v>1293</v>
      </c>
      <c r="C1261" s="8" t="s">
        <v>2670</v>
      </c>
      <c r="D1261" s="8" t="s">
        <v>2671</v>
      </c>
      <c r="E1261" s="13">
        <v>225000</v>
      </c>
      <c r="F1261" s="14">
        <v>450000</v>
      </c>
    </row>
    <row r="1262" spans="1:6" x14ac:dyDescent="0.3">
      <c r="A1262" s="8">
        <v>1260</v>
      </c>
      <c r="B1262" s="8" t="s">
        <v>1296</v>
      </c>
      <c r="C1262" s="8" t="s">
        <v>2672</v>
      </c>
      <c r="D1262" s="8" t="s">
        <v>2673</v>
      </c>
      <c r="E1262" s="13">
        <v>0</v>
      </c>
      <c r="F1262" s="14">
        <v>990000</v>
      </c>
    </row>
    <row r="1263" spans="1:6" x14ac:dyDescent="0.3">
      <c r="A1263" s="8">
        <v>1261</v>
      </c>
      <c r="B1263" s="8" t="s">
        <v>1296</v>
      </c>
      <c r="C1263" s="8" t="s">
        <v>2674</v>
      </c>
      <c r="D1263" s="8" t="s">
        <v>2675</v>
      </c>
      <c r="E1263" s="13">
        <v>0</v>
      </c>
      <c r="F1263" s="14">
        <v>537963</v>
      </c>
    </row>
    <row r="1264" spans="1:6" x14ac:dyDescent="0.3">
      <c r="A1264" s="8">
        <v>1262</v>
      </c>
      <c r="B1264" s="8" t="s">
        <v>1296</v>
      </c>
      <c r="C1264" s="8" t="s">
        <v>2676</v>
      </c>
      <c r="D1264" s="8" t="s">
        <v>2677</v>
      </c>
      <c r="E1264" s="13">
        <v>2745800</v>
      </c>
      <c r="F1264" s="14">
        <v>5491667</v>
      </c>
    </row>
    <row r="1265" spans="1:6" x14ac:dyDescent="0.3">
      <c r="A1265" s="8">
        <v>1263</v>
      </c>
      <c r="B1265" s="8" t="s">
        <v>1296</v>
      </c>
      <c r="C1265" s="8" t="s">
        <v>2678</v>
      </c>
      <c r="D1265" s="8" t="s">
        <v>2679</v>
      </c>
      <c r="E1265" s="13">
        <v>3694444</v>
      </c>
      <c r="F1265" s="14">
        <v>6037037</v>
      </c>
    </row>
    <row r="1266" spans="1:6" x14ac:dyDescent="0.3">
      <c r="A1266" s="8">
        <v>1264</v>
      </c>
      <c r="B1266" s="8" t="s">
        <v>1293</v>
      </c>
      <c r="C1266" s="8" t="s">
        <v>2680</v>
      </c>
      <c r="D1266" s="8" t="s">
        <v>2681</v>
      </c>
      <c r="E1266" s="13">
        <v>160000</v>
      </c>
      <c r="F1266" s="14">
        <v>320370</v>
      </c>
    </row>
    <row r="1267" spans="1:6" x14ac:dyDescent="0.3">
      <c r="A1267" s="8">
        <v>1265</v>
      </c>
      <c r="B1267" s="8" t="s">
        <v>1296</v>
      </c>
      <c r="C1267" s="8" t="s">
        <v>2682</v>
      </c>
      <c r="D1267" s="8" t="s">
        <v>2683</v>
      </c>
      <c r="E1267" s="13">
        <v>0</v>
      </c>
      <c r="F1267" s="14">
        <v>15829000</v>
      </c>
    </row>
    <row r="1268" spans="1:6" x14ac:dyDescent="0.3">
      <c r="A1268" s="8">
        <v>1266</v>
      </c>
      <c r="B1268" s="8" t="s">
        <v>2229</v>
      </c>
      <c r="C1268" s="8" t="s">
        <v>2684</v>
      </c>
      <c r="D1268" s="8" t="s">
        <v>2685</v>
      </c>
      <c r="E1268" s="13">
        <v>0</v>
      </c>
      <c r="F1268" s="14">
        <v>0</v>
      </c>
    </row>
    <row r="1269" spans="1:6" x14ac:dyDescent="0.3">
      <c r="A1269" s="8">
        <v>1267</v>
      </c>
      <c r="B1269" s="8" t="s">
        <v>2229</v>
      </c>
      <c r="C1269" s="8" t="s">
        <v>2686</v>
      </c>
      <c r="D1269" s="8" t="s">
        <v>2687</v>
      </c>
      <c r="E1269" s="13">
        <v>416700</v>
      </c>
      <c r="F1269" s="14">
        <v>833333</v>
      </c>
    </row>
    <row r="1270" spans="1:6" x14ac:dyDescent="0.3">
      <c r="A1270" s="8">
        <v>1268</v>
      </c>
      <c r="B1270" s="8" t="s">
        <v>2229</v>
      </c>
      <c r="C1270" s="8" t="s">
        <v>2688</v>
      </c>
      <c r="D1270" s="8" t="s">
        <v>2689</v>
      </c>
      <c r="E1270" s="13">
        <v>5685200</v>
      </c>
      <c r="F1270" s="14">
        <v>9289815</v>
      </c>
    </row>
    <row r="1271" spans="1:6" x14ac:dyDescent="0.3">
      <c r="A1271" s="8">
        <v>1269</v>
      </c>
      <c r="B1271" s="8" t="s">
        <v>2229</v>
      </c>
      <c r="C1271" s="8" t="s">
        <v>2690</v>
      </c>
      <c r="D1271" s="8" t="s">
        <v>2691</v>
      </c>
      <c r="E1271" s="13">
        <v>2745800</v>
      </c>
      <c r="F1271" s="14">
        <v>5491667</v>
      </c>
    </row>
    <row r="1272" spans="1:6" x14ac:dyDescent="0.3">
      <c r="A1272" s="8">
        <v>1270</v>
      </c>
      <c r="B1272" s="8" t="s">
        <v>2229</v>
      </c>
      <c r="C1272" s="8" t="s">
        <v>2692</v>
      </c>
      <c r="D1272" s="8" t="s">
        <v>2693</v>
      </c>
      <c r="E1272" s="13">
        <v>3740000</v>
      </c>
      <c r="F1272" s="14">
        <v>6111111</v>
      </c>
    </row>
    <row r="1273" spans="1:6" x14ac:dyDescent="0.3">
      <c r="A1273" s="8">
        <v>1271</v>
      </c>
      <c r="B1273" s="8" t="s">
        <v>2229</v>
      </c>
      <c r="C1273" s="8" t="s">
        <v>2694</v>
      </c>
      <c r="D1273" s="8" t="s">
        <v>2695</v>
      </c>
      <c r="E1273" s="13">
        <v>0</v>
      </c>
      <c r="F1273" s="14">
        <v>0</v>
      </c>
    </row>
    <row r="1274" spans="1:6" x14ac:dyDescent="0.3">
      <c r="A1274" s="8">
        <v>1272</v>
      </c>
      <c r="B1274" s="8" t="s">
        <v>2229</v>
      </c>
      <c r="C1274" s="8" t="s">
        <v>2696</v>
      </c>
      <c r="D1274" s="8" t="s">
        <v>2697</v>
      </c>
      <c r="E1274" s="13">
        <v>2632000</v>
      </c>
      <c r="F1274" s="14">
        <v>6203704</v>
      </c>
    </row>
    <row r="1275" spans="1:6" x14ac:dyDescent="0.3">
      <c r="A1275" s="8">
        <v>1273</v>
      </c>
      <c r="B1275" s="8" t="s">
        <v>2229</v>
      </c>
      <c r="C1275" s="8" t="s">
        <v>2698</v>
      </c>
      <c r="D1275" s="8" t="s">
        <v>2699</v>
      </c>
      <c r="E1275" s="13">
        <v>0</v>
      </c>
      <c r="F1275" s="14">
        <v>0</v>
      </c>
    </row>
    <row r="1276" spans="1:6" x14ac:dyDescent="0.3">
      <c r="A1276" s="8">
        <v>1274</v>
      </c>
      <c r="B1276" s="8" t="s">
        <v>2300</v>
      </c>
      <c r="C1276" s="8" t="s">
        <v>2700</v>
      </c>
      <c r="D1276" s="8" t="s">
        <v>2701</v>
      </c>
      <c r="E1276" s="13">
        <v>0</v>
      </c>
      <c r="F1276" s="14">
        <v>0</v>
      </c>
    </row>
    <row r="1277" spans="1:6" x14ac:dyDescent="0.3">
      <c r="A1277" s="8">
        <v>1275</v>
      </c>
      <c r="B1277" s="8" t="s">
        <v>2303</v>
      </c>
      <c r="C1277" s="8" t="s">
        <v>2702</v>
      </c>
      <c r="D1277" s="8" t="s">
        <v>2703</v>
      </c>
      <c r="E1277" s="13">
        <v>29500</v>
      </c>
      <c r="F1277" s="14">
        <v>51000</v>
      </c>
    </row>
    <row r="1278" spans="1:6" x14ac:dyDescent="0.3">
      <c r="A1278" s="8">
        <v>1276</v>
      </c>
      <c r="B1278" s="8" t="s">
        <v>2303</v>
      </c>
      <c r="C1278" s="8" t="s">
        <v>2704</v>
      </c>
      <c r="D1278" s="8" t="s">
        <v>2705</v>
      </c>
      <c r="E1278" s="13">
        <v>36600</v>
      </c>
      <c r="F1278" s="14">
        <v>63000</v>
      </c>
    </row>
    <row r="1279" spans="1:6" x14ac:dyDescent="0.3">
      <c r="A1279" s="8">
        <v>1277</v>
      </c>
      <c r="B1279" s="8" t="s">
        <v>2303</v>
      </c>
      <c r="C1279" s="8" t="s">
        <v>2706</v>
      </c>
      <c r="D1279" s="8" t="s">
        <v>2707</v>
      </c>
      <c r="E1279" s="13">
        <v>45000</v>
      </c>
      <c r="F1279" s="14">
        <v>90000</v>
      </c>
    </row>
    <row r="1280" spans="1:6" x14ac:dyDescent="0.3">
      <c r="A1280" s="8">
        <v>1278</v>
      </c>
      <c r="B1280" s="8" t="s">
        <v>2303</v>
      </c>
      <c r="C1280" s="8" t="s">
        <v>2708</v>
      </c>
      <c r="D1280" s="8" t="s">
        <v>2709</v>
      </c>
      <c r="E1280" s="13">
        <v>15300</v>
      </c>
      <c r="F1280" s="14">
        <v>26000</v>
      </c>
    </row>
    <row r="1281" spans="1:6" x14ac:dyDescent="0.3">
      <c r="A1281" s="8">
        <v>1279</v>
      </c>
      <c r="B1281" s="8" t="s">
        <v>2303</v>
      </c>
      <c r="C1281" s="8" t="s">
        <v>2710</v>
      </c>
      <c r="D1281" s="8" t="s">
        <v>2711</v>
      </c>
      <c r="E1281" s="13">
        <v>35900</v>
      </c>
      <c r="F1281" s="14">
        <v>71759</v>
      </c>
    </row>
    <row r="1282" spans="1:6" x14ac:dyDescent="0.3">
      <c r="A1282" s="8">
        <v>1280</v>
      </c>
      <c r="B1282" s="8" t="s">
        <v>2303</v>
      </c>
      <c r="C1282" s="8" t="s">
        <v>2712</v>
      </c>
      <c r="D1282" s="8" t="s">
        <v>2713</v>
      </c>
      <c r="E1282" s="13">
        <v>0</v>
      </c>
      <c r="F1282" s="14">
        <v>0</v>
      </c>
    </row>
    <row r="1283" spans="1:6" x14ac:dyDescent="0.3">
      <c r="A1283" s="8">
        <v>1281</v>
      </c>
      <c r="B1283" s="8" t="s">
        <v>2303</v>
      </c>
      <c r="C1283" s="8" t="s">
        <v>2714</v>
      </c>
      <c r="D1283" s="8" t="s">
        <v>2715</v>
      </c>
      <c r="E1283" s="13">
        <v>25500</v>
      </c>
      <c r="F1283" s="14">
        <v>50926</v>
      </c>
    </row>
    <row r="1284" spans="1:6" x14ac:dyDescent="0.3">
      <c r="A1284" s="8">
        <v>1282</v>
      </c>
      <c r="B1284" s="8" t="s">
        <v>2303</v>
      </c>
      <c r="C1284" s="8" t="s">
        <v>2716</v>
      </c>
      <c r="D1284" s="8" t="s">
        <v>2717</v>
      </c>
      <c r="E1284" s="13">
        <v>25500</v>
      </c>
      <c r="F1284" s="14">
        <v>50926</v>
      </c>
    </row>
    <row r="1285" spans="1:6" x14ac:dyDescent="0.3">
      <c r="A1285" s="8">
        <v>1283</v>
      </c>
      <c r="B1285" s="8" t="s">
        <v>2303</v>
      </c>
      <c r="C1285" s="8" t="s">
        <v>2718</v>
      </c>
      <c r="D1285" s="8" t="s">
        <v>2719</v>
      </c>
      <c r="E1285" s="13">
        <v>34200</v>
      </c>
      <c r="F1285" s="14">
        <v>67593</v>
      </c>
    </row>
    <row r="1286" spans="1:6" x14ac:dyDescent="0.3">
      <c r="A1286" s="8">
        <v>1284</v>
      </c>
      <c r="B1286" s="8" t="s">
        <v>2303</v>
      </c>
      <c r="C1286" s="8" t="s">
        <v>2720</v>
      </c>
      <c r="D1286" s="8" t="s">
        <v>2721</v>
      </c>
      <c r="E1286" s="13">
        <v>25500</v>
      </c>
      <c r="F1286" s="14">
        <v>50926</v>
      </c>
    </row>
    <row r="1287" spans="1:6" x14ac:dyDescent="0.3">
      <c r="A1287" s="8">
        <v>1285</v>
      </c>
      <c r="B1287" s="8" t="s">
        <v>2303</v>
      </c>
      <c r="C1287" s="8" t="s">
        <v>2722</v>
      </c>
      <c r="D1287" s="8" t="s">
        <v>2723</v>
      </c>
      <c r="E1287" s="13">
        <v>34200</v>
      </c>
      <c r="F1287" s="14">
        <v>67593</v>
      </c>
    </row>
    <row r="1288" spans="1:6" x14ac:dyDescent="0.3">
      <c r="A1288" s="8">
        <v>1286</v>
      </c>
      <c r="B1288" s="8" t="s">
        <v>2303</v>
      </c>
      <c r="C1288" s="8" t="s">
        <v>2724</v>
      </c>
      <c r="D1288" s="8" t="s">
        <v>2725</v>
      </c>
      <c r="E1288" s="13">
        <v>110000</v>
      </c>
      <c r="F1288" s="14">
        <v>220370</v>
      </c>
    </row>
    <row r="1289" spans="1:6" x14ac:dyDescent="0.3">
      <c r="A1289" s="8">
        <v>1287</v>
      </c>
      <c r="B1289" s="8" t="s">
        <v>2303</v>
      </c>
      <c r="C1289" s="8" t="s">
        <v>2726</v>
      </c>
      <c r="D1289" s="8" t="s">
        <v>2727</v>
      </c>
      <c r="E1289" s="13">
        <v>232000</v>
      </c>
      <c r="F1289" s="14">
        <v>463889</v>
      </c>
    </row>
    <row r="1290" spans="1:6" x14ac:dyDescent="0.3">
      <c r="A1290" s="8">
        <v>1288</v>
      </c>
      <c r="B1290" s="8" t="s">
        <v>287</v>
      </c>
      <c r="C1290" s="8" t="s">
        <v>2728</v>
      </c>
      <c r="D1290" s="8" t="s">
        <v>2729</v>
      </c>
      <c r="E1290" s="13">
        <v>114000</v>
      </c>
      <c r="F1290" s="14">
        <v>227778</v>
      </c>
    </row>
    <row r="1291" spans="1:6" x14ac:dyDescent="0.3">
      <c r="A1291" s="8">
        <v>1289</v>
      </c>
      <c r="B1291" s="8" t="s">
        <v>287</v>
      </c>
      <c r="C1291" s="8" t="s">
        <v>2730</v>
      </c>
      <c r="D1291" s="8" t="s">
        <v>2731</v>
      </c>
      <c r="E1291" s="13">
        <v>96900</v>
      </c>
      <c r="F1291" s="14">
        <v>193519</v>
      </c>
    </row>
    <row r="1292" spans="1:6" x14ac:dyDescent="0.3">
      <c r="A1292" s="8">
        <v>1290</v>
      </c>
      <c r="B1292" s="8" t="s">
        <v>1259</v>
      </c>
      <c r="C1292" s="8" t="s">
        <v>2732</v>
      </c>
      <c r="D1292" s="8" t="s">
        <v>2733</v>
      </c>
      <c r="E1292" s="13">
        <v>25370</v>
      </c>
      <c r="F1292" s="14">
        <v>45000</v>
      </c>
    </row>
    <row r="1293" spans="1:6" x14ac:dyDescent="0.3">
      <c r="A1293" s="8">
        <v>1291</v>
      </c>
      <c r="B1293" s="8" t="s">
        <v>1259</v>
      </c>
      <c r="C1293" s="8" t="s">
        <v>2734</v>
      </c>
      <c r="D1293" s="8" t="s">
        <v>2735</v>
      </c>
      <c r="E1293" s="13">
        <v>0</v>
      </c>
      <c r="F1293" s="14">
        <v>0</v>
      </c>
    </row>
    <row r="1294" spans="1:6" x14ac:dyDescent="0.3">
      <c r="A1294" s="8">
        <v>1292</v>
      </c>
      <c r="B1294" s="8" t="s">
        <v>1259</v>
      </c>
      <c r="C1294" s="8" t="s">
        <v>2736</v>
      </c>
      <c r="D1294" s="8" t="s">
        <v>2737</v>
      </c>
      <c r="E1294" s="13">
        <v>0</v>
      </c>
      <c r="F1294" s="14">
        <v>0</v>
      </c>
    </row>
    <row r="1295" spans="1:6" x14ac:dyDescent="0.3">
      <c r="A1295" s="8">
        <v>1293</v>
      </c>
      <c r="B1295" s="8" t="s">
        <v>1259</v>
      </c>
      <c r="C1295" s="8" t="s">
        <v>2738</v>
      </c>
      <c r="D1295" s="8" t="s">
        <v>2739</v>
      </c>
      <c r="E1295" s="13">
        <v>0</v>
      </c>
      <c r="F1295" s="14">
        <v>0</v>
      </c>
    </row>
    <row r="1296" spans="1:6" x14ac:dyDescent="0.3">
      <c r="A1296" s="8">
        <v>1294</v>
      </c>
      <c r="B1296" s="8" t="s">
        <v>1259</v>
      </c>
      <c r="C1296" s="8" t="s">
        <v>2740</v>
      </c>
      <c r="D1296" s="8" t="s">
        <v>2741</v>
      </c>
      <c r="E1296" s="13">
        <v>24530</v>
      </c>
      <c r="F1296" s="14">
        <v>39000</v>
      </c>
    </row>
    <row r="1297" spans="1:6" x14ac:dyDescent="0.3">
      <c r="A1297" s="8">
        <v>1295</v>
      </c>
      <c r="B1297" s="8" t="s">
        <v>1259</v>
      </c>
      <c r="C1297" s="8" t="s">
        <v>2742</v>
      </c>
      <c r="D1297" s="8" t="s">
        <v>2743</v>
      </c>
      <c r="E1297" s="13">
        <v>0</v>
      </c>
      <c r="F1297" s="14">
        <v>0</v>
      </c>
    </row>
    <row r="1298" spans="1:6" x14ac:dyDescent="0.3">
      <c r="A1298" s="8">
        <v>1296</v>
      </c>
      <c r="B1298" s="8" t="s">
        <v>1259</v>
      </c>
      <c r="C1298" s="8" t="s">
        <v>2744</v>
      </c>
      <c r="D1298" s="8" t="s">
        <v>2745</v>
      </c>
      <c r="E1298" s="13">
        <v>27880</v>
      </c>
      <c r="F1298" s="14">
        <v>47000</v>
      </c>
    </row>
    <row r="1299" spans="1:6" x14ac:dyDescent="0.3">
      <c r="A1299" s="8">
        <v>1297</v>
      </c>
      <c r="B1299" s="8" t="s">
        <v>1259</v>
      </c>
      <c r="C1299" s="8" t="s">
        <v>2746</v>
      </c>
      <c r="D1299" s="8" t="s">
        <v>2747</v>
      </c>
      <c r="E1299" s="13">
        <v>0</v>
      </c>
      <c r="F1299" s="14">
        <v>0</v>
      </c>
    </row>
    <row r="1300" spans="1:6" x14ac:dyDescent="0.3">
      <c r="A1300" s="8">
        <v>1298</v>
      </c>
      <c r="B1300" s="8" t="s">
        <v>1259</v>
      </c>
      <c r="C1300" s="8" t="s">
        <v>2748</v>
      </c>
      <c r="D1300" s="8" t="s">
        <v>2749</v>
      </c>
      <c r="E1300" s="13">
        <v>0</v>
      </c>
      <c r="F1300" s="14">
        <v>0</v>
      </c>
    </row>
    <row r="1301" spans="1:6" x14ac:dyDescent="0.3">
      <c r="A1301" s="8">
        <v>1299</v>
      </c>
      <c r="B1301" s="8" t="s">
        <v>1259</v>
      </c>
      <c r="C1301" s="8" t="s">
        <v>2750</v>
      </c>
      <c r="D1301" s="8" t="s">
        <v>2751</v>
      </c>
      <c r="E1301" s="13">
        <v>0</v>
      </c>
      <c r="F1301" s="14">
        <v>0</v>
      </c>
    </row>
    <row r="1302" spans="1:6" x14ac:dyDescent="0.3">
      <c r="A1302" s="8">
        <v>1300</v>
      </c>
      <c r="B1302" s="8" t="s">
        <v>1280</v>
      </c>
      <c r="C1302" s="8" t="s">
        <v>2752</v>
      </c>
      <c r="D1302" s="8" t="s">
        <v>2753</v>
      </c>
      <c r="E1302" s="13">
        <v>12200</v>
      </c>
      <c r="F1302" s="14">
        <v>20000</v>
      </c>
    </row>
    <row r="1303" spans="1:6" x14ac:dyDescent="0.3">
      <c r="A1303" s="8">
        <v>1301</v>
      </c>
      <c r="B1303" s="8" t="s">
        <v>1280</v>
      </c>
      <c r="C1303" s="8" t="s">
        <v>2754</v>
      </c>
      <c r="D1303" s="8" t="s">
        <v>2755</v>
      </c>
      <c r="E1303" s="13">
        <v>41900</v>
      </c>
      <c r="F1303" s="14">
        <v>72000</v>
      </c>
    </row>
    <row r="1304" spans="1:6" x14ac:dyDescent="0.3">
      <c r="A1304" s="8">
        <v>1302</v>
      </c>
      <c r="B1304" s="8" t="s">
        <v>1280</v>
      </c>
      <c r="C1304" s="8" t="s">
        <v>2756</v>
      </c>
      <c r="D1304" s="8" t="s">
        <v>2757</v>
      </c>
      <c r="E1304" s="13">
        <v>0</v>
      </c>
      <c r="F1304" s="14">
        <v>0</v>
      </c>
    </row>
    <row r="1305" spans="1:6" x14ac:dyDescent="0.3">
      <c r="A1305" s="8">
        <v>1303</v>
      </c>
      <c r="B1305" s="8" t="s">
        <v>1280</v>
      </c>
      <c r="C1305" s="8" t="s">
        <v>2758</v>
      </c>
      <c r="D1305" s="8" t="s">
        <v>2759</v>
      </c>
      <c r="E1305" s="13">
        <v>12200</v>
      </c>
      <c r="F1305" s="14">
        <v>20000</v>
      </c>
    </row>
    <row r="1306" spans="1:6" x14ac:dyDescent="0.3">
      <c r="A1306" s="8">
        <v>1304</v>
      </c>
      <c r="B1306" s="8" t="s">
        <v>1280</v>
      </c>
      <c r="C1306" s="8" t="s">
        <v>2760</v>
      </c>
      <c r="D1306" s="8" t="s">
        <v>2761</v>
      </c>
      <c r="E1306" s="13">
        <v>9820</v>
      </c>
      <c r="F1306" s="14">
        <v>21000</v>
      </c>
    </row>
    <row r="1307" spans="1:6" x14ac:dyDescent="0.3">
      <c r="A1307" s="8">
        <v>1305</v>
      </c>
      <c r="B1307" s="8" t="s">
        <v>1280</v>
      </c>
      <c r="C1307" s="8" t="s">
        <v>2762</v>
      </c>
      <c r="D1307" s="8" t="s">
        <v>2763</v>
      </c>
      <c r="E1307" s="13">
        <v>0</v>
      </c>
      <c r="F1307" s="14">
        <v>0</v>
      </c>
    </row>
    <row r="1308" spans="1:6" x14ac:dyDescent="0.3">
      <c r="A1308" s="8">
        <v>1306</v>
      </c>
      <c r="B1308" s="8" t="s">
        <v>1293</v>
      </c>
      <c r="C1308" s="8" t="s">
        <v>2764</v>
      </c>
      <c r="D1308" s="8" t="s">
        <v>2765</v>
      </c>
      <c r="E1308" s="13">
        <v>370400</v>
      </c>
      <c r="F1308" s="14">
        <v>740741</v>
      </c>
    </row>
    <row r="1309" spans="1:6" x14ac:dyDescent="0.3">
      <c r="A1309" s="8">
        <v>1307</v>
      </c>
      <c r="B1309" s="8" t="s">
        <v>1293</v>
      </c>
      <c r="C1309" s="8" t="s">
        <v>2766</v>
      </c>
      <c r="D1309" s="8" t="s">
        <v>2767</v>
      </c>
      <c r="E1309" s="13">
        <v>0</v>
      </c>
      <c r="F1309" s="14">
        <v>0</v>
      </c>
    </row>
    <row r="1310" spans="1:6" x14ac:dyDescent="0.3">
      <c r="A1310" s="8">
        <v>1308</v>
      </c>
      <c r="B1310" s="8" t="s">
        <v>1293</v>
      </c>
      <c r="C1310" s="8" t="s">
        <v>2768</v>
      </c>
      <c r="D1310" s="8" t="s">
        <v>2769</v>
      </c>
      <c r="E1310" s="13">
        <v>120000</v>
      </c>
      <c r="F1310" s="14">
        <v>239815</v>
      </c>
    </row>
    <row r="1311" spans="1:6" x14ac:dyDescent="0.3">
      <c r="A1311" s="8">
        <v>1309</v>
      </c>
      <c r="B1311" s="8" t="s">
        <v>1296</v>
      </c>
      <c r="C1311" s="8" t="s">
        <v>2770</v>
      </c>
      <c r="D1311" s="8" t="s">
        <v>2771</v>
      </c>
      <c r="E1311" s="13">
        <v>0</v>
      </c>
      <c r="F1311" s="14">
        <v>300000</v>
      </c>
    </row>
    <row r="1312" spans="1:6" x14ac:dyDescent="0.3">
      <c r="A1312" s="8">
        <v>1310</v>
      </c>
      <c r="B1312" s="8" t="s">
        <v>1296</v>
      </c>
      <c r="C1312" s="8" t="s">
        <v>2772</v>
      </c>
      <c r="D1312" s="8" t="s">
        <v>2773</v>
      </c>
      <c r="E1312" s="13">
        <v>0</v>
      </c>
      <c r="F1312" s="14">
        <v>663889</v>
      </c>
    </row>
    <row r="1313" spans="1:6" x14ac:dyDescent="0.3">
      <c r="A1313" s="8">
        <v>1311</v>
      </c>
      <c r="B1313" s="8" t="s">
        <v>1296</v>
      </c>
      <c r="C1313" s="8" t="s">
        <v>2774</v>
      </c>
      <c r="D1313" s="8" t="s">
        <v>2775</v>
      </c>
      <c r="E1313" s="13">
        <v>1668300</v>
      </c>
      <c r="F1313" s="14">
        <v>3245370</v>
      </c>
    </row>
    <row r="1314" spans="1:6" x14ac:dyDescent="0.3">
      <c r="A1314" s="8">
        <v>1312</v>
      </c>
      <c r="B1314" s="8" t="s">
        <v>1296</v>
      </c>
      <c r="C1314" s="8" t="s">
        <v>2776</v>
      </c>
      <c r="D1314" s="8" t="s">
        <v>2777</v>
      </c>
      <c r="E1314" s="13">
        <v>2745800</v>
      </c>
      <c r="F1314" s="14">
        <v>5491667</v>
      </c>
    </row>
    <row r="1315" spans="1:6" x14ac:dyDescent="0.3">
      <c r="A1315" s="8">
        <v>1313</v>
      </c>
      <c r="B1315" s="8" t="s">
        <v>2303</v>
      </c>
      <c r="C1315" s="8" t="s">
        <v>2778</v>
      </c>
      <c r="D1315" s="8" t="s">
        <v>2779</v>
      </c>
      <c r="E1315" s="13">
        <v>84600</v>
      </c>
      <c r="F1315" s="14">
        <v>169444</v>
      </c>
    </row>
    <row r="1316" spans="1:6" x14ac:dyDescent="0.3">
      <c r="A1316" s="8">
        <v>1314</v>
      </c>
      <c r="B1316" s="8" t="s">
        <v>2303</v>
      </c>
      <c r="C1316" s="8" t="s">
        <v>2780</v>
      </c>
      <c r="D1316" s="8" t="s">
        <v>2781</v>
      </c>
      <c r="E1316" s="13">
        <v>48000</v>
      </c>
      <c r="F1316" s="14">
        <v>96019</v>
      </c>
    </row>
    <row r="1317" spans="1:6" x14ac:dyDescent="0.3">
      <c r="A1317" s="8">
        <v>1315</v>
      </c>
      <c r="B1317" s="8" t="s">
        <v>2303</v>
      </c>
      <c r="C1317" s="8" t="s">
        <v>2782</v>
      </c>
      <c r="D1317" s="8" t="s">
        <v>2783</v>
      </c>
      <c r="E1317" s="13">
        <v>26500</v>
      </c>
      <c r="F1317" s="14">
        <v>52963</v>
      </c>
    </row>
    <row r="1318" spans="1:6" x14ac:dyDescent="0.3">
      <c r="A1318" s="8">
        <v>1316</v>
      </c>
      <c r="B1318" s="8" t="s">
        <v>2303</v>
      </c>
      <c r="C1318" s="8" t="s">
        <v>2784</v>
      </c>
      <c r="D1318" s="8" t="s">
        <v>2785</v>
      </c>
      <c r="E1318" s="13">
        <v>0</v>
      </c>
      <c r="F1318" s="14">
        <v>0</v>
      </c>
    </row>
    <row r="1319" spans="1:6" x14ac:dyDescent="0.3">
      <c r="A1319" s="8">
        <v>1317</v>
      </c>
      <c r="B1319" s="8" t="s">
        <v>2303</v>
      </c>
      <c r="C1319" s="8" t="s">
        <v>2786</v>
      </c>
      <c r="D1319" s="8" t="s">
        <v>2787</v>
      </c>
      <c r="E1319" s="13">
        <v>0</v>
      </c>
      <c r="F1319" s="14">
        <v>0</v>
      </c>
    </row>
    <row r="1320" spans="1:6" x14ac:dyDescent="0.3">
      <c r="A1320" s="8">
        <v>1318</v>
      </c>
      <c r="B1320" s="8" t="s">
        <v>2303</v>
      </c>
      <c r="C1320" s="8" t="s">
        <v>2788</v>
      </c>
      <c r="D1320" s="8" t="s">
        <v>2789</v>
      </c>
      <c r="E1320" s="13">
        <v>0</v>
      </c>
      <c r="F1320" s="14">
        <v>0</v>
      </c>
    </row>
    <row r="1321" spans="1:6" x14ac:dyDescent="0.3">
      <c r="A1321" s="8">
        <v>1319</v>
      </c>
      <c r="B1321" s="8" t="s">
        <v>2303</v>
      </c>
      <c r="C1321" s="8" t="s">
        <v>2790</v>
      </c>
      <c r="D1321" s="8" t="s">
        <v>2791</v>
      </c>
      <c r="E1321" s="13">
        <v>0</v>
      </c>
      <c r="F1321" s="14">
        <v>0</v>
      </c>
    </row>
    <row r="1322" spans="1:6" x14ac:dyDescent="0.3">
      <c r="A1322" s="8">
        <v>1320</v>
      </c>
      <c r="B1322" s="8" t="s">
        <v>2792</v>
      </c>
      <c r="C1322" s="8" t="s">
        <v>2793</v>
      </c>
      <c r="D1322" s="8" t="s">
        <v>2794</v>
      </c>
      <c r="E1322" s="13">
        <v>0</v>
      </c>
      <c r="F1322" s="14">
        <v>0</v>
      </c>
    </row>
    <row r="1323" spans="1:6" x14ac:dyDescent="0.3">
      <c r="A1323" s="8">
        <v>1321</v>
      </c>
      <c r="B1323" s="8" t="s">
        <v>2792</v>
      </c>
      <c r="C1323" s="8" t="s">
        <v>2795</v>
      </c>
      <c r="D1323" s="8" t="s">
        <v>2796</v>
      </c>
      <c r="E1323" s="13">
        <v>1150800</v>
      </c>
      <c r="F1323" s="14">
        <v>2006000</v>
      </c>
    </row>
    <row r="1324" spans="1:6" x14ac:dyDescent="0.3">
      <c r="A1324" s="8">
        <v>1322</v>
      </c>
      <c r="B1324" s="8" t="s">
        <v>2792</v>
      </c>
      <c r="C1324" s="8" t="s">
        <v>2797</v>
      </c>
      <c r="D1324" s="8" t="s">
        <v>2798</v>
      </c>
      <c r="E1324" s="13">
        <v>0</v>
      </c>
      <c r="F1324" s="14">
        <v>0</v>
      </c>
    </row>
    <row r="1325" spans="1:6" x14ac:dyDescent="0.3">
      <c r="A1325" s="8">
        <v>1323</v>
      </c>
      <c r="B1325" s="8" t="s">
        <v>2792</v>
      </c>
      <c r="C1325" s="8" t="s">
        <v>2799</v>
      </c>
      <c r="D1325" s="8" t="s">
        <v>2800</v>
      </c>
      <c r="E1325" s="13">
        <v>0</v>
      </c>
      <c r="F1325" s="14">
        <v>0</v>
      </c>
    </row>
    <row r="1326" spans="1:6" x14ac:dyDescent="0.3">
      <c r="A1326" s="8">
        <v>1324</v>
      </c>
      <c r="B1326" s="8" t="s">
        <v>2792</v>
      </c>
      <c r="C1326" s="8" t="s">
        <v>2801</v>
      </c>
      <c r="D1326" s="8" t="s">
        <v>2802</v>
      </c>
      <c r="E1326" s="13">
        <v>1949000</v>
      </c>
      <c r="F1326" s="14">
        <v>3898148</v>
      </c>
    </row>
    <row r="1327" spans="1:6" x14ac:dyDescent="0.3">
      <c r="A1327" s="8">
        <v>1325</v>
      </c>
      <c r="B1327" s="8" t="s">
        <v>2792</v>
      </c>
      <c r="C1327" s="8" t="s">
        <v>2803</v>
      </c>
      <c r="D1327" s="8" t="s">
        <v>2804</v>
      </c>
      <c r="E1327" s="13">
        <v>210000</v>
      </c>
      <c r="F1327" s="14">
        <v>420370</v>
      </c>
    </row>
    <row r="1328" spans="1:6" x14ac:dyDescent="0.3">
      <c r="A1328" s="8">
        <v>1326</v>
      </c>
      <c r="B1328" s="8" t="s">
        <v>2792</v>
      </c>
      <c r="C1328" s="8" t="s">
        <v>2805</v>
      </c>
      <c r="D1328" s="8" t="s">
        <v>2806</v>
      </c>
      <c r="E1328" s="13">
        <v>0</v>
      </c>
      <c r="F1328" s="14">
        <v>6100000</v>
      </c>
    </row>
    <row r="1329" spans="1:6" x14ac:dyDescent="0.3">
      <c r="A1329" s="8">
        <v>1327</v>
      </c>
      <c r="B1329" s="8" t="s">
        <v>2792</v>
      </c>
      <c r="C1329" s="8" t="s">
        <v>2807</v>
      </c>
      <c r="D1329" s="8" t="s">
        <v>2808</v>
      </c>
      <c r="E1329" s="13">
        <v>0</v>
      </c>
      <c r="F1329" s="14">
        <v>6710185</v>
      </c>
    </row>
    <row r="1330" spans="1:6" x14ac:dyDescent="0.3">
      <c r="A1330" s="8">
        <v>1328</v>
      </c>
      <c r="B1330" s="8" t="s">
        <v>2792</v>
      </c>
      <c r="C1330" s="8" t="s">
        <v>2809</v>
      </c>
      <c r="D1330" s="8" t="s">
        <v>2810</v>
      </c>
      <c r="E1330" s="13">
        <v>0</v>
      </c>
      <c r="F1330" s="14">
        <v>0</v>
      </c>
    </row>
    <row r="1331" spans="1:6" x14ac:dyDescent="0.3">
      <c r="A1331" s="8">
        <v>1329</v>
      </c>
      <c r="B1331" s="8" t="s">
        <v>2792</v>
      </c>
      <c r="C1331" s="8" t="s">
        <v>2811</v>
      </c>
      <c r="D1331" s="8" t="s">
        <v>2812</v>
      </c>
      <c r="E1331" s="13">
        <v>0</v>
      </c>
      <c r="F1331" s="14">
        <v>0</v>
      </c>
    </row>
    <row r="1332" spans="1:6" x14ac:dyDescent="0.3">
      <c r="A1332" s="8">
        <v>1330</v>
      </c>
      <c r="B1332" s="8" t="s">
        <v>2792</v>
      </c>
      <c r="C1332" s="8" t="s">
        <v>2813</v>
      </c>
      <c r="D1332" s="8" t="s">
        <v>2814</v>
      </c>
      <c r="E1332" s="13">
        <v>0</v>
      </c>
      <c r="F1332" s="14">
        <v>0</v>
      </c>
    </row>
    <row r="1333" spans="1:6" x14ac:dyDescent="0.3">
      <c r="A1333" s="8">
        <v>1331</v>
      </c>
      <c r="B1333" s="8" t="s">
        <v>2792</v>
      </c>
      <c r="C1333" s="8" t="s">
        <v>2815</v>
      </c>
      <c r="D1333" s="8" t="s">
        <v>2816</v>
      </c>
      <c r="E1333" s="13">
        <v>4736700</v>
      </c>
      <c r="F1333" s="14">
        <v>9213889</v>
      </c>
    </row>
    <row r="1334" spans="1:6" x14ac:dyDescent="0.3">
      <c r="A1334" s="8">
        <v>1332</v>
      </c>
      <c r="B1334" s="8" t="s">
        <v>2792</v>
      </c>
      <c r="C1334" s="8" t="s">
        <v>2817</v>
      </c>
      <c r="D1334" s="8" t="s">
        <v>2818</v>
      </c>
      <c r="E1334" s="13">
        <v>0</v>
      </c>
      <c r="F1334" s="14">
        <v>6800000</v>
      </c>
    </row>
    <row r="1335" spans="1:6" x14ac:dyDescent="0.3">
      <c r="A1335" s="8">
        <v>1333</v>
      </c>
      <c r="B1335" s="8" t="s">
        <v>2792</v>
      </c>
      <c r="C1335" s="8" t="s">
        <v>2819</v>
      </c>
      <c r="D1335" s="8" t="s">
        <v>2820</v>
      </c>
      <c r="E1335" s="13">
        <v>874000</v>
      </c>
      <c r="F1335" s="14">
        <v>1748148</v>
      </c>
    </row>
    <row r="1336" spans="1:6" x14ac:dyDescent="0.3">
      <c r="A1336" s="8">
        <v>1334</v>
      </c>
      <c r="B1336" s="8" t="s">
        <v>2792</v>
      </c>
      <c r="C1336" s="8" t="s">
        <v>2821</v>
      </c>
      <c r="D1336" s="8" t="s">
        <v>2822</v>
      </c>
      <c r="E1336" s="13">
        <v>8090000</v>
      </c>
      <c r="F1336" s="14">
        <v>12840000</v>
      </c>
    </row>
    <row r="1337" spans="1:6" x14ac:dyDescent="0.3">
      <c r="A1337" s="8">
        <v>1335</v>
      </c>
      <c r="B1337" s="8" t="s">
        <v>2792</v>
      </c>
      <c r="C1337" s="8" t="s">
        <v>2823</v>
      </c>
      <c r="D1337" s="8" t="s">
        <v>2824</v>
      </c>
      <c r="E1337" s="13">
        <v>0</v>
      </c>
      <c r="F1337" s="14">
        <v>0</v>
      </c>
    </row>
    <row r="1338" spans="1:6" x14ac:dyDescent="0.3">
      <c r="A1338" s="8">
        <v>1336</v>
      </c>
      <c r="B1338" s="8" t="s">
        <v>2792</v>
      </c>
      <c r="C1338" s="8" t="s">
        <v>2825</v>
      </c>
      <c r="D1338" s="8" t="s">
        <v>2826</v>
      </c>
      <c r="E1338" s="13">
        <v>0</v>
      </c>
      <c r="F1338" s="14">
        <v>2450000</v>
      </c>
    </row>
    <row r="1339" spans="1:6" x14ac:dyDescent="0.3">
      <c r="A1339" s="8">
        <v>1337</v>
      </c>
      <c r="B1339" s="8" t="s">
        <v>2792</v>
      </c>
      <c r="C1339" s="8" t="s">
        <v>2827</v>
      </c>
      <c r="D1339" s="8" t="s">
        <v>2828</v>
      </c>
      <c r="E1339" s="13">
        <v>0</v>
      </c>
      <c r="F1339" s="14">
        <v>0</v>
      </c>
    </row>
    <row r="1340" spans="1:6" x14ac:dyDescent="0.3">
      <c r="A1340" s="8">
        <v>1338</v>
      </c>
      <c r="B1340" s="8" t="s">
        <v>1178</v>
      </c>
      <c r="C1340" s="8" t="s">
        <v>2829</v>
      </c>
      <c r="D1340" s="8" t="s">
        <v>2830</v>
      </c>
      <c r="E1340" s="13">
        <v>0</v>
      </c>
      <c r="F1340" s="14">
        <v>0</v>
      </c>
    </row>
    <row r="1341" spans="1:6" x14ac:dyDescent="0.3">
      <c r="A1341" s="8">
        <v>1339</v>
      </c>
      <c r="B1341" s="8" t="s">
        <v>287</v>
      </c>
      <c r="C1341" s="8" t="s">
        <v>2831</v>
      </c>
      <c r="D1341" s="8" t="s">
        <v>2832</v>
      </c>
      <c r="E1341" s="13">
        <v>104000</v>
      </c>
      <c r="F1341" s="14">
        <v>208333</v>
      </c>
    </row>
    <row r="1342" spans="1:6" x14ac:dyDescent="0.3">
      <c r="A1342" s="8">
        <v>1340</v>
      </c>
      <c r="B1342" s="8" t="s">
        <v>1259</v>
      </c>
      <c r="C1342" s="8" t="s">
        <v>2833</v>
      </c>
      <c r="D1342" s="8" t="s">
        <v>2834</v>
      </c>
      <c r="E1342" s="13">
        <v>59400</v>
      </c>
      <c r="F1342" s="14">
        <v>108000</v>
      </c>
    </row>
    <row r="1343" spans="1:6" x14ac:dyDescent="0.3">
      <c r="A1343" s="8">
        <v>1341</v>
      </c>
      <c r="B1343" s="8" t="s">
        <v>1259</v>
      </c>
      <c r="C1343" s="8" t="s">
        <v>2835</v>
      </c>
      <c r="D1343" s="8" t="s">
        <v>2836</v>
      </c>
      <c r="E1343" s="13">
        <v>0</v>
      </c>
      <c r="F1343" s="14">
        <v>0</v>
      </c>
    </row>
    <row r="1344" spans="1:6" x14ac:dyDescent="0.3">
      <c r="A1344" s="8">
        <v>1342</v>
      </c>
      <c r="B1344" s="8" t="s">
        <v>1259</v>
      </c>
      <c r="C1344" s="8" t="s">
        <v>2837</v>
      </c>
      <c r="D1344" s="8" t="s">
        <v>2838</v>
      </c>
      <c r="E1344" s="13">
        <v>0</v>
      </c>
      <c r="F1344" s="14">
        <v>0</v>
      </c>
    </row>
    <row r="1345" spans="1:6" x14ac:dyDescent="0.3">
      <c r="A1345" s="8">
        <v>1343</v>
      </c>
      <c r="B1345" s="8" t="s">
        <v>1259</v>
      </c>
      <c r="C1345" s="8" t="s">
        <v>2839</v>
      </c>
      <c r="D1345" s="8" t="s">
        <v>2840</v>
      </c>
      <c r="E1345" s="13">
        <v>0</v>
      </c>
      <c r="F1345" s="14">
        <v>0</v>
      </c>
    </row>
    <row r="1346" spans="1:6" x14ac:dyDescent="0.3">
      <c r="A1346" s="8">
        <v>1344</v>
      </c>
      <c r="B1346" s="8" t="s">
        <v>1259</v>
      </c>
      <c r="C1346" s="8" t="s">
        <v>2841</v>
      </c>
      <c r="D1346" s="8" t="s">
        <v>2842</v>
      </c>
      <c r="E1346" s="13">
        <v>25370</v>
      </c>
      <c r="F1346" s="14">
        <v>45000</v>
      </c>
    </row>
    <row r="1347" spans="1:6" x14ac:dyDescent="0.3">
      <c r="A1347" s="8">
        <v>1345</v>
      </c>
      <c r="B1347" s="8" t="s">
        <v>1259</v>
      </c>
      <c r="C1347" s="8" t="s">
        <v>2843</v>
      </c>
      <c r="D1347" s="8" t="s">
        <v>2844</v>
      </c>
      <c r="E1347" s="13">
        <v>0</v>
      </c>
      <c r="F1347" s="14">
        <v>0</v>
      </c>
    </row>
    <row r="1348" spans="1:6" x14ac:dyDescent="0.3">
      <c r="A1348" s="8">
        <v>1346</v>
      </c>
      <c r="B1348" s="8" t="s">
        <v>1259</v>
      </c>
      <c r="C1348" s="8" t="s">
        <v>2845</v>
      </c>
      <c r="D1348" s="8" t="s">
        <v>2846</v>
      </c>
      <c r="E1348" s="13">
        <v>0</v>
      </c>
      <c r="F1348" s="14">
        <v>0</v>
      </c>
    </row>
    <row r="1349" spans="1:6" x14ac:dyDescent="0.3">
      <c r="A1349" s="8">
        <v>1347</v>
      </c>
      <c r="B1349" s="8" t="s">
        <v>1280</v>
      </c>
      <c r="C1349" s="8" t="s">
        <v>2847</v>
      </c>
      <c r="D1349" s="8" t="s">
        <v>2848</v>
      </c>
      <c r="E1349" s="13">
        <v>10180</v>
      </c>
      <c r="F1349" s="14">
        <v>16000</v>
      </c>
    </row>
    <row r="1350" spans="1:6" x14ac:dyDescent="0.3">
      <c r="A1350" s="8">
        <v>1348</v>
      </c>
      <c r="B1350" s="8" t="s">
        <v>1280</v>
      </c>
      <c r="C1350" s="8" t="s">
        <v>2849</v>
      </c>
      <c r="D1350" s="8" t="s">
        <v>2850</v>
      </c>
      <c r="E1350" s="13">
        <v>0</v>
      </c>
      <c r="F1350" s="14">
        <v>0</v>
      </c>
    </row>
    <row r="1351" spans="1:6" x14ac:dyDescent="0.3">
      <c r="A1351" s="8">
        <v>1349</v>
      </c>
      <c r="B1351" s="8" t="s">
        <v>1293</v>
      </c>
      <c r="C1351" s="8" t="s">
        <v>2851</v>
      </c>
      <c r="D1351" s="8" t="s">
        <v>2852</v>
      </c>
      <c r="E1351" s="13">
        <v>0</v>
      </c>
      <c r="F1351" s="14">
        <v>0</v>
      </c>
    </row>
    <row r="1352" spans="1:6" x14ac:dyDescent="0.3">
      <c r="A1352" s="8">
        <v>1350</v>
      </c>
      <c r="B1352" s="8" t="s">
        <v>1293</v>
      </c>
      <c r="C1352" s="8" t="s">
        <v>2853</v>
      </c>
      <c r="D1352" s="8" t="s">
        <v>2854</v>
      </c>
      <c r="E1352" s="13">
        <v>320000</v>
      </c>
      <c r="F1352" s="14">
        <v>639815</v>
      </c>
    </row>
    <row r="1353" spans="1:6" x14ac:dyDescent="0.3">
      <c r="A1353" s="8">
        <v>1351</v>
      </c>
      <c r="B1353" s="8" t="s">
        <v>1293</v>
      </c>
      <c r="C1353" s="8" t="s">
        <v>2855</v>
      </c>
      <c r="D1353" s="8" t="s">
        <v>2856</v>
      </c>
      <c r="E1353" s="13">
        <v>320000</v>
      </c>
      <c r="F1353" s="14">
        <v>639815</v>
      </c>
    </row>
    <row r="1354" spans="1:6" x14ac:dyDescent="0.3">
      <c r="A1354" s="8">
        <v>1352</v>
      </c>
      <c r="B1354" s="8" t="s">
        <v>1293</v>
      </c>
      <c r="C1354" s="8" t="s">
        <v>2857</v>
      </c>
      <c r="D1354" s="8" t="s">
        <v>2858</v>
      </c>
      <c r="E1354" s="13">
        <v>277800</v>
      </c>
      <c r="F1354" s="14">
        <v>555556</v>
      </c>
    </row>
    <row r="1355" spans="1:6" x14ac:dyDescent="0.3">
      <c r="A1355" s="8">
        <v>1353</v>
      </c>
      <c r="B1355" s="8" t="s">
        <v>1293</v>
      </c>
      <c r="C1355" s="8" t="s">
        <v>2859</v>
      </c>
      <c r="D1355" s="8" t="s">
        <v>2860</v>
      </c>
      <c r="E1355" s="13">
        <v>0</v>
      </c>
      <c r="F1355" s="14">
        <v>435000</v>
      </c>
    </row>
    <row r="1356" spans="1:6" x14ac:dyDescent="0.3">
      <c r="A1356" s="8">
        <v>1354</v>
      </c>
      <c r="B1356" s="8" t="s">
        <v>1293</v>
      </c>
      <c r="C1356" s="8" t="s">
        <v>2861</v>
      </c>
      <c r="D1356" s="8" t="s">
        <v>2862</v>
      </c>
      <c r="E1356" s="13">
        <v>280000</v>
      </c>
      <c r="F1356" s="14">
        <v>560185</v>
      </c>
    </row>
    <row r="1357" spans="1:6" x14ac:dyDescent="0.3">
      <c r="A1357" s="8">
        <v>1355</v>
      </c>
      <c r="B1357" s="8" t="s">
        <v>1293</v>
      </c>
      <c r="C1357" s="8" t="s">
        <v>2863</v>
      </c>
      <c r="D1357" s="8" t="s">
        <v>2864</v>
      </c>
      <c r="E1357" s="13">
        <v>195000</v>
      </c>
      <c r="F1357" s="14">
        <v>389815</v>
      </c>
    </row>
    <row r="1358" spans="1:6" x14ac:dyDescent="0.3">
      <c r="A1358" s="8">
        <v>1356</v>
      </c>
      <c r="B1358" s="8" t="s">
        <v>1293</v>
      </c>
      <c r="C1358" s="8" t="s">
        <v>2865</v>
      </c>
      <c r="D1358" s="8" t="s">
        <v>2866</v>
      </c>
      <c r="E1358" s="13">
        <v>225000</v>
      </c>
      <c r="F1358" s="14">
        <v>450000</v>
      </c>
    </row>
    <row r="1359" spans="1:6" x14ac:dyDescent="0.3">
      <c r="A1359" s="8">
        <v>1357</v>
      </c>
      <c r="B1359" s="8" t="s">
        <v>1293</v>
      </c>
      <c r="C1359" s="8" t="s">
        <v>2867</v>
      </c>
      <c r="D1359" s="8" t="s">
        <v>2868</v>
      </c>
      <c r="E1359" s="13">
        <v>160000</v>
      </c>
      <c r="F1359" s="14">
        <v>320370</v>
      </c>
    </row>
    <row r="1360" spans="1:6" x14ac:dyDescent="0.3">
      <c r="A1360" s="8">
        <v>1358</v>
      </c>
      <c r="B1360" s="8" t="s">
        <v>1296</v>
      </c>
      <c r="C1360" s="8" t="s">
        <v>2869</v>
      </c>
      <c r="D1360" s="8" t="s">
        <v>2870</v>
      </c>
      <c r="E1360" s="13">
        <v>0</v>
      </c>
      <c r="F1360" s="14">
        <v>576364</v>
      </c>
    </row>
    <row r="1361" spans="1:6" x14ac:dyDescent="0.3">
      <c r="A1361" s="8">
        <v>1359</v>
      </c>
      <c r="B1361" s="8" t="s">
        <v>1296</v>
      </c>
      <c r="C1361" s="8" t="s">
        <v>2871</v>
      </c>
      <c r="D1361" s="8" t="s">
        <v>2872</v>
      </c>
      <c r="E1361" s="13">
        <v>0</v>
      </c>
      <c r="F1361" s="14">
        <v>4530000</v>
      </c>
    </row>
    <row r="1362" spans="1:6" x14ac:dyDescent="0.3">
      <c r="A1362" s="8">
        <v>1360</v>
      </c>
      <c r="B1362" s="8" t="s">
        <v>1296</v>
      </c>
      <c r="C1362" s="8" t="s">
        <v>2873</v>
      </c>
      <c r="D1362" s="8" t="s">
        <v>2874</v>
      </c>
      <c r="E1362" s="13">
        <v>0</v>
      </c>
      <c r="F1362" s="14">
        <v>303704</v>
      </c>
    </row>
    <row r="1363" spans="1:6" x14ac:dyDescent="0.3">
      <c r="A1363" s="8">
        <v>1361</v>
      </c>
      <c r="B1363" s="8" t="s">
        <v>2229</v>
      </c>
      <c r="C1363" s="8" t="s">
        <v>2875</v>
      </c>
      <c r="D1363" s="8" t="s">
        <v>2876</v>
      </c>
      <c r="E1363" s="13">
        <v>0</v>
      </c>
      <c r="F1363" s="14">
        <v>847000</v>
      </c>
    </row>
    <row r="1364" spans="1:6" x14ac:dyDescent="0.3">
      <c r="A1364" s="8">
        <v>1362</v>
      </c>
      <c r="B1364" s="8" t="s">
        <v>2229</v>
      </c>
      <c r="C1364" s="8" t="s">
        <v>2877</v>
      </c>
      <c r="D1364" s="8" t="s">
        <v>2878</v>
      </c>
      <c r="E1364" s="13">
        <v>4963000</v>
      </c>
      <c r="F1364" s="14">
        <v>8109259</v>
      </c>
    </row>
    <row r="1365" spans="1:6" x14ac:dyDescent="0.3">
      <c r="A1365" s="8">
        <v>1363</v>
      </c>
      <c r="B1365" s="8" t="s">
        <v>1178</v>
      </c>
      <c r="C1365" s="8" t="s">
        <v>2879</v>
      </c>
      <c r="D1365" s="8" t="s">
        <v>2880</v>
      </c>
      <c r="E1365" s="13">
        <v>0</v>
      </c>
      <c r="F1365" s="14">
        <v>0</v>
      </c>
    </row>
    <row r="1366" spans="1:6" x14ac:dyDescent="0.3">
      <c r="A1366" s="8">
        <v>1364</v>
      </c>
      <c r="B1366" s="8" t="s">
        <v>1178</v>
      </c>
      <c r="C1366" s="8" t="s">
        <v>2881</v>
      </c>
      <c r="D1366" s="8" t="s">
        <v>2882</v>
      </c>
      <c r="E1366" s="13">
        <v>0</v>
      </c>
      <c r="F1366" s="14">
        <v>0</v>
      </c>
    </row>
    <row r="1367" spans="1:6" x14ac:dyDescent="0.3">
      <c r="A1367" s="8">
        <v>1365</v>
      </c>
      <c r="B1367" s="8" t="s">
        <v>1178</v>
      </c>
      <c r="C1367" s="8" t="s">
        <v>2883</v>
      </c>
      <c r="D1367" s="8" t="s">
        <v>2884</v>
      </c>
      <c r="E1367" s="13">
        <v>0</v>
      </c>
      <c r="F1367" s="14">
        <v>0</v>
      </c>
    </row>
    <row r="1368" spans="1:6" x14ac:dyDescent="0.3">
      <c r="A1368" s="8">
        <v>1366</v>
      </c>
      <c r="B1368" s="8" t="s">
        <v>1178</v>
      </c>
      <c r="C1368" s="8" t="s">
        <v>2885</v>
      </c>
      <c r="D1368" s="8" t="s">
        <v>2886</v>
      </c>
      <c r="E1368" s="13">
        <v>0</v>
      </c>
      <c r="F1368" s="14">
        <v>0</v>
      </c>
    </row>
    <row r="1369" spans="1:6" x14ac:dyDescent="0.3">
      <c r="A1369" s="8">
        <v>1367</v>
      </c>
      <c r="B1369" s="8" t="s">
        <v>282</v>
      </c>
      <c r="C1369" s="8" t="s">
        <v>2887</v>
      </c>
      <c r="D1369" s="8" t="s">
        <v>2888</v>
      </c>
      <c r="E1369" s="13">
        <v>55600</v>
      </c>
      <c r="F1369" s="14">
        <v>111111</v>
      </c>
    </row>
    <row r="1370" spans="1:6" x14ac:dyDescent="0.3">
      <c r="A1370" s="8">
        <v>1368</v>
      </c>
      <c r="B1370" s="8" t="s">
        <v>282</v>
      </c>
      <c r="C1370" s="8" t="s">
        <v>2889</v>
      </c>
      <c r="D1370" s="8" t="s">
        <v>2890</v>
      </c>
      <c r="E1370" s="13">
        <v>71300</v>
      </c>
      <c r="F1370" s="14">
        <v>142593</v>
      </c>
    </row>
    <row r="1371" spans="1:6" x14ac:dyDescent="0.3">
      <c r="A1371" s="8">
        <v>1369</v>
      </c>
      <c r="B1371" s="8" t="s">
        <v>287</v>
      </c>
      <c r="C1371" s="8" t="s">
        <v>2891</v>
      </c>
      <c r="D1371" s="8" t="s">
        <v>2892</v>
      </c>
      <c r="E1371" s="13">
        <v>864500</v>
      </c>
      <c r="F1371" s="14">
        <v>1490000</v>
      </c>
    </row>
    <row r="1372" spans="1:6" x14ac:dyDescent="0.3">
      <c r="A1372" s="8">
        <v>1370</v>
      </c>
      <c r="B1372" s="8" t="s">
        <v>287</v>
      </c>
      <c r="C1372" s="8" t="s">
        <v>2893</v>
      </c>
      <c r="D1372" s="8" t="s">
        <v>2894</v>
      </c>
      <c r="E1372" s="13">
        <v>108000</v>
      </c>
      <c r="F1372" s="14">
        <v>215741</v>
      </c>
    </row>
    <row r="1373" spans="1:6" x14ac:dyDescent="0.3">
      <c r="A1373" s="8">
        <v>1371</v>
      </c>
      <c r="B1373" s="8" t="s">
        <v>287</v>
      </c>
      <c r="C1373" s="8" t="s">
        <v>2895</v>
      </c>
      <c r="D1373" s="8" t="s">
        <v>2896</v>
      </c>
      <c r="E1373" s="13">
        <v>0</v>
      </c>
      <c r="F1373" s="14">
        <v>0</v>
      </c>
    </row>
    <row r="1374" spans="1:6" x14ac:dyDescent="0.3">
      <c r="A1374" s="8">
        <v>1372</v>
      </c>
      <c r="B1374" s="8" t="s">
        <v>1259</v>
      </c>
      <c r="C1374" s="8" t="s">
        <v>2897</v>
      </c>
      <c r="D1374" s="8" t="s">
        <v>2898</v>
      </c>
      <c r="E1374" s="13">
        <v>106560</v>
      </c>
      <c r="F1374" s="14">
        <v>169000</v>
      </c>
    </row>
    <row r="1375" spans="1:6" x14ac:dyDescent="0.3">
      <c r="A1375" s="8">
        <v>1373</v>
      </c>
      <c r="B1375" s="8" t="s">
        <v>1259</v>
      </c>
      <c r="C1375" s="8" t="s">
        <v>2899</v>
      </c>
      <c r="D1375" s="8" t="s">
        <v>2900</v>
      </c>
      <c r="E1375" s="13">
        <v>0</v>
      </c>
      <c r="F1375" s="14">
        <v>0</v>
      </c>
    </row>
    <row r="1376" spans="1:6" x14ac:dyDescent="0.3">
      <c r="A1376" s="8">
        <v>1374</v>
      </c>
      <c r="B1376" s="8" t="s">
        <v>1280</v>
      </c>
      <c r="C1376" s="8" t="s">
        <v>2901</v>
      </c>
      <c r="D1376" s="8" t="s">
        <v>2902</v>
      </c>
      <c r="E1376" s="13">
        <v>12200</v>
      </c>
      <c r="F1376" s="14">
        <v>20000</v>
      </c>
    </row>
    <row r="1377" spans="1:6" x14ac:dyDescent="0.3">
      <c r="A1377" s="8">
        <v>1375</v>
      </c>
      <c r="B1377" s="8" t="s">
        <v>1280</v>
      </c>
      <c r="C1377" s="8" t="s">
        <v>2903</v>
      </c>
      <c r="D1377" s="8" t="s">
        <v>2904</v>
      </c>
      <c r="E1377" s="13">
        <v>0</v>
      </c>
      <c r="F1377" s="14">
        <v>0</v>
      </c>
    </row>
    <row r="1378" spans="1:6" x14ac:dyDescent="0.3">
      <c r="A1378" s="8">
        <v>1376</v>
      </c>
      <c r="B1378" s="8" t="s">
        <v>1280</v>
      </c>
      <c r="C1378" s="8" t="s">
        <v>2905</v>
      </c>
      <c r="D1378" s="8" t="s">
        <v>2906</v>
      </c>
      <c r="E1378" s="13">
        <v>0</v>
      </c>
      <c r="F1378" s="14">
        <v>0</v>
      </c>
    </row>
    <row r="1379" spans="1:6" x14ac:dyDescent="0.3">
      <c r="A1379" s="8">
        <v>1377</v>
      </c>
      <c r="B1379" s="8" t="s">
        <v>1293</v>
      </c>
      <c r="C1379" s="8" t="s">
        <v>2907</v>
      </c>
      <c r="D1379" s="8" t="s">
        <v>2908</v>
      </c>
      <c r="E1379" s="13">
        <v>226000</v>
      </c>
      <c r="F1379" s="14">
        <v>451852</v>
      </c>
    </row>
    <row r="1380" spans="1:6" x14ac:dyDescent="0.3">
      <c r="A1380" s="8">
        <v>1378</v>
      </c>
      <c r="B1380" s="8" t="s">
        <v>1293</v>
      </c>
      <c r="C1380" s="8" t="s">
        <v>2909</v>
      </c>
      <c r="D1380" s="8" t="s">
        <v>2910</v>
      </c>
      <c r="E1380" s="13">
        <v>333400</v>
      </c>
      <c r="F1380" s="14">
        <v>666667</v>
      </c>
    </row>
    <row r="1381" spans="1:6" x14ac:dyDescent="0.3">
      <c r="A1381" s="8">
        <v>1379</v>
      </c>
      <c r="B1381" s="8" t="s">
        <v>1293</v>
      </c>
      <c r="C1381" s="8" t="s">
        <v>2911</v>
      </c>
      <c r="D1381" s="8" t="s">
        <v>2912</v>
      </c>
      <c r="E1381" s="13">
        <v>225000</v>
      </c>
      <c r="F1381" s="14">
        <v>450000</v>
      </c>
    </row>
    <row r="1382" spans="1:6" x14ac:dyDescent="0.3">
      <c r="A1382" s="8">
        <v>1380</v>
      </c>
      <c r="B1382" s="8" t="s">
        <v>1296</v>
      </c>
      <c r="C1382" s="8" t="s">
        <v>2913</v>
      </c>
      <c r="D1382" s="8" t="s">
        <v>2914</v>
      </c>
      <c r="E1382" s="13">
        <v>4963000</v>
      </c>
      <c r="F1382" s="14">
        <v>8109259</v>
      </c>
    </row>
    <row r="1383" spans="1:6" x14ac:dyDescent="0.3">
      <c r="A1383" s="8">
        <v>1381</v>
      </c>
      <c r="B1383" s="8" t="s">
        <v>2229</v>
      </c>
      <c r="C1383" s="8" t="s">
        <v>2915</v>
      </c>
      <c r="D1383" s="8" t="s">
        <v>2916</v>
      </c>
      <c r="E1383" s="13">
        <v>0</v>
      </c>
      <c r="F1383" s="14">
        <v>560185</v>
      </c>
    </row>
    <row r="1384" spans="1:6" x14ac:dyDescent="0.3">
      <c r="A1384" s="8">
        <v>1382</v>
      </c>
      <c r="B1384" s="8" t="s">
        <v>2229</v>
      </c>
      <c r="C1384" s="8" t="s">
        <v>2917</v>
      </c>
      <c r="D1384" s="8" t="s">
        <v>2918</v>
      </c>
      <c r="E1384" s="13">
        <v>36000</v>
      </c>
      <c r="F1384" s="14">
        <v>72037</v>
      </c>
    </row>
    <row r="1385" spans="1:6" x14ac:dyDescent="0.3">
      <c r="A1385" s="8">
        <v>1383</v>
      </c>
      <c r="B1385" s="8" t="s">
        <v>2229</v>
      </c>
      <c r="C1385" s="8" t="s">
        <v>2919</v>
      </c>
      <c r="D1385" s="8" t="s">
        <v>2920</v>
      </c>
      <c r="E1385" s="13">
        <v>393500</v>
      </c>
      <c r="F1385" s="14">
        <v>787037</v>
      </c>
    </row>
    <row r="1386" spans="1:6" x14ac:dyDescent="0.3">
      <c r="A1386" s="8">
        <v>1384</v>
      </c>
      <c r="B1386" s="8" t="s">
        <v>2229</v>
      </c>
      <c r="C1386" s="8" t="s">
        <v>2921</v>
      </c>
      <c r="D1386" s="8" t="s">
        <v>2922</v>
      </c>
      <c r="E1386" s="13">
        <v>0</v>
      </c>
      <c r="F1386" s="14">
        <v>0</v>
      </c>
    </row>
    <row r="1387" spans="1:6" x14ac:dyDescent="0.3">
      <c r="A1387" s="8">
        <v>1385</v>
      </c>
      <c r="B1387" s="8" t="s">
        <v>2229</v>
      </c>
      <c r="C1387" s="8" t="s">
        <v>2923</v>
      </c>
      <c r="D1387" s="8" t="s">
        <v>2924</v>
      </c>
      <c r="E1387" s="13">
        <v>0</v>
      </c>
      <c r="F1387" s="14">
        <v>0</v>
      </c>
    </row>
    <row r="1388" spans="1:6" x14ac:dyDescent="0.3">
      <c r="A1388" s="8">
        <v>1386</v>
      </c>
      <c r="B1388" s="8" t="s">
        <v>2229</v>
      </c>
      <c r="C1388" s="8" t="s">
        <v>2925</v>
      </c>
      <c r="D1388" s="8" t="s">
        <v>2926</v>
      </c>
      <c r="E1388" s="13">
        <v>0</v>
      </c>
      <c r="F1388" s="14">
        <v>0</v>
      </c>
    </row>
    <row r="1389" spans="1:6" x14ac:dyDescent="0.3">
      <c r="A1389" s="8">
        <v>1387</v>
      </c>
      <c r="B1389" s="8" t="s">
        <v>2303</v>
      </c>
      <c r="C1389" s="8" t="s">
        <v>2927</v>
      </c>
      <c r="D1389" s="8" t="s">
        <v>2928</v>
      </c>
      <c r="E1389" s="13">
        <v>84600</v>
      </c>
      <c r="F1389" s="14">
        <v>169444</v>
      </c>
    </row>
    <row r="1390" spans="1:6" x14ac:dyDescent="0.3">
      <c r="A1390" s="8">
        <v>1388</v>
      </c>
      <c r="B1390" s="8" t="s">
        <v>287</v>
      </c>
      <c r="C1390" s="8" t="s">
        <v>2929</v>
      </c>
      <c r="D1390" s="8" t="s">
        <v>2930</v>
      </c>
      <c r="E1390" s="13">
        <v>104000</v>
      </c>
      <c r="F1390" s="14">
        <v>208333</v>
      </c>
    </row>
    <row r="1391" spans="1:6" x14ac:dyDescent="0.3">
      <c r="A1391" s="8">
        <v>1389</v>
      </c>
      <c r="B1391" s="8" t="s">
        <v>287</v>
      </c>
      <c r="C1391" s="8" t="s">
        <v>2931</v>
      </c>
      <c r="D1391" s="8" t="s">
        <v>2932</v>
      </c>
      <c r="E1391" s="13">
        <v>104000</v>
      </c>
      <c r="F1391" s="14">
        <v>208333</v>
      </c>
    </row>
    <row r="1392" spans="1:6" x14ac:dyDescent="0.3">
      <c r="A1392" s="8">
        <v>1390</v>
      </c>
      <c r="B1392" s="8" t="s">
        <v>1259</v>
      </c>
      <c r="C1392" s="8" t="s">
        <v>2933</v>
      </c>
      <c r="D1392" s="8" t="s">
        <v>2934</v>
      </c>
      <c r="E1392" s="13">
        <v>29140</v>
      </c>
      <c r="F1392" s="14">
        <v>43000</v>
      </c>
    </row>
    <row r="1393" spans="1:6" x14ac:dyDescent="0.3">
      <c r="A1393" s="8">
        <v>1391</v>
      </c>
      <c r="B1393" s="8" t="s">
        <v>1259</v>
      </c>
      <c r="C1393" s="8" t="s">
        <v>2935</v>
      </c>
      <c r="D1393" s="8" t="s">
        <v>2936</v>
      </c>
      <c r="E1393" s="13">
        <v>0</v>
      </c>
      <c r="F1393" s="14">
        <v>0</v>
      </c>
    </row>
    <row r="1394" spans="1:6" x14ac:dyDescent="0.3">
      <c r="A1394" s="8">
        <v>1392</v>
      </c>
      <c r="B1394" s="8" t="s">
        <v>1259</v>
      </c>
      <c r="C1394" s="8" t="s">
        <v>2937</v>
      </c>
      <c r="D1394" s="8" t="s">
        <v>2938</v>
      </c>
      <c r="E1394" s="13">
        <v>106800</v>
      </c>
      <c r="F1394" s="14">
        <v>184000</v>
      </c>
    </row>
    <row r="1395" spans="1:6" x14ac:dyDescent="0.3">
      <c r="A1395" s="8">
        <v>1393</v>
      </c>
      <c r="B1395" s="8" t="s">
        <v>1259</v>
      </c>
      <c r="C1395" s="8" t="s">
        <v>2939</v>
      </c>
      <c r="D1395" s="8" t="s">
        <v>2940</v>
      </c>
      <c r="E1395" s="13">
        <v>43240</v>
      </c>
      <c r="F1395" s="14">
        <v>70000</v>
      </c>
    </row>
    <row r="1396" spans="1:6" x14ac:dyDescent="0.3">
      <c r="A1396" s="8">
        <v>1394</v>
      </c>
      <c r="B1396" s="8" t="s">
        <v>1259</v>
      </c>
      <c r="C1396" s="8" t="s">
        <v>2941</v>
      </c>
      <c r="D1396" s="8" t="s">
        <v>2942</v>
      </c>
      <c r="E1396" s="13">
        <v>0</v>
      </c>
      <c r="F1396" s="14">
        <v>0</v>
      </c>
    </row>
    <row r="1397" spans="1:6" x14ac:dyDescent="0.3">
      <c r="A1397" s="8">
        <v>1395</v>
      </c>
      <c r="B1397" s="8" t="s">
        <v>1259</v>
      </c>
      <c r="C1397" s="8" t="s">
        <v>2943</v>
      </c>
      <c r="D1397" s="8" t="s">
        <v>2944</v>
      </c>
      <c r="E1397" s="13">
        <v>21150</v>
      </c>
      <c r="F1397" s="14">
        <v>29000</v>
      </c>
    </row>
    <row r="1398" spans="1:6" x14ac:dyDescent="0.3">
      <c r="A1398" s="8">
        <v>1396</v>
      </c>
      <c r="B1398" s="8" t="s">
        <v>1280</v>
      </c>
      <c r="C1398" s="8" t="s">
        <v>2945</v>
      </c>
      <c r="D1398" s="8" t="s">
        <v>2946</v>
      </c>
      <c r="E1398" s="13">
        <v>10500</v>
      </c>
      <c r="F1398" s="14">
        <v>19000</v>
      </c>
    </row>
    <row r="1399" spans="1:6" x14ac:dyDescent="0.3">
      <c r="A1399" s="8">
        <v>1397</v>
      </c>
      <c r="B1399" s="8" t="s">
        <v>1280</v>
      </c>
      <c r="C1399" s="8" t="s">
        <v>2947</v>
      </c>
      <c r="D1399" s="8" t="s">
        <v>2948</v>
      </c>
      <c r="E1399" s="13">
        <v>81600</v>
      </c>
      <c r="F1399" s="14">
        <v>140000</v>
      </c>
    </row>
    <row r="1400" spans="1:6" x14ac:dyDescent="0.3">
      <c r="A1400" s="8">
        <v>1398</v>
      </c>
      <c r="B1400" s="8" t="s">
        <v>1280</v>
      </c>
      <c r="C1400" s="8" t="s">
        <v>2949</v>
      </c>
      <c r="D1400" s="8" t="s">
        <v>2950</v>
      </c>
      <c r="E1400" s="13">
        <v>262000</v>
      </c>
      <c r="F1400" s="14">
        <v>454000</v>
      </c>
    </row>
    <row r="1401" spans="1:6" x14ac:dyDescent="0.3">
      <c r="A1401" s="8">
        <v>1399</v>
      </c>
      <c r="B1401" s="8" t="s">
        <v>1293</v>
      </c>
      <c r="C1401" s="8" t="s">
        <v>2951</v>
      </c>
      <c r="D1401" s="8" t="s">
        <v>2952</v>
      </c>
      <c r="E1401" s="13">
        <v>0</v>
      </c>
      <c r="F1401" s="14">
        <v>0</v>
      </c>
    </row>
    <row r="1402" spans="1:6" x14ac:dyDescent="0.3">
      <c r="A1402" s="8">
        <v>1400</v>
      </c>
      <c r="B1402" s="8" t="s">
        <v>1293</v>
      </c>
      <c r="C1402" s="8" t="s">
        <v>2953</v>
      </c>
      <c r="D1402" s="8" t="s">
        <v>2954</v>
      </c>
      <c r="E1402" s="13">
        <v>226000</v>
      </c>
      <c r="F1402" s="14">
        <v>451852</v>
      </c>
    </row>
    <row r="1403" spans="1:6" x14ac:dyDescent="0.3">
      <c r="A1403" s="8">
        <v>1401</v>
      </c>
      <c r="B1403" s="8" t="s">
        <v>1293</v>
      </c>
      <c r="C1403" s="8" t="s">
        <v>2955</v>
      </c>
      <c r="D1403" s="8" t="s">
        <v>2956</v>
      </c>
      <c r="E1403" s="13">
        <v>195000</v>
      </c>
      <c r="F1403" s="14">
        <v>389815</v>
      </c>
    </row>
    <row r="1404" spans="1:6" x14ac:dyDescent="0.3">
      <c r="A1404" s="8">
        <v>1402</v>
      </c>
      <c r="B1404" s="8" t="s">
        <v>1293</v>
      </c>
      <c r="C1404" s="8" t="s">
        <v>2957</v>
      </c>
      <c r="D1404" s="8" t="s">
        <v>2958</v>
      </c>
      <c r="E1404" s="13">
        <v>230000</v>
      </c>
      <c r="F1404" s="14">
        <v>460185</v>
      </c>
    </row>
    <row r="1405" spans="1:6" x14ac:dyDescent="0.3">
      <c r="A1405" s="8">
        <v>1403</v>
      </c>
      <c r="B1405" s="8" t="s">
        <v>1293</v>
      </c>
      <c r="C1405" s="8" t="s">
        <v>2959</v>
      </c>
      <c r="D1405" s="8" t="s">
        <v>2960</v>
      </c>
      <c r="E1405" s="13">
        <v>148200</v>
      </c>
      <c r="F1405" s="14">
        <v>296296</v>
      </c>
    </row>
    <row r="1406" spans="1:6" x14ac:dyDescent="0.3">
      <c r="A1406" s="8">
        <v>1404</v>
      </c>
      <c r="B1406" s="8" t="s">
        <v>1293</v>
      </c>
      <c r="C1406" s="8" t="s">
        <v>2961</v>
      </c>
      <c r="D1406" s="8" t="s">
        <v>2962</v>
      </c>
      <c r="E1406" s="13">
        <v>106500</v>
      </c>
      <c r="F1406" s="14">
        <v>212963</v>
      </c>
    </row>
    <row r="1407" spans="1:6" x14ac:dyDescent="0.3">
      <c r="A1407" s="8">
        <v>1405</v>
      </c>
      <c r="B1407" s="8" t="s">
        <v>1293</v>
      </c>
      <c r="C1407" s="8" t="s">
        <v>2963</v>
      </c>
      <c r="D1407" s="8" t="s">
        <v>2964</v>
      </c>
      <c r="E1407" s="13">
        <v>120000</v>
      </c>
      <c r="F1407" s="14">
        <v>239815</v>
      </c>
    </row>
    <row r="1408" spans="1:6" x14ac:dyDescent="0.3">
      <c r="A1408" s="8">
        <v>1406</v>
      </c>
      <c r="B1408" s="8" t="s">
        <v>2229</v>
      </c>
      <c r="C1408" s="8" t="s">
        <v>2965</v>
      </c>
      <c r="D1408" s="8" t="s">
        <v>2966</v>
      </c>
      <c r="E1408" s="13">
        <v>0</v>
      </c>
      <c r="F1408" s="14">
        <v>0</v>
      </c>
    </row>
    <row r="1409" spans="1:6" x14ac:dyDescent="0.3">
      <c r="A1409" s="8">
        <v>1407</v>
      </c>
      <c r="B1409" s="8" t="s">
        <v>2229</v>
      </c>
      <c r="C1409" s="8" t="s">
        <v>2967</v>
      </c>
      <c r="D1409" s="8" t="s">
        <v>2968</v>
      </c>
      <c r="E1409" s="13">
        <v>5685200</v>
      </c>
      <c r="F1409" s="14">
        <v>9289815</v>
      </c>
    </row>
    <row r="1410" spans="1:6" x14ac:dyDescent="0.3">
      <c r="A1410" s="8">
        <v>1408</v>
      </c>
      <c r="B1410" s="8" t="s">
        <v>2229</v>
      </c>
      <c r="C1410" s="8" t="s">
        <v>2969</v>
      </c>
      <c r="D1410" s="8" t="s">
        <v>2970</v>
      </c>
      <c r="E1410" s="13">
        <v>5685200</v>
      </c>
      <c r="F1410" s="14">
        <v>9289815</v>
      </c>
    </row>
    <row r="1411" spans="1:6" x14ac:dyDescent="0.3">
      <c r="A1411" s="8">
        <v>1409</v>
      </c>
      <c r="B1411" s="8" t="s">
        <v>2229</v>
      </c>
      <c r="C1411" s="8" t="s">
        <v>2971</v>
      </c>
      <c r="D1411" s="8" t="s">
        <v>2972</v>
      </c>
      <c r="E1411" s="13">
        <v>416700</v>
      </c>
      <c r="F1411" s="14">
        <v>833333</v>
      </c>
    </row>
    <row r="1412" spans="1:6" x14ac:dyDescent="0.3">
      <c r="A1412" s="8">
        <v>1410</v>
      </c>
      <c r="B1412" s="8" t="s">
        <v>2229</v>
      </c>
      <c r="C1412" s="8" t="s">
        <v>2973</v>
      </c>
      <c r="D1412" s="8" t="s">
        <v>2974</v>
      </c>
      <c r="E1412" s="13">
        <v>0</v>
      </c>
      <c r="F1412" s="14">
        <v>0</v>
      </c>
    </row>
    <row r="1413" spans="1:6" x14ac:dyDescent="0.3">
      <c r="A1413" s="8">
        <v>1411</v>
      </c>
      <c r="B1413" s="8" t="s">
        <v>2229</v>
      </c>
      <c r="C1413" s="8" t="s">
        <v>2975</v>
      </c>
      <c r="D1413" s="8" t="s">
        <v>2976</v>
      </c>
      <c r="E1413" s="13">
        <v>0</v>
      </c>
      <c r="F1413" s="14">
        <v>0</v>
      </c>
    </row>
    <row r="1414" spans="1:6" x14ac:dyDescent="0.3">
      <c r="A1414" s="8">
        <v>1412</v>
      </c>
      <c r="B1414" s="8" t="s">
        <v>2229</v>
      </c>
      <c r="C1414" s="8" t="s">
        <v>2977</v>
      </c>
      <c r="D1414" s="8" t="s">
        <v>2978</v>
      </c>
      <c r="E1414" s="13">
        <v>0</v>
      </c>
      <c r="F1414" s="14">
        <v>260185</v>
      </c>
    </row>
    <row r="1415" spans="1:6" x14ac:dyDescent="0.3">
      <c r="A1415" s="8">
        <v>1413</v>
      </c>
      <c r="B1415" s="8" t="s">
        <v>2229</v>
      </c>
      <c r="C1415" s="8" t="s">
        <v>2979</v>
      </c>
      <c r="D1415" s="8" t="s">
        <v>2980</v>
      </c>
      <c r="E1415" s="13">
        <v>0</v>
      </c>
      <c r="F1415" s="14">
        <v>12920370</v>
      </c>
    </row>
    <row r="1416" spans="1:6" x14ac:dyDescent="0.3">
      <c r="A1416" s="8">
        <v>1414</v>
      </c>
      <c r="B1416" s="8" t="s">
        <v>2229</v>
      </c>
      <c r="C1416" s="8" t="s">
        <v>2981</v>
      </c>
      <c r="D1416" s="8" t="s">
        <v>2982</v>
      </c>
      <c r="E1416" s="13">
        <v>2540600</v>
      </c>
      <c r="F1416" s="14">
        <v>5900000</v>
      </c>
    </row>
    <row r="1417" spans="1:6" x14ac:dyDescent="0.3">
      <c r="A1417" s="8">
        <v>1415</v>
      </c>
      <c r="B1417" s="8" t="s">
        <v>2229</v>
      </c>
      <c r="C1417" s="8" t="s">
        <v>2983</v>
      </c>
      <c r="D1417" s="8" t="s">
        <v>2984</v>
      </c>
      <c r="E1417" s="13">
        <v>0</v>
      </c>
      <c r="F1417" s="14">
        <v>0</v>
      </c>
    </row>
    <row r="1418" spans="1:6" x14ac:dyDescent="0.3">
      <c r="A1418" s="8">
        <v>1416</v>
      </c>
      <c r="B1418" s="8" t="s">
        <v>2229</v>
      </c>
      <c r="C1418" s="8" t="s">
        <v>2985</v>
      </c>
      <c r="D1418" s="8" t="s">
        <v>2986</v>
      </c>
      <c r="E1418" s="13">
        <v>0</v>
      </c>
      <c r="F1418" s="14">
        <v>0</v>
      </c>
    </row>
    <row r="1419" spans="1:6" x14ac:dyDescent="0.3">
      <c r="A1419" s="8">
        <v>1417</v>
      </c>
      <c r="B1419" s="8" t="s">
        <v>2229</v>
      </c>
      <c r="C1419" s="8" t="s">
        <v>2987</v>
      </c>
      <c r="D1419" s="8" t="s">
        <v>2988</v>
      </c>
      <c r="E1419" s="13">
        <v>2632000</v>
      </c>
      <c r="F1419" s="14">
        <v>6203704</v>
      </c>
    </row>
    <row r="1420" spans="1:6" x14ac:dyDescent="0.3">
      <c r="A1420" s="8">
        <v>1418</v>
      </c>
      <c r="B1420" s="8" t="s">
        <v>2300</v>
      </c>
      <c r="C1420" s="8" t="s">
        <v>2989</v>
      </c>
      <c r="D1420" s="8" t="s">
        <v>2990</v>
      </c>
      <c r="E1420" s="13">
        <v>111000</v>
      </c>
      <c r="F1420" s="14">
        <v>222222</v>
      </c>
    </row>
    <row r="1421" spans="1:6" x14ac:dyDescent="0.3">
      <c r="A1421" s="8">
        <v>1419</v>
      </c>
      <c r="B1421" s="8" t="s">
        <v>2300</v>
      </c>
      <c r="C1421" s="8" t="s">
        <v>2991</v>
      </c>
      <c r="D1421" s="8" t="s">
        <v>2992</v>
      </c>
      <c r="E1421" s="13">
        <v>69500</v>
      </c>
      <c r="F1421" s="14">
        <v>138889</v>
      </c>
    </row>
    <row r="1422" spans="1:6" x14ac:dyDescent="0.3">
      <c r="A1422" s="8">
        <v>1420</v>
      </c>
      <c r="B1422" s="8" t="s">
        <v>2303</v>
      </c>
      <c r="C1422" s="8" t="s">
        <v>2993</v>
      </c>
      <c r="D1422" s="8" t="s">
        <v>2994</v>
      </c>
      <c r="E1422" s="13">
        <v>26500</v>
      </c>
      <c r="F1422" s="14">
        <v>52963</v>
      </c>
    </row>
    <row r="1423" spans="1:6" x14ac:dyDescent="0.3">
      <c r="A1423" s="8">
        <v>1421</v>
      </c>
      <c r="B1423" s="8" t="s">
        <v>2303</v>
      </c>
      <c r="C1423" s="8" t="s">
        <v>2995</v>
      </c>
      <c r="D1423" s="8" t="s">
        <v>2996</v>
      </c>
      <c r="E1423" s="13">
        <v>0</v>
      </c>
      <c r="F1423" s="14">
        <v>0</v>
      </c>
    </row>
    <row r="1424" spans="1:6" x14ac:dyDescent="0.3">
      <c r="A1424" s="8">
        <v>1422</v>
      </c>
      <c r="B1424" s="8" t="s">
        <v>2303</v>
      </c>
      <c r="C1424" s="8" t="s">
        <v>2997</v>
      </c>
      <c r="D1424" s="8" t="s">
        <v>2998</v>
      </c>
      <c r="E1424" s="13">
        <v>232000</v>
      </c>
      <c r="F1424" s="14">
        <v>463889</v>
      </c>
    </row>
    <row r="1425" spans="1:6" x14ac:dyDescent="0.3">
      <c r="A1425" s="8">
        <v>1423</v>
      </c>
      <c r="B1425" s="8" t="s">
        <v>2303</v>
      </c>
      <c r="C1425" s="8" t="s">
        <v>2999</v>
      </c>
      <c r="D1425" s="8" t="s">
        <v>3000</v>
      </c>
      <c r="E1425" s="13">
        <v>0</v>
      </c>
      <c r="F1425" s="14">
        <v>0</v>
      </c>
    </row>
    <row r="1426" spans="1:6" x14ac:dyDescent="0.3">
      <c r="A1426" s="8">
        <v>1424</v>
      </c>
      <c r="B1426" s="8" t="s">
        <v>2303</v>
      </c>
      <c r="C1426" s="8" t="s">
        <v>3001</v>
      </c>
      <c r="D1426" s="8" t="s">
        <v>3002</v>
      </c>
      <c r="E1426" s="13">
        <v>0</v>
      </c>
      <c r="F1426" s="14">
        <v>0</v>
      </c>
    </row>
    <row r="1427" spans="1:6" x14ac:dyDescent="0.3">
      <c r="A1427" s="8">
        <v>1425</v>
      </c>
      <c r="B1427" s="8" t="s">
        <v>2303</v>
      </c>
      <c r="C1427" s="8" t="s">
        <v>3003</v>
      </c>
      <c r="D1427" s="8" t="s">
        <v>3004</v>
      </c>
      <c r="E1427" s="13">
        <v>0</v>
      </c>
      <c r="F1427" s="14">
        <v>0</v>
      </c>
    </row>
    <row r="1428" spans="1:6" x14ac:dyDescent="0.3">
      <c r="A1428" s="8">
        <v>1426</v>
      </c>
      <c r="B1428" s="8" t="s">
        <v>2303</v>
      </c>
      <c r="C1428" s="8" t="s">
        <v>3005</v>
      </c>
      <c r="D1428" s="8" t="s">
        <v>3006</v>
      </c>
      <c r="E1428" s="13">
        <v>0</v>
      </c>
      <c r="F1428" s="14">
        <v>0</v>
      </c>
    </row>
    <row r="1429" spans="1:6" x14ac:dyDescent="0.3">
      <c r="A1429" s="8">
        <v>1427</v>
      </c>
      <c r="B1429" s="8" t="s">
        <v>2303</v>
      </c>
      <c r="C1429" s="8" t="s">
        <v>3007</v>
      </c>
      <c r="D1429" s="8" t="s">
        <v>3008</v>
      </c>
      <c r="E1429" s="13">
        <v>208000</v>
      </c>
      <c r="F1429" s="14">
        <v>415741</v>
      </c>
    </row>
    <row r="1430" spans="1:6" x14ac:dyDescent="0.3">
      <c r="A1430" s="8">
        <v>1428</v>
      </c>
      <c r="B1430" s="8" t="s">
        <v>2303</v>
      </c>
      <c r="C1430" s="8" t="s">
        <v>3009</v>
      </c>
      <c r="D1430" s="8" t="s">
        <v>3010</v>
      </c>
      <c r="E1430" s="13">
        <v>26500</v>
      </c>
      <c r="F1430" s="14">
        <v>52963</v>
      </c>
    </row>
    <row r="1431" spans="1:6" x14ac:dyDescent="0.3">
      <c r="A1431" s="8">
        <v>1429</v>
      </c>
      <c r="B1431" s="8" t="s">
        <v>2303</v>
      </c>
      <c r="C1431" s="8" t="s">
        <v>3011</v>
      </c>
      <c r="D1431" s="8" t="s">
        <v>3012</v>
      </c>
      <c r="E1431" s="13">
        <v>0</v>
      </c>
      <c r="F1431" s="14">
        <v>0</v>
      </c>
    </row>
    <row r="1432" spans="1:6" x14ac:dyDescent="0.3">
      <c r="A1432" s="8">
        <v>1430</v>
      </c>
      <c r="B1432" s="8" t="s">
        <v>2303</v>
      </c>
      <c r="C1432" s="8" t="s">
        <v>3013</v>
      </c>
      <c r="D1432" s="8" t="s">
        <v>3014</v>
      </c>
      <c r="E1432" s="13">
        <v>189000</v>
      </c>
      <c r="F1432" s="14">
        <v>377778</v>
      </c>
    </row>
    <row r="1433" spans="1:6" x14ac:dyDescent="0.3">
      <c r="A1433" s="8">
        <v>1431</v>
      </c>
      <c r="B1433" s="8" t="s">
        <v>2303</v>
      </c>
      <c r="C1433" s="8" t="s">
        <v>3015</v>
      </c>
      <c r="D1433" s="8" t="s">
        <v>3016</v>
      </c>
      <c r="E1433" s="13">
        <v>0</v>
      </c>
      <c r="F1433" s="14">
        <v>0</v>
      </c>
    </row>
    <row r="1434" spans="1:6" x14ac:dyDescent="0.3">
      <c r="A1434" s="8">
        <v>1432</v>
      </c>
      <c r="B1434" s="8" t="s">
        <v>2303</v>
      </c>
      <c r="C1434" s="8" t="s">
        <v>3017</v>
      </c>
      <c r="D1434" s="8" t="s">
        <v>3018</v>
      </c>
      <c r="E1434" s="13">
        <v>111000</v>
      </c>
      <c r="F1434" s="14">
        <v>222222</v>
      </c>
    </row>
    <row r="1435" spans="1:6" x14ac:dyDescent="0.3">
      <c r="A1435" s="8">
        <v>1433</v>
      </c>
      <c r="B1435" s="8" t="s">
        <v>2792</v>
      </c>
      <c r="C1435" s="8" t="s">
        <v>3019</v>
      </c>
      <c r="D1435" s="8" t="s">
        <v>3020</v>
      </c>
      <c r="E1435" s="13">
        <v>3767000</v>
      </c>
      <c r="F1435" s="14">
        <v>7534259</v>
      </c>
    </row>
    <row r="1436" spans="1:6" x14ac:dyDescent="0.3">
      <c r="A1436" s="8">
        <v>1434</v>
      </c>
      <c r="B1436" s="8" t="s">
        <v>2792</v>
      </c>
      <c r="C1436" s="8" t="s">
        <v>3021</v>
      </c>
      <c r="D1436" s="8" t="s">
        <v>3022</v>
      </c>
      <c r="E1436" s="13">
        <v>630000</v>
      </c>
      <c r="F1436" s="14">
        <v>1260185</v>
      </c>
    </row>
    <row r="1437" spans="1:6" x14ac:dyDescent="0.3">
      <c r="A1437" s="8">
        <v>1435</v>
      </c>
      <c r="B1437" s="8" t="s">
        <v>2792</v>
      </c>
      <c r="C1437" s="8" t="s">
        <v>3023</v>
      </c>
      <c r="D1437" s="8" t="s">
        <v>3024</v>
      </c>
      <c r="E1437" s="13">
        <v>874000</v>
      </c>
      <c r="F1437" s="14">
        <v>1748148</v>
      </c>
    </row>
    <row r="1438" spans="1:6" x14ac:dyDescent="0.3">
      <c r="A1438" s="8">
        <v>1436</v>
      </c>
      <c r="B1438" s="8" t="s">
        <v>2792</v>
      </c>
      <c r="C1438" s="8" t="s">
        <v>3025</v>
      </c>
      <c r="D1438" s="8" t="s">
        <v>3026</v>
      </c>
      <c r="E1438" s="13">
        <v>304000</v>
      </c>
      <c r="F1438" s="14">
        <v>608333</v>
      </c>
    </row>
    <row r="1439" spans="1:6" x14ac:dyDescent="0.3">
      <c r="A1439" s="8">
        <v>1437</v>
      </c>
      <c r="B1439" s="8" t="s">
        <v>2229</v>
      </c>
      <c r="C1439" s="8" t="s">
        <v>3027</v>
      </c>
      <c r="D1439" s="8" t="s">
        <v>3028</v>
      </c>
      <c r="E1439" s="13">
        <v>2800600</v>
      </c>
      <c r="F1439" s="14">
        <v>6111111</v>
      </c>
    </row>
    <row r="1440" spans="1:6" x14ac:dyDescent="0.3">
      <c r="A1440" s="8">
        <v>1438</v>
      </c>
      <c r="B1440" s="8" t="s">
        <v>2229</v>
      </c>
      <c r="C1440" s="8" t="s">
        <v>3029</v>
      </c>
      <c r="D1440" s="8" t="s">
        <v>3030</v>
      </c>
      <c r="E1440" s="13">
        <v>0</v>
      </c>
      <c r="F1440" s="14">
        <v>0</v>
      </c>
    </row>
    <row r="1441" spans="1:6" x14ac:dyDescent="0.3">
      <c r="A1441" s="8">
        <v>1439</v>
      </c>
      <c r="B1441" s="8" t="s">
        <v>2229</v>
      </c>
      <c r="C1441" s="8" t="s">
        <v>3031</v>
      </c>
      <c r="D1441" s="8" t="s">
        <v>3032</v>
      </c>
      <c r="E1441" s="13">
        <v>0</v>
      </c>
      <c r="F1441" s="14">
        <v>0</v>
      </c>
    </row>
    <row r="1442" spans="1:6" x14ac:dyDescent="0.3">
      <c r="A1442" s="8">
        <v>1440</v>
      </c>
      <c r="B1442" s="8" t="s">
        <v>2303</v>
      </c>
      <c r="C1442" s="8" t="s">
        <v>3033</v>
      </c>
      <c r="D1442" s="8" t="s">
        <v>3034</v>
      </c>
      <c r="E1442" s="13">
        <v>23000</v>
      </c>
      <c r="F1442" s="14">
        <v>46019</v>
      </c>
    </row>
    <row r="1443" spans="1:6" x14ac:dyDescent="0.3">
      <c r="A1443" s="8">
        <v>1441</v>
      </c>
      <c r="B1443" s="8" t="s">
        <v>2303</v>
      </c>
      <c r="C1443" s="8" t="s">
        <v>3035</v>
      </c>
      <c r="D1443" s="8" t="s">
        <v>3036</v>
      </c>
      <c r="E1443" s="13">
        <v>17300</v>
      </c>
      <c r="F1443" s="14">
        <v>35000</v>
      </c>
    </row>
    <row r="1444" spans="1:6" x14ac:dyDescent="0.3">
      <c r="A1444" s="8">
        <v>1442</v>
      </c>
      <c r="B1444" s="8" t="s">
        <v>2303</v>
      </c>
      <c r="C1444" s="8" t="s">
        <v>3037</v>
      </c>
      <c r="D1444" s="8" t="s">
        <v>3038</v>
      </c>
      <c r="E1444" s="13">
        <v>94500</v>
      </c>
      <c r="F1444" s="14">
        <v>170000</v>
      </c>
    </row>
    <row r="1445" spans="1:6" x14ac:dyDescent="0.3">
      <c r="A1445" s="8">
        <v>1443</v>
      </c>
      <c r="B1445" s="8" t="s">
        <v>2303</v>
      </c>
      <c r="C1445" s="8" t="s">
        <v>3039</v>
      </c>
      <c r="D1445" s="8" t="s">
        <v>3040</v>
      </c>
      <c r="E1445" s="13">
        <v>63100</v>
      </c>
      <c r="F1445" s="14">
        <v>125926</v>
      </c>
    </row>
    <row r="1446" spans="1:6" x14ac:dyDescent="0.3">
      <c r="A1446" s="8">
        <v>1444</v>
      </c>
      <c r="B1446" s="8" t="s">
        <v>2303</v>
      </c>
      <c r="C1446" s="8" t="s">
        <v>3041</v>
      </c>
      <c r="D1446" s="8" t="s">
        <v>3042</v>
      </c>
      <c r="E1446" s="13">
        <v>232000</v>
      </c>
      <c r="F1446" s="14">
        <v>463889</v>
      </c>
    </row>
    <row r="1447" spans="1:6" x14ac:dyDescent="0.3">
      <c r="A1447" s="8">
        <v>1445</v>
      </c>
      <c r="B1447" s="8" t="s">
        <v>2303</v>
      </c>
      <c r="C1447" s="8" t="s">
        <v>3043</v>
      </c>
      <c r="D1447" s="8" t="s">
        <v>3044</v>
      </c>
      <c r="E1447" s="13">
        <v>0</v>
      </c>
      <c r="F1447" s="14">
        <v>0</v>
      </c>
    </row>
    <row r="1448" spans="1:6" x14ac:dyDescent="0.3">
      <c r="A1448" s="8">
        <v>1446</v>
      </c>
      <c r="B1448" s="8" t="s">
        <v>2303</v>
      </c>
      <c r="C1448" s="8" t="s">
        <v>3045</v>
      </c>
      <c r="D1448" s="8" t="s">
        <v>3046</v>
      </c>
      <c r="E1448" s="13">
        <v>0</v>
      </c>
      <c r="F1448" s="14">
        <v>0</v>
      </c>
    </row>
    <row r="1449" spans="1:6" x14ac:dyDescent="0.3">
      <c r="A1449" s="8">
        <v>1447</v>
      </c>
      <c r="B1449" s="8" t="s">
        <v>2303</v>
      </c>
      <c r="C1449" s="8" t="s">
        <v>3047</v>
      </c>
      <c r="D1449" s="8" t="s">
        <v>3048</v>
      </c>
      <c r="E1449" s="13">
        <v>0</v>
      </c>
      <c r="F1449" s="14">
        <v>0</v>
      </c>
    </row>
    <row r="1450" spans="1:6" x14ac:dyDescent="0.3">
      <c r="A1450" s="8">
        <v>1448</v>
      </c>
      <c r="B1450" s="8" t="s">
        <v>2303</v>
      </c>
      <c r="C1450" s="8" t="s">
        <v>3049</v>
      </c>
      <c r="D1450" s="8" t="s">
        <v>3050</v>
      </c>
      <c r="E1450" s="13">
        <v>110000</v>
      </c>
      <c r="F1450" s="14">
        <v>220370</v>
      </c>
    </row>
    <row r="1451" spans="1:6" x14ac:dyDescent="0.3">
      <c r="A1451" s="8">
        <v>1449</v>
      </c>
      <c r="B1451" s="8" t="s">
        <v>2303</v>
      </c>
      <c r="C1451" s="8" t="s">
        <v>3051</v>
      </c>
      <c r="D1451" s="8" t="s">
        <v>3052</v>
      </c>
      <c r="E1451" s="13">
        <v>42300</v>
      </c>
      <c r="F1451" s="14">
        <v>85185</v>
      </c>
    </row>
    <row r="1452" spans="1:6" x14ac:dyDescent="0.3">
      <c r="A1452" s="8">
        <v>1450</v>
      </c>
      <c r="B1452" s="8" t="s">
        <v>2303</v>
      </c>
      <c r="C1452" s="8" t="s">
        <v>3053</v>
      </c>
      <c r="D1452" s="8" t="s">
        <v>3054</v>
      </c>
      <c r="E1452" s="13">
        <v>102000</v>
      </c>
      <c r="F1452" s="14">
        <v>203704</v>
      </c>
    </row>
    <row r="1453" spans="1:6" x14ac:dyDescent="0.3">
      <c r="A1453" s="8">
        <v>1451</v>
      </c>
      <c r="B1453" s="8" t="s">
        <v>2303</v>
      </c>
      <c r="C1453" s="8" t="s">
        <v>3055</v>
      </c>
      <c r="D1453" s="8" t="s">
        <v>3056</v>
      </c>
      <c r="E1453" s="13">
        <v>0</v>
      </c>
      <c r="F1453" s="14">
        <v>0</v>
      </c>
    </row>
    <row r="1454" spans="1:6" x14ac:dyDescent="0.3">
      <c r="A1454" s="8">
        <v>1452</v>
      </c>
      <c r="B1454" s="8" t="s">
        <v>2303</v>
      </c>
      <c r="C1454" s="8" t="s">
        <v>3057</v>
      </c>
      <c r="D1454" s="8" t="s">
        <v>3058</v>
      </c>
      <c r="E1454" s="13">
        <v>34800</v>
      </c>
      <c r="F1454" s="14">
        <v>69630</v>
      </c>
    </row>
    <row r="1455" spans="1:6" x14ac:dyDescent="0.3">
      <c r="A1455" s="8">
        <v>1453</v>
      </c>
      <c r="B1455" s="8" t="s">
        <v>2303</v>
      </c>
      <c r="C1455" s="8" t="s">
        <v>3059</v>
      </c>
      <c r="D1455" s="8" t="s">
        <v>3060</v>
      </c>
      <c r="E1455" s="13">
        <v>87500</v>
      </c>
      <c r="F1455" s="14">
        <v>175000</v>
      </c>
    </row>
    <row r="1456" spans="1:6" x14ac:dyDescent="0.3">
      <c r="A1456" s="8">
        <v>1454</v>
      </c>
      <c r="B1456" s="8" t="s">
        <v>2303</v>
      </c>
      <c r="C1456" s="8" t="s">
        <v>3061</v>
      </c>
      <c r="D1456" s="8" t="s">
        <v>3062</v>
      </c>
      <c r="E1456" s="13">
        <v>23000</v>
      </c>
      <c r="F1456" s="14">
        <v>46019</v>
      </c>
    </row>
    <row r="1457" spans="1:6" x14ac:dyDescent="0.3">
      <c r="A1457" s="8">
        <v>1455</v>
      </c>
      <c r="B1457" s="8" t="s">
        <v>2303</v>
      </c>
      <c r="C1457" s="8" t="s">
        <v>3063</v>
      </c>
      <c r="D1457" s="8" t="s">
        <v>3064</v>
      </c>
      <c r="E1457" s="13">
        <v>31000</v>
      </c>
      <c r="F1457" s="14">
        <v>62037</v>
      </c>
    </row>
    <row r="1458" spans="1:6" x14ac:dyDescent="0.3">
      <c r="A1458" s="8">
        <v>1456</v>
      </c>
      <c r="B1458" s="8" t="s">
        <v>2303</v>
      </c>
      <c r="C1458" s="8" t="s">
        <v>3065</v>
      </c>
      <c r="D1458" s="8" t="s">
        <v>3066</v>
      </c>
      <c r="E1458" s="13">
        <v>0</v>
      </c>
      <c r="F1458" s="14">
        <v>0</v>
      </c>
    </row>
    <row r="1459" spans="1:6" x14ac:dyDescent="0.3">
      <c r="A1459" s="8">
        <v>1457</v>
      </c>
      <c r="B1459" s="8" t="s">
        <v>2303</v>
      </c>
      <c r="C1459" s="8" t="s">
        <v>3067</v>
      </c>
      <c r="D1459" s="8" t="s">
        <v>3068</v>
      </c>
      <c r="E1459" s="13">
        <v>63000</v>
      </c>
      <c r="F1459" s="14">
        <v>125926</v>
      </c>
    </row>
    <row r="1460" spans="1:6" x14ac:dyDescent="0.3">
      <c r="A1460" s="8">
        <v>1458</v>
      </c>
      <c r="B1460" s="8" t="s">
        <v>2303</v>
      </c>
      <c r="C1460" s="8" t="s">
        <v>3069</v>
      </c>
      <c r="D1460" s="8" t="s">
        <v>3070</v>
      </c>
      <c r="E1460" s="13">
        <v>31000</v>
      </c>
      <c r="F1460" s="14">
        <v>62037</v>
      </c>
    </row>
    <row r="1461" spans="1:6" x14ac:dyDescent="0.3">
      <c r="A1461" s="8">
        <v>1459</v>
      </c>
      <c r="B1461" s="8" t="s">
        <v>2303</v>
      </c>
      <c r="C1461" s="8" t="s">
        <v>3071</v>
      </c>
      <c r="D1461" s="8" t="s">
        <v>3072</v>
      </c>
      <c r="E1461" s="13">
        <v>26500</v>
      </c>
      <c r="F1461" s="14">
        <v>52963</v>
      </c>
    </row>
    <row r="1462" spans="1:6" x14ac:dyDescent="0.3">
      <c r="A1462" s="8">
        <v>1460</v>
      </c>
      <c r="B1462" s="8" t="s">
        <v>2303</v>
      </c>
      <c r="C1462" s="8" t="s">
        <v>3073</v>
      </c>
      <c r="D1462" s="8" t="s">
        <v>3074</v>
      </c>
      <c r="E1462" s="13">
        <v>26500</v>
      </c>
      <c r="F1462" s="14">
        <v>52963</v>
      </c>
    </row>
    <row r="1463" spans="1:6" x14ac:dyDescent="0.3">
      <c r="A1463" s="8">
        <v>1461</v>
      </c>
      <c r="B1463" s="8" t="s">
        <v>2303</v>
      </c>
      <c r="C1463" s="8" t="s">
        <v>3075</v>
      </c>
      <c r="D1463" s="8" t="s">
        <v>3076</v>
      </c>
      <c r="E1463" s="13">
        <v>66400</v>
      </c>
      <c r="F1463" s="14">
        <v>132407</v>
      </c>
    </row>
    <row r="1464" spans="1:6" x14ac:dyDescent="0.3">
      <c r="A1464" s="8">
        <v>1462</v>
      </c>
      <c r="B1464" s="8" t="s">
        <v>2229</v>
      </c>
      <c r="C1464" s="8" t="s">
        <v>3077</v>
      </c>
      <c r="D1464" s="8" t="s">
        <v>3078</v>
      </c>
      <c r="E1464" s="13">
        <v>2800600</v>
      </c>
      <c r="F1464" s="14">
        <v>6111111</v>
      </c>
    </row>
    <row r="1465" spans="1:6" x14ac:dyDescent="0.3">
      <c r="A1465" s="8">
        <v>1463</v>
      </c>
      <c r="B1465" s="8" t="s">
        <v>2229</v>
      </c>
      <c r="C1465" s="8" t="s">
        <v>3079</v>
      </c>
      <c r="D1465" s="8" t="s">
        <v>3080</v>
      </c>
      <c r="E1465" s="13">
        <v>2540600</v>
      </c>
      <c r="F1465" s="14">
        <v>5870370</v>
      </c>
    </row>
    <row r="1466" spans="1:6" x14ac:dyDescent="0.3">
      <c r="A1466" s="8">
        <v>1464</v>
      </c>
      <c r="B1466" s="8" t="s">
        <v>2229</v>
      </c>
      <c r="C1466" s="8" t="s">
        <v>3081</v>
      </c>
      <c r="D1466" s="8" t="s">
        <v>3082</v>
      </c>
      <c r="E1466" s="13">
        <v>0</v>
      </c>
      <c r="F1466" s="14">
        <v>0</v>
      </c>
    </row>
    <row r="1467" spans="1:6" x14ac:dyDescent="0.3">
      <c r="A1467" s="8">
        <v>1465</v>
      </c>
      <c r="B1467" s="8" t="s">
        <v>2229</v>
      </c>
      <c r="C1467" s="8" t="s">
        <v>3083</v>
      </c>
      <c r="D1467" s="8" t="s">
        <v>3084</v>
      </c>
      <c r="E1467" s="13">
        <v>0</v>
      </c>
      <c r="F1467" s="14">
        <v>0</v>
      </c>
    </row>
    <row r="1468" spans="1:6" x14ac:dyDescent="0.3">
      <c r="A1468" s="8">
        <v>1466</v>
      </c>
      <c r="B1468" s="8" t="s">
        <v>2303</v>
      </c>
      <c r="C1468" s="8" t="s">
        <v>3085</v>
      </c>
      <c r="D1468" s="8" t="s">
        <v>3086</v>
      </c>
      <c r="E1468" s="13">
        <v>36600</v>
      </c>
      <c r="F1468" s="14">
        <v>63000</v>
      </c>
    </row>
    <row r="1469" spans="1:6" x14ac:dyDescent="0.3">
      <c r="A1469" s="8">
        <v>1467</v>
      </c>
      <c r="B1469" s="8" t="s">
        <v>2303</v>
      </c>
      <c r="C1469" s="8" t="s">
        <v>3087</v>
      </c>
      <c r="D1469" s="8" t="s">
        <v>3088</v>
      </c>
      <c r="E1469" s="13">
        <v>0</v>
      </c>
      <c r="F1469" s="14">
        <v>0</v>
      </c>
    </row>
    <row r="1470" spans="1:6" x14ac:dyDescent="0.3">
      <c r="A1470" s="8">
        <v>1468</v>
      </c>
      <c r="B1470" s="8" t="s">
        <v>2303</v>
      </c>
      <c r="C1470" s="8" t="s">
        <v>3089</v>
      </c>
      <c r="D1470" s="8" t="s">
        <v>3090</v>
      </c>
      <c r="E1470" s="13">
        <v>14500</v>
      </c>
      <c r="F1470" s="14">
        <v>28981</v>
      </c>
    </row>
    <row r="1471" spans="1:6" x14ac:dyDescent="0.3">
      <c r="A1471" s="8">
        <v>1469</v>
      </c>
      <c r="B1471" s="8" t="s">
        <v>2303</v>
      </c>
      <c r="C1471" s="8" t="s">
        <v>3091</v>
      </c>
      <c r="D1471" s="8" t="s">
        <v>3092</v>
      </c>
      <c r="E1471" s="13">
        <v>15300</v>
      </c>
      <c r="F1471" s="14">
        <v>26000</v>
      </c>
    </row>
    <row r="1472" spans="1:6" x14ac:dyDescent="0.3">
      <c r="A1472" s="8">
        <v>1470</v>
      </c>
      <c r="B1472" s="8" t="s">
        <v>2303</v>
      </c>
      <c r="C1472" s="8" t="s">
        <v>3093</v>
      </c>
      <c r="D1472" s="8" t="s">
        <v>3094</v>
      </c>
      <c r="E1472" s="13">
        <v>32100</v>
      </c>
      <c r="F1472" s="14">
        <v>55556</v>
      </c>
    </row>
    <row r="1473" spans="1:6" x14ac:dyDescent="0.3">
      <c r="A1473" s="8">
        <v>1471</v>
      </c>
      <c r="B1473" s="8" t="s">
        <v>2303</v>
      </c>
      <c r="C1473" s="8" t="s">
        <v>3095</v>
      </c>
      <c r="D1473" s="8" t="s">
        <v>3096</v>
      </c>
      <c r="E1473" s="13">
        <v>28000</v>
      </c>
      <c r="F1473" s="14">
        <v>48148</v>
      </c>
    </row>
    <row r="1474" spans="1:6" x14ac:dyDescent="0.3">
      <c r="A1474" s="8">
        <v>1472</v>
      </c>
      <c r="B1474" s="8" t="s">
        <v>2303</v>
      </c>
      <c r="C1474" s="8" t="s">
        <v>3097</v>
      </c>
      <c r="D1474" s="8" t="s">
        <v>3098</v>
      </c>
      <c r="E1474" s="13">
        <v>40000</v>
      </c>
      <c r="F1474" s="14">
        <v>79630</v>
      </c>
    </row>
    <row r="1475" spans="1:6" x14ac:dyDescent="0.3">
      <c r="A1475" s="8">
        <v>1473</v>
      </c>
      <c r="B1475" s="8" t="s">
        <v>2303</v>
      </c>
      <c r="C1475" s="8" t="s">
        <v>3099</v>
      </c>
      <c r="D1475" s="8" t="s">
        <v>3100</v>
      </c>
      <c r="E1475" s="13">
        <v>32500</v>
      </c>
      <c r="F1475" s="14">
        <v>64815</v>
      </c>
    </row>
    <row r="1476" spans="1:6" x14ac:dyDescent="0.3">
      <c r="A1476" s="8">
        <v>1474</v>
      </c>
      <c r="B1476" s="8" t="s">
        <v>2303</v>
      </c>
      <c r="C1476" s="8" t="s">
        <v>3101</v>
      </c>
      <c r="D1476" s="8" t="s">
        <v>3102</v>
      </c>
      <c r="E1476" s="13">
        <v>38000</v>
      </c>
      <c r="F1476" s="14">
        <v>76019</v>
      </c>
    </row>
    <row r="1477" spans="1:6" x14ac:dyDescent="0.3">
      <c r="A1477" s="8">
        <v>1475</v>
      </c>
      <c r="B1477" s="8" t="s">
        <v>2303</v>
      </c>
      <c r="C1477" s="8" t="s">
        <v>3103</v>
      </c>
      <c r="D1477" s="8" t="s">
        <v>3104</v>
      </c>
      <c r="E1477" s="13">
        <v>63000</v>
      </c>
      <c r="F1477" s="14">
        <v>125926</v>
      </c>
    </row>
    <row r="1478" spans="1:6" x14ac:dyDescent="0.3">
      <c r="A1478" s="8">
        <v>1476</v>
      </c>
      <c r="B1478" s="8" t="s">
        <v>2303</v>
      </c>
      <c r="C1478" s="8" t="s">
        <v>3105</v>
      </c>
      <c r="D1478" s="8" t="s">
        <v>3106</v>
      </c>
      <c r="E1478" s="13">
        <v>0</v>
      </c>
      <c r="F1478" s="14">
        <v>0</v>
      </c>
    </row>
    <row r="1479" spans="1:6" x14ac:dyDescent="0.3">
      <c r="A1479" s="8">
        <v>1477</v>
      </c>
      <c r="B1479" s="8" t="s">
        <v>2303</v>
      </c>
      <c r="C1479" s="8" t="s">
        <v>3107</v>
      </c>
      <c r="D1479" s="8" t="s">
        <v>3108</v>
      </c>
      <c r="E1479" s="13">
        <v>0</v>
      </c>
      <c r="F1479" s="14">
        <v>0</v>
      </c>
    </row>
    <row r="1480" spans="1:6" x14ac:dyDescent="0.3">
      <c r="A1480" s="8">
        <v>1478</v>
      </c>
      <c r="B1480" s="8" t="s">
        <v>2303</v>
      </c>
      <c r="C1480" s="8" t="s">
        <v>3109</v>
      </c>
      <c r="D1480" s="8" t="s">
        <v>3110</v>
      </c>
      <c r="E1480" s="13">
        <v>0</v>
      </c>
      <c r="F1480" s="14">
        <v>0</v>
      </c>
    </row>
    <row r="1481" spans="1:6" x14ac:dyDescent="0.3">
      <c r="A1481" s="8">
        <v>1479</v>
      </c>
      <c r="B1481" s="8" t="s">
        <v>2303</v>
      </c>
      <c r="C1481" s="8" t="s">
        <v>3111</v>
      </c>
      <c r="D1481" s="8" t="s">
        <v>3112</v>
      </c>
      <c r="E1481" s="13">
        <v>0</v>
      </c>
      <c r="F1481" s="14">
        <v>0</v>
      </c>
    </row>
    <row r="1482" spans="1:6" x14ac:dyDescent="0.3">
      <c r="A1482" s="8">
        <v>1480</v>
      </c>
      <c r="B1482" s="8" t="s">
        <v>2303</v>
      </c>
      <c r="C1482" s="8" t="s">
        <v>3113</v>
      </c>
      <c r="D1482" s="8" t="s">
        <v>3114</v>
      </c>
      <c r="E1482" s="13">
        <v>140000</v>
      </c>
      <c r="F1482" s="14">
        <v>279630</v>
      </c>
    </row>
    <row r="1483" spans="1:6" x14ac:dyDescent="0.3">
      <c r="A1483" s="8">
        <v>1481</v>
      </c>
      <c r="B1483" s="8" t="s">
        <v>2303</v>
      </c>
      <c r="C1483" s="8" t="s">
        <v>3115</v>
      </c>
      <c r="D1483" s="8" t="s">
        <v>3116</v>
      </c>
      <c r="E1483" s="13">
        <v>34200</v>
      </c>
      <c r="F1483" s="14">
        <v>67593</v>
      </c>
    </row>
    <row r="1484" spans="1:6" x14ac:dyDescent="0.3">
      <c r="A1484" s="8">
        <v>1482</v>
      </c>
      <c r="B1484" s="8" t="s">
        <v>2303</v>
      </c>
      <c r="C1484" s="8" t="s">
        <v>3117</v>
      </c>
      <c r="D1484" s="8" t="s">
        <v>3118</v>
      </c>
      <c r="E1484" s="13">
        <v>38000</v>
      </c>
      <c r="F1484" s="14">
        <v>76019</v>
      </c>
    </row>
    <row r="1485" spans="1:6" x14ac:dyDescent="0.3">
      <c r="A1485" s="8">
        <v>1483</v>
      </c>
      <c r="B1485" s="8" t="s">
        <v>2303</v>
      </c>
      <c r="C1485" s="8" t="s">
        <v>3119</v>
      </c>
      <c r="D1485" s="8" t="s">
        <v>3120</v>
      </c>
      <c r="E1485" s="13">
        <v>87500</v>
      </c>
      <c r="F1485" s="14">
        <v>175000</v>
      </c>
    </row>
    <row r="1486" spans="1:6" x14ac:dyDescent="0.3">
      <c r="A1486" s="8">
        <v>1484</v>
      </c>
      <c r="B1486" s="8" t="s">
        <v>2303</v>
      </c>
      <c r="C1486" s="8" t="s">
        <v>3121</v>
      </c>
      <c r="D1486" s="8" t="s">
        <v>3122</v>
      </c>
      <c r="E1486" s="13">
        <v>44800</v>
      </c>
      <c r="F1486" s="14">
        <v>89630</v>
      </c>
    </row>
    <row r="1487" spans="1:6" x14ac:dyDescent="0.3">
      <c r="A1487" s="8">
        <v>1485</v>
      </c>
      <c r="B1487" s="8" t="s">
        <v>2303</v>
      </c>
      <c r="C1487" s="8" t="s">
        <v>3123</v>
      </c>
      <c r="D1487" s="8" t="s">
        <v>3124</v>
      </c>
      <c r="E1487" s="13">
        <v>48000</v>
      </c>
      <c r="F1487" s="14">
        <v>96019</v>
      </c>
    </row>
    <row r="1488" spans="1:6" x14ac:dyDescent="0.3">
      <c r="A1488" s="8">
        <v>1486</v>
      </c>
      <c r="B1488" s="8" t="s">
        <v>2303</v>
      </c>
      <c r="C1488" s="8" t="s">
        <v>3125</v>
      </c>
      <c r="D1488" s="8" t="s">
        <v>3126</v>
      </c>
      <c r="E1488" s="13">
        <v>33800</v>
      </c>
      <c r="F1488" s="14">
        <v>67593</v>
      </c>
    </row>
    <row r="1489" spans="1:6" x14ac:dyDescent="0.3">
      <c r="A1489" s="8">
        <v>1487</v>
      </c>
      <c r="B1489" s="8" t="s">
        <v>2229</v>
      </c>
      <c r="C1489" s="8" t="s">
        <v>3127</v>
      </c>
      <c r="D1489" s="8" t="s">
        <v>3128</v>
      </c>
      <c r="E1489" s="13">
        <v>0</v>
      </c>
      <c r="F1489" s="14">
        <v>3550000</v>
      </c>
    </row>
    <row r="1490" spans="1:6" x14ac:dyDescent="0.3">
      <c r="A1490" s="8">
        <v>1488</v>
      </c>
      <c r="B1490" s="8" t="s">
        <v>2229</v>
      </c>
      <c r="C1490" s="8" t="s">
        <v>3129</v>
      </c>
      <c r="D1490" s="8" t="s">
        <v>3130</v>
      </c>
      <c r="E1490" s="13">
        <v>4308890</v>
      </c>
      <c r="F1490" s="14">
        <v>8381481</v>
      </c>
    </row>
    <row r="1491" spans="1:6" x14ac:dyDescent="0.3">
      <c r="A1491" s="8">
        <v>1489</v>
      </c>
      <c r="B1491" s="8" t="s">
        <v>2229</v>
      </c>
      <c r="C1491" s="8" t="s">
        <v>3131</v>
      </c>
      <c r="D1491" s="8" t="s">
        <v>3132</v>
      </c>
      <c r="E1491" s="13">
        <v>5685200</v>
      </c>
      <c r="F1491" s="14">
        <v>9289815</v>
      </c>
    </row>
    <row r="1492" spans="1:6" x14ac:dyDescent="0.3">
      <c r="A1492" s="8">
        <v>1490</v>
      </c>
      <c r="B1492" s="8" t="s">
        <v>2229</v>
      </c>
      <c r="C1492" s="8" t="s">
        <v>3133</v>
      </c>
      <c r="D1492" s="8" t="s">
        <v>3134</v>
      </c>
      <c r="E1492" s="13">
        <v>5685200</v>
      </c>
      <c r="F1492" s="14">
        <v>9289815</v>
      </c>
    </row>
    <row r="1493" spans="1:6" x14ac:dyDescent="0.3">
      <c r="A1493" s="8">
        <v>1491</v>
      </c>
      <c r="B1493" s="8" t="s">
        <v>2229</v>
      </c>
      <c r="C1493" s="8" t="s">
        <v>3135</v>
      </c>
      <c r="D1493" s="8" t="s">
        <v>3136</v>
      </c>
      <c r="E1493" s="13">
        <v>2862200</v>
      </c>
      <c r="F1493" s="14">
        <v>5567593</v>
      </c>
    </row>
    <row r="1494" spans="1:6" x14ac:dyDescent="0.3">
      <c r="A1494" s="8">
        <v>1492</v>
      </c>
      <c r="B1494" s="8" t="s">
        <v>2229</v>
      </c>
      <c r="C1494" s="8" t="s">
        <v>3137</v>
      </c>
      <c r="D1494" s="8" t="s">
        <v>3138</v>
      </c>
      <c r="E1494" s="13">
        <v>0</v>
      </c>
      <c r="F1494" s="14">
        <v>0</v>
      </c>
    </row>
    <row r="1495" spans="1:6" x14ac:dyDescent="0.3">
      <c r="A1495" s="8">
        <v>1493</v>
      </c>
      <c r="B1495" s="8" t="s">
        <v>2303</v>
      </c>
      <c r="C1495" s="8" t="s">
        <v>3139</v>
      </c>
      <c r="D1495" s="8" t="s">
        <v>3140</v>
      </c>
      <c r="E1495" s="13">
        <v>0</v>
      </c>
      <c r="F1495" s="14">
        <v>0</v>
      </c>
    </row>
    <row r="1496" spans="1:6" x14ac:dyDescent="0.3">
      <c r="A1496" s="8">
        <v>1494</v>
      </c>
      <c r="B1496" s="8" t="s">
        <v>2303</v>
      </c>
      <c r="C1496" s="8" t="s">
        <v>3141</v>
      </c>
      <c r="D1496" s="8" t="s">
        <v>3142</v>
      </c>
      <c r="E1496" s="13">
        <v>51000</v>
      </c>
      <c r="F1496" s="14">
        <v>101852</v>
      </c>
    </row>
    <row r="1497" spans="1:6" x14ac:dyDescent="0.3">
      <c r="A1497" s="8">
        <v>1495</v>
      </c>
      <c r="B1497" s="8" t="s">
        <v>2303</v>
      </c>
      <c r="C1497" s="8" t="s">
        <v>3143</v>
      </c>
      <c r="D1497" s="8" t="s">
        <v>3144</v>
      </c>
      <c r="E1497" s="13">
        <v>14500</v>
      </c>
      <c r="F1497" s="14">
        <v>28981</v>
      </c>
    </row>
    <row r="1498" spans="1:6" x14ac:dyDescent="0.3">
      <c r="A1498" s="8">
        <v>1496</v>
      </c>
      <c r="B1498" s="8" t="s">
        <v>2303</v>
      </c>
      <c r="C1498" s="8" t="s">
        <v>3145</v>
      </c>
      <c r="D1498" s="8" t="s">
        <v>3146</v>
      </c>
      <c r="E1498" s="13">
        <v>38000</v>
      </c>
      <c r="F1498" s="14">
        <v>76019</v>
      </c>
    </row>
    <row r="1499" spans="1:6" x14ac:dyDescent="0.3">
      <c r="A1499" s="8">
        <v>1497</v>
      </c>
      <c r="B1499" s="8" t="s">
        <v>2303</v>
      </c>
      <c r="C1499" s="8" t="s">
        <v>3147</v>
      </c>
      <c r="D1499" s="8" t="s">
        <v>3148</v>
      </c>
      <c r="E1499" s="13">
        <v>48000</v>
      </c>
      <c r="F1499" s="14">
        <v>96019</v>
      </c>
    </row>
    <row r="1500" spans="1:6" x14ac:dyDescent="0.3">
      <c r="A1500" s="8">
        <v>1498</v>
      </c>
      <c r="B1500" s="8" t="s">
        <v>2303</v>
      </c>
      <c r="C1500" s="8" t="s">
        <v>3149</v>
      </c>
      <c r="D1500" s="8" t="s">
        <v>3150</v>
      </c>
      <c r="E1500" s="13">
        <v>26500</v>
      </c>
      <c r="F1500" s="14">
        <v>52963</v>
      </c>
    </row>
    <row r="1501" spans="1:6" x14ac:dyDescent="0.3">
      <c r="A1501" s="8">
        <v>1499</v>
      </c>
      <c r="B1501" s="8" t="s">
        <v>2303</v>
      </c>
      <c r="C1501" s="8" t="s">
        <v>3151</v>
      </c>
      <c r="D1501" s="8" t="s">
        <v>3152</v>
      </c>
      <c r="E1501" s="13">
        <v>0</v>
      </c>
      <c r="F1501" s="14">
        <v>0</v>
      </c>
    </row>
    <row r="1502" spans="1:6" x14ac:dyDescent="0.3">
      <c r="A1502" s="8">
        <v>1500</v>
      </c>
      <c r="B1502" s="8" t="s">
        <v>2303</v>
      </c>
      <c r="C1502" s="8" t="s">
        <v>3153</v>
      </c>
      <c r="D1502" s="8" t="s">
        <v>3154</v>
      </c>
      <c r="E1502" s="13">
        <v>26500</v>
      </c>
      <c r="F1502" s="14">
        <v>52963</v>
      </c>
    </row>
    <row r="1503" spans="1:6" x14ac:dyDescent="0.3">
      <c r="A1503" s="8">
        <v>1501</v>
      </c>
      <c r="B1503" s="8" t="s">
        <v>2303</v>
      </c>
      <c r="C1503" s="8" t="s">
        <v>3155</v>
      </c>
      <c r="D1503" s="8" t="s">
        <v>3156</v>
      </c>
      <c r="E1503" s="13">
        <v>38000</v>
      </c>
      <c r="F1503" s="14">
        <v>76019</v>
      </c>
    </row>
    <row r="1504" spans="1:6" x14ac:dyDescent="0.3">
      <c r="A1504" s="8">
        <v>1502</v>
      </c>
      <c r="B1504" s="8" t="s">
        <v>2303</v>
      </c>
      <c r="C1504" s="8" t="s">
        <v>3157</v>
      </c>
      <c r="D1504" s="8" t="s">
        <v>3158</v>
      </c>
      <c r="E1504" s="13">
        <v>0</v>
      </c>
      <c r="F1504" s="14">
        <v>0</v>
      </c>
    </row>
    <row r="1505" spans="1:6" x14ac:dyDescent="0.3">
      <c r="A1505" s="8">
        <v>1503</v>
      </c>
      <c r="B1505" s="8" t="s">
        <v>2303</v>
      </c>
      <c r="C1505" s="8" t="s">
        <v>3159</v>
      </c>
      <c r="D1505" s="8" t="s">
        <v>3160</v>
      </c>
      <c r="E1505" s="13">
        <v>0</v>
      </c>
      <c r="F1505" s="14">
        <v>0</v>
      </c>
    </row>
    <row r="1506" spans="1:6" x14ac:dyDescent="0.3">
      <c r="A1506" s="8">
        <v>1504</v>
      </c>
      <c r="B1506" s="8" t="s">
        <v>2792</v>
      </c>
      <c r="C1506" s="8" t="s">
        <v>3161</v>
      </c>
      <c r="D1506" s="8" t="s">
        <v>3162</v>
      </c>
      <c r="E1506" s="13">
        <v>829800</v>
      </c>
      <c r="F1506" s="14">
        <v>1446000</v>
      </c>
    </row>
    <row r="1507" spans="1:6" x14ac:dyDescent="0.3">
      <c r="A1507" s="8">
        <v>1505</v>
      </c>
      <c r="B1507" s="8" t="s">
        <v>2792</v>
      </c>
      <c r="C1507" s="8" t="s">
        <v>3163</v>
      </c>
      <c r="D1507" s="8" t="s">
        <v>3164</v>
      </c>
      <c r="E1507" s="13">
        <v>1150800</v>
      </c>
      <c r="F1507" s="14">
        <v>2006000</v>
      </c>
    </row>
    <row r="1508" spans="1:6" x14ac:dyDescent="0.3">
      <c r="A1508" s="8">
        <v>1506</v>
      </c>
      <c r="B1508" s="8" t="s">
        <v>2792</v>
      </c>
      <c r="C1508" s="8" t="s">
        <v>3165</v>
      </c>
      <c r="D1508" s="8" t="s">
        <v>3166</v>
      </c>
      <c r="E1508" s="13">
        <v>1283000</v>
      </c>
      <c r="F1508" s="14">
        <v>1341667</v>
      </c>
    </row>
    <row r="1509" spans="1:6" x14ac:dyDescent="0.3">
      <c r="A1509" s="8">
        <v>1507</v>
      </c>
      <c r="B1509" s="8" t="s">
        <v>2792</v>
      </c>
      <c r="C1509" s="8" t="s">
        <v>3167</v>
      </c>
      <c r="D1509" s="8" t="s">
        <v>3168</v>
      </c>
      <c r="E1509" s="13">
        <v>1648800</v>
      </c>
      <c r="F1509" s="14">
        <v>2874074</v>
      </c>
    </row>
    <row r="1510" spans="1:6" x14ac:dyDescent="0.3">
      <c r="A1510" s="8">
        <v>1508</v>
      </c>
      <c r="B1510" s="8" t="s">
        <v>2792</v>
      </c>
      <c r="C1510" s="8" t="s">
        <v>3169</v>
      </c>
      <c r="D1510" s="8" t="s">
        <v>3170</v>
      </c>
      <c r="E1510" s="13">
        <v>3098000</v>
      </c>
      <c r="F1510" s="14">
        <v>3239815</v>
      </c>
    </row>
    <row r="1511" spans="1:6" x14ac:dyDescent="0.3">
      <c r="A1511" s="8">
        <v>1509</v>
      </c>
      <c r="B1511" s="8" t="s">
        <v>2792</v>
      </c>
      <c r="C1511" s="8" t="s">
        <v>3171</v>
      </c>
      <c r="D1511" s="8" t="s">
        <v>3172</v>
      </c>
      <c r="E1511" s="13">
        <v>0</v>
      </c>
      <c r="F1511" s="14">
        <v>0</v>
      </c>
    </row>
    <row r="1512" spans="1:6" x14ac:dyDescent="0.3">
      <c r="A1512" s="8">
        <v>1510</v>
      </c>
      <c r="B1512" s="8" t="s">
        <v>2792</v>
      </c>
      <c r="C1512" s="8" t="s">
        <v>3173</v>
      </c>
      <c r="D1512" s="8" t="s">
        <v>3174</v>
      </c>
      <c r="E1512" s="13">
        <v>0</v>
      </c>
      <c r="F1512" s="14">
        <v>0</v>
      </c>
    </row>
    <row r="1513" spans="1:6" x14ac:dyDescent="0.3">
      <c r="A1513" s="8">
        <v>1511</v>
      </c>
      <c r="B1513" s="8" t="s">
        <v>2303</v>
      </c>
      <c r="C1513" s="8" t="s">
        <v>3175</v>
      </c>
      <c r="D1513" s="8" t="s">
        <v>3176</v>
      </c>
      <c r="E1513" s="13">
        <v>0</v>
      </c>
      <c r="F1513" s="14">
        <v>0</v>
      </c>
    </row>
    <row r="1514" spans="1:6" x14ac:dyDescent="0.3">
      <c r="A1514" s="8">
        <v>1512</v>
      </c>
      <c r="B1514" s="8" t="s">
        <v>2303</v>
      </c>
      <c r="C1514" s="8" t="s">
        <v>3177</v>
      </c>
      <c r="D1514" s="8" t="s">
        <v>3178</v>
      </c>
      <c r="E1514" s="13">
        <v>189000</v>
      </c>
      <c r="F1514" s="14">
        <v>377778</v>
      </c>
    </row>
    <row r="1515" spans="1:6" x14ac:dyDescent="0.3">
      <c r="A1515" s="8">
        <v>1513</v>
      </c>
      <c r="B1515" s="8" t="s">
        <v>2303</v>
      </c>
      <c r="C1515" s="8" t="s">
        <v>3179</v>
      </c>
      <c r="D1515" s="8" t="s">
        <v>3180</v>
      </c>
      <c r="E1515" s="13">
        <v>31000</v>
      </c>
      <c r="F1515" s="14">
        <v>62037</v>
      </c>
    </row>
    <row r="1516" spans="1:6" x14ac:dyDescent="0.3">
      <c r="A1516" s="8">
        <v>1514</v>
      </c>
      <c r="B1516" s="8" t="s">
        <v>2303</v>
      </c>
      <c r="C1516" s="8" t="s">
        <v>3181</v>
      </c>
      <c r="D1516" s="8" t="s">
        <v>3182</v>
      </c>
      <c r="E1516" s="13">
        <v>38000</v>
      </c>
      <c r="F1516" s="14">
        <v>76019</v>
      </c>
    </row>
    <row r="1517" spans="1:6" x14ac:dyDescent="0.3">
      <c r="A1517" s="8">
        <v>1515</v>
      </c>
      <c r="B1517" s="8" t="s">
        <v>2303</v>
      </c>
      <c r="C1517" s="8" t="s">
        <v>3183</v>
      </c>
      <c r="D1517" s="8" t="s">
        <v>3184</v>
      </c>
      <c r="E1517" s="13">
        <v>48000</v>
      </c>
      <c r="F1517" s="14">
        <v>96019</v>
      </c>
    </row>
    <row r="1518" spans="1:6" x14ac:dyDescent="0.3">
      <c r="A1518" s="8">
        <v>1516</v>
      </c>
      <c r="B1518" s="8" t="s">
        <v>2303</v>
      </c>
      <c r="C1518" s="8" t="s">
        <v>3185</v>
      </c>
      <c r="D1518" s="8" t="s">
        <v>3186</v>
      </c>
      <c r="E1518" s="13">
        <v>84600</v>
      </c>
      <c r="F1518" s="14">
        <v>169444</v>
      </c>
    </row>
    <row r="1519" spans="1:6" x14ac:dyDescent="0.3">
      <c r="A1519" s="8">
        <v>1517</v>
      </c>
      <c r="B1519" s="8" t="s">
        <v>2303</v>
      </c>
      <c r="C1519" s="8" t="s">
        <v>3187</v>
      </c>
      <c r="D1519" s="8" t="s">
        <v>3188</v>
      </c>
      <c r="E1519" s="13">
        <v>38000</v>
      </c>
      <c r="F1519" s="14">
        <v>76019</v>
      </c>
    </row>
    <row r="1520" spans="1:6" x14ac:dyDescent="0.3">
      <c r="A1520" s="8">
        <v>1518</v>
      </c>
      <c r="B1520" s="8" t="s">
        <v>2303</v>
      </c>
      <c r="C1520" s="8" t="s">
        <v>3189</v>
      </c>
      <c r="D1520" s="8" t="s">
        <v>3190</v>
      </c>
      <c r="E1520" s="13">
        <v>0</v>
      </c>
      <c r="F1520" s="14">
        <v>0</v>
      </c>
    </row>
    <row r="1521" spans="1:6" x14ac:dyDescent="0.3">
      <c r="A1521" s="8">
        <v>1519</v>
      </c>
      <c r="B1521" s="8" t="s">
        <v>2792</v>
      </c>
      <c r="C1521" s="8" t="s">
        <v>3191</v>
      </c>
      <c r="D1521" s="8" t="s">
        <v>3192</v>
      </c>
      <c r="E1521" s="13">
        <v>137500</v>
      </c>
      <c r="F1521" s="14">
        <v>248000</v>
      </c>
    </row>
    <row r="1522" spans="1:6" x14ac:dyDescent="0.3">
      <c r="A1522" s="8">
        <v>1520</v>
      </c>
      <c r="B1522" s="8" t="s">
        <v>2792</v>
      </c>
      <c r="C1522" s="8" t="s">
        <v>3193</v>
      </c>
      <c r="D1522" s="8" t="s">
        <v>3194</v>
      </c>
      <c r="E1522" s="13">
        <v>0</v>
      </c>
      <c r="F1522" s="14">
        <v>6100000</v>
      </c>
    </row>
    <row r="1523" spans="1:6" x14ac:dyDescent="0.3">
      <c r="A1523" s="8">
        <v>1521</v>
      </c>
      <c r="B1523" s="8" t="s">
        <v>2792</v>
      </c>
      <c r="C1523" s="8" t="s">
        <v>3195</v>
      </c>
      <c r="D1523" s="8" t="s">
        <v>3196</v>
      </c>
      <c r="E1523" s="13">
        <v>0</v>
      </c>
      <c r="F1523" s="14">
        <v>0</v>
      </c>
    </row>
    <row r="1524" spans="1:6" x14ac:dyDescent="0.3">
      <c r="A1524" s="8">
        <v>1522</v>
      </c>
      <c r="B1524" s="8" t="s">
        <v>2792</v>
      </c>
      <c r="C1524" s="8" t="s">
        <v>3197</v>
      </c>
      <c r="D1524" s="8" t="s">
        <v>3198</v>
      </c>
      <c r="E1524" s="13">
        <v>0</v>
      </c>
      <c r="F1524" s="14">
        <v>6500000</v>
      </c>
    </row>
    <row r="1525" spans="1:6" x14ac:dyDescent="0.3">
      <c r="A1525" s="8">
        <v>1523</v>
      </c>
      <c r="B1525" s="8" t="s">
        <v>2792</v>
      </c>
      <c r="C1525" s="8" t="s">
        <v>3199</v>
      </c>
      <c r="D1525" s="8" t="s">
        <v>3200</v>
      </c>
      <c r="E1525" s="13">
        <v>0</v>
      </c>
      <c r="F1525" s="14">
        <v>4300000</v>
      </c>
    </row>
    <row r="1526" spans="1:6" x14ac:dyDescent="0.3">
      <c r="A1526" s="8">
        <v>1524</v>
      </c>
      <c r="B1526" s="8" t="s">
        <v>2792</v>
      </c>
      <c r="C1526" s="8" t="s">
        <v>3201</v>
      </c>
      <c r="D1526" s="8" t="s">
        <v>3202</v>
      </c>
      <c r="E1526" s="13">
        <v>0</v>
      </c>
      <c r="F1526" s="14">
        <v>3190000</v>
      </c>
    </row>
    <row r="1527" spans="1:6" x14ac:dyDescent="0.3">
      <c r="A1527" s="8">
        <v>1525</v>
      </c>
      <c r="B1527" s="8" t="s">
        <v>2792</v>
      </c>
      <c r="C1527" s="8" t="s">
        <v>3203</v>
      </c>
      <c r="D1527" s="8" t="s">
        <v>3204</v>
      </c>
      <c r="E1527" s="13">
        <v>829000</v>
      </c>
      <c r="F1527" s="14">
        <v>1658333</v>
      </c>
    </row>
    <row r="1528" spans="1:6" x14ac:dyDescent="0.3">
      <c r="A1528" s="8">
        <v>1526</v>
      </c>
      <c r="B1528" s="8" t="s">
        <v>2792</v>
      </c>
      <c r="C1528" s="8" t="s">
        <v>3205</v>
      </c>
      <c r="D1528" s="8" t="s">
        <v>3206</v>
      </c>
      <c r="E1528" s="13">
        <v>1602000</v>
      </c>
      <c r="F1528" s="14">
        <v>3203704</v>
      </c>
    </row>
    <row r="1529" spans="1:6" x14ac:dyDescent="0.3">
      <c r="A1529" s="8">
        <v>1527</v>
      </c>
      <c r="B1529" s="8" t="s">
        <v>2792</v>
      </c>
      <c r="C1529" s="8" t="s">
        <v>3207</v>
      </c>
      <c r="D1529" s="8" t="s">
        <v>3208</v>
      </c>
      <c r="E1529" s="13">
        <v>0</v>
      </c>
      <c r="F1529" s="14">
        <v>0</v>
      </c>
    </row>
    <row r="1530" spans="1:6" x14ac:dyDescent="0.3">
      <c r="A1530" s="8">
        <v>1528</v>
      </c>
      <c r="B1530" s="8" t="s">
        <v>2792</v>
      </c>
      <c r="C1530" s="8" t="s">
        <v>3209</v>
      </c>
      <c r="D1530" s="8" t="s">
        <v>3210</v>
      </c>
      <c r="E1530" s="13">
        <v>0</v>
      </c>
      <c r="F1530" s="14">
        <v>0</v>
      </c>
    </row>
    <row r="1531" spans="1:6" x14ac:dyDescent="0.3">
      <c r="A1531" s="8">
        <v>1529</v>
      </c>
      <c r="B1531" s="8" t="s">
        <v>2792</v>
      </c>
      <c r="C1531" s="8" t="s">
        <v>3211</v>
      </c>
      <c r="D1531" s="8" t="s">
        <v>3212</v>
      </c>
      <c r="E1531" s="13">
        <v>698000</v>
      </c>
      <c r="F1531" s="14">
        <v>1165741</v>
      </c>
    </row>
    <row r="1532" spans="1:6" x14ac:dyDescent="0.3">
      <c r="A1532" s="8">
        <v>1530</v>
      </c>
      <c r="B1532" s="8" t="s">
        <v>2792</v>
      </c>
      <c r="C1532" s="8" t="s">
        <v>3213</v>
      </c>
      <c r="D1532" s="8" t="s">
        <v>3214</v>
      </c>
      <c r="E1532" s="13">
        <v>0</v>
      </c>
      <c r="F1532" s="14">
        <v>0</v>
      </c>
    </row>
    <row r="1533" spans="1:6" x14ac:dyDescent="0.3">
      <c r="A1533" s="8">
        <v>1531</v>
      </c>
      <c r="B1533" s="8" t="s">
        <v>2792</v>
      </c>
      <c r="C1533" s="8" t="s">
        <v>3215</v>
      </c>
      <c r="D1533" s="8" t="s">
        <v>3216</v>
      </c>
      <c r="E1533" s="13">
        <v>0</v>
      </c>
      <c r="F1533" s="14">
        <v>3740000</v>
      </c>
    </row>
    <row r="1534" spans="1:6" x14ac:dyDescent="0.3">
      <c r="A1534" s="8">
        <v>1532</v>
      </c>
      <c r="B1534" s="8" t="s">
        <v>2792</v>
      </c>
      <c r="C1534" s="8" t="s">
        <v>3217</v>
      </c>
      <c r="D1534" s="8" t="s">
        <v>3218</v>
      </c>
      <c r="E1534" s="13">
        <v>4162000</v>
      </c>
      <c r="F1534" s="14">
        <v>8324074</v>
      </c>
    </row>
    <row r="1535" spans="1:6" x14ac:dyDescent="0.3">
      <c r="A1535" s="8">
        <v>1533</v>
      </c>
      <c r="B1535" s="8" t="s">
        <v>2792</v>
      </c>
      <c r="C1535" s="8" t="s">
        <v>3219</v>
      </c>
      <c r="D1535" s="8" t="s">
        <v>3220</v>
      </c>
      <c r="E1535" s="13">
        <v>2371000</v>
      </c>
      <c r="F1535" s="14">
        <v>4741667</v>
      </c>
    </row>
    <row r="1536" spans="1:6" x14ac:dyDescent="0.3">
      <c r="A1536" s="8">
        <v>1534</v>
      </c>
      <c r="B1536" s="8" t="s">
        <v>2792</v>
      </c>
      <c r="C1536" s="8" t="s">
        <v>3221</v>
      </c>
      <c r="D1536" s="8" t="s">
        <v>3222</v>
      </c>
      <c r="E1536" s="13">
        <v>210000</v>
      </c>
      <c r="F1536" s="14">
        <v>420370</v>
      </c>
    </row>
    <row r="1537" spans="1:6" x14ac:dyDescent="0.3">
      <c r="A1537" s="8">
        <v>1535</v>
      </c>
      <c r="B1537" s="8" t="s">
        <v>1259</v>
      </c>
      <c r="C1537" s="8" t="s">
        <v>3223</v>
      </c>
      <c r="D1537" s="8" t="s">
        <v>3224</v>
      </c>
      <c r="E1537" s="13">
        <v>0</v>
      </c>
      <c r="F1537" s="14">
        <v>0</v>
      </c>
    </row>
    <row r="1538" spans="1:6" x14ac:dyDescent="0.3">
      <c r="A1538" s="8">
        <v>1536</v>
      </c>
      <c r="B1538" s="8" t="s">
        <v>1280</v>
      </c>
      <c r="C1538" s="8" t="s">
        <v>3225</v>
      </c>
      <c r="D1538" s="8" t="s">
        <v>3226</v>
      </c>
      <c r="E1538" s="13">
        <v>267000</v>
      </c>
      <c r="F1538" s="14">
        <v>460000</v>
      </c>
    </row>
    <row r="1539" spans="1:6" x14ac:dyDescent="0.3">
      <c r="A1539" s="8">
        <v>1537</v>
      </c>
      <c r="B1539" s="8" t="s">
        <v>1280</v>
      </c>
      <c r="C1539" s="8" t="s">
        <v>3227</v>
      </c>
      <c r="D1539" s="8" t="s">
        <v>3228</v>
      </c>
      <c r="E1539" s="13">
        <v>0</v>
      </c>
      <c r="F1539" s="14">
        <v>0</v>
      </c>
    </row>
    <row r="1540" spans="1:6" x14ac:dyDescent="0.3">
      <c r="A1540" s="8">
        <v>1538</v>
      </c>
      <c r="B1540" s="8" t="s">
        <v>1280</v>
      </c>
      <c r="C1540" s="8" t="s">
        <v>3229</v>
      </c>
      <c r="D1540" s="8" t="s">
        <v>3230</v>
      </c>
      <c r="E1540" s="13">
        <v>0</v>
      </c>
      <c r="F1540" s="14">
        <v>0</v>
      </c>
    </row>
    <row r="1541" spans="1:6" x14ac:dyDescent="0.3">
      <c r="A1541" s="8">
        <v>1539</v>
      </c>
      <c r="B1541" s="8" t="s">
        <v>1280</v>
      </c>
      <c r="C1541" s="8" t="s">
        <v>3231</v>
      </c>
      <c r="D1541" s="8" t="s">
        <v>3232</v>
      </c>
      <c r="E1541" s="13">
        <v>81600</v>
      </c>
      <c r="F1541" s="14">
        <v>140000</v>
      </c>
    </row>
    <row r="1542" spans="1:6" x14ac:dyDescent="0.3">
      <c r="A1542" s="8">
        <v>1540</v>
      </c>
      <c r="B1542" s="8" t="s">
        <v>1293</v>
      </c>
      <c r="C1542" s="8" t="s">
        <v>3233</v>
      </c>
      <c r="D1542" s="8" t="s">
        <v>3234</v>
      </c>
      <c r="E1542" s="13">
        <v>0</v>
      </c>
      <c r="F1542" s="14">
        <v>0</v>
      </c>
    </row>
    <row r="1543" spans="1:6" x14ac:dyDescent="0.3">
      <c r="A1543" s="8">
        <v>1541</v>
      </c>
      <c r="B1543" s="8" t="s">
        <v>1293</v>
      </c>
      <c r="C1543" s="8" t="s">
        <v>3235</v>
      </c>
      <c r="D1543" s="8" t="s">
        <v>3236</v>
      </c>
      <c r="E1543" s="13">
        <v>209000</v>
      </c>
      <c r="F1543" s="14">
        <v>417593</v>
      </c>
    </row>
    <row r="1544" spans="1:6" x14ac:dyDescent="0.3">
      <c r="A1544" s="8">
        <v>1542</v>
      </c>
      <c r="B1544" s="8" t="s">
        <v>1293</v>
      </c>
      <c r="C1544" s="8" t="s">
        <v>3237</v>
      </c>
      <c r="D1544" s="8" t="s">
        <v>3238</v>
      </c>
      <c r="E1544" s="13">
        <v>356500</v>
      </c>
      <c r="F1544" s="14">
        <v>712963</v>
      </c>
    </row>
    <row r="1545" spans="1:6" x14ac:dyDescent="0.3">
      <c r="A1545" s="8">
        <v>1543</v>
      </c>
      <c r="B1545" s="8" t="s">
        <v>1293</v>
      </c>
      <c r="C1545" s="8" t="s">
        <v>3239</v>
      </c>
      <c r="D1545" s="8" t="s">
        <v>3240</v>
      </c>
      <c r="E1545" s="13">
        <v>143000</v>
      </c>
      <c r="F1545" s="14">
        <v>286111</v>
      </c>
    </row>
    <row r="1546" spans="1:6" x14ac:dyDescent="0.3">
      <c r="A1546" s="8">
        <v>1544</v>
      </c>
      <c r="B1546" s="8" t="s">
        <v>1293</v>
      </c>
      <c r="C1546" s="8" t="s">
        <v>3241</v>
      </c>
      <c r="D1546" s="8" t="s">
        <v>3242</v>
      </c>
      <c r="E1546" s="13">
        <v>195000</v>
      </c>
      <c r="F1546" s="14">
        <v>389815</v>
      </c>
    </row>
    <row r="1547" spans="1:6" x14ac:dyDescent="0.3">
      <c r="A1547" s="8">
        <v>1545</v>
      </c>
      <c r="B1547" s="8" t="s">
        <v>1293</v>
      </c>
      <c r="C1547" s="8" t="s">
        <v>3243</v>
      </c>
      <c r="D1547" s="8" t="s">
        <v>3244</v>
      </c>
      <c r="E1547" s="13">
        <v>160000</v>
      </c>
      <c r="F1547" s="14">
        <v>320370</v>
      </c>
    </row>
    <row r="1548" spans="1:6" x14ac:dyDescent="0.3">
      <c r="A1548" s="8">
        <v>1546</v>
      </c>
      <c r="B1548" s="8" t="s">
        <v>1293</v>
      </c>
      <c r="C1548" s="8" t="s">
        <v>3245</v>
      </c>
      <c r="D1548" s="8" t="s">
        <v>3246</v>
      </c>
      <c r="E1548" s="13">
        <v>0</v>
      </c>
      <c r="F1548" s="14">
        <v>0</v>
      </c>
    </row>
    <row r="1549" spans="1:6" x14ac:dyDescent="0.3">
      <c r="A1549" s="8">
        <v>1547</v>
      </c>
      <c r="B1549" s="8" t="s">
        <v>1293</v>
      </c>
      <c r="C1549" s="8" t="s">
        <v>3247</v>
      </c>
      <c r="D1549" s="8" t="s">
        <v>3248</v>
      </c>
      <c r="E1549" s="13">
        <v>0</v>
      </c>
      <c r="F1549" s="14">
        <v>0</v>
      </c>
    </row>
    <row r="1550" spans="1:6" x14ac:dyDescent="0.3">
      <c r="A1550" s="8">
        <v>1548</v>
      </c>
      <c r="B1550" s="8" t="s">
        <v>1296</v>
      </c>
      <c r="C1550" s="8" t="s">
        <v>3249</v>
      </c>
      <c r="D1550" s="8" t="s">
        <v>3250</v>
      </c>
      <c r="E1550" s="13">
        <v>493900</v>
      </c>
      <c r="F1550" s="14">
        <v>960185</v>
      </c>
    </row>
    <row r="1551" spans="1:6" x14ac:dyDescent="0.3">
      <c r="A1551" s="8">
        <v>1549</v>
      </c>
      <c r="B1551" s="8" t="s">
        <v>1296</v>
      </c>
      <c r="C1551" s="8" t="s">
        <v>3251</v>
      </c>
      <c r="D1551" s="8" t="s">
        <v>3252</v>
      </c>
      <c r="E1551" s="13">
        <v>0</v>
      </c>
      <c r="F1551" s="14">
        <v>1507407</v>
      </c>
    </row>
    <row r="1552" spans="1:6" x14ac:dyDescent="0.3">
      <c r="A1552" s="8">
        <v>1550</v>
      </c>
      <c r="B1552" s="8" t="s">
        <v>2229</v>
      </c>
      <c r="C1552" s="8" t="s">
        <v>3253</v>
      </c>
      <c r="D1552" s="8" t="s">
        <v>3254</v>
      </c>
      <c r="E1552" s="13">
        <v>0</v>
      </c>
      <c r="F1552" s="14">
        <v>183333</v>
      </c>
    </row>
    <row r="1553" spans="1:6" x14ac:dyDescent="0.3">
      <c r="A1553" s="8">
        <v>1551</v>
      </c>
      <c r="B1553" s="8" t="s">
        <v>2229</v>
      </c>
      <c r="C1553" s="8" t="s">
        <v>3255</v>
      </c>
      <c r="D1553" s="8" t="s">
        <v>3256</v>
      </c>
      <c r="E1553" s="13">
        <v>0</v>
      </c>
      <c r="F1553" s="14">
        <v>15829000</v>
      </c>
    </row>
    <row r="1554" spans="1:6" x14ac:dyDescent="0.3">
      <c r="A1554" s="8">
        <v>1552</v>
      </c>
      <c r="B1554" s="8" t="s">
        <v>2229</v>
      </c>
      <c r="C1554" s="8" t="s">
        <v>3257</v>
      </c>
      <c r="D1554" s="8" t="s">
        <v>3258</v>
      </c>
      <c r="E1554" s="13">
        <v>0</v>
      </c>
      <c r="F1554" s="14">
        <v>1050000</v>
      </c>
    </row>
    <row r="1555" spans="1:6" x14ac:dyDescent="0.3">
      <c r="A1555" s="8">
        <v>1553</v>
      </c>
      <c r="B1555" s="8" t="s">
        <v>2229</v>
      </c>
      <c r="C1555" s="8" t="s">
        <v>3259</v>
      </c>
      <c r="D1555" s="8" t="s">
        <v>3260</v>
      </c>
      <c r="E1555" s="13">
        <v>5685200</v>
      </c>
      <c r="F1555" s="14">
        <v>9289815</v>
      </c>
    </row>
    <row r="1556" spans="1:6" x14ac:dyDescent="0.3">
      <c r="A1556" s="8">
        <v>1554</v>
      </c>
      <c r="B1556" s="8" t="s">
        <v>2229</v>
      </c>
      <c r="C1556" s="8" t="s">
        <v>3261</v>
      </c>
      <c r="D1556" s="8" t="s">
        <v>3262</v>
      </c>
      <c r="E1556" s="13">
        <v>0</v>
      </c>
      <c r="F1556" s="14">
        <v>0</v>
      </c>
    </row>
    <row r="1557" spans="1:6" x14ac:dyDescent="0.3">
      <c r="A1557" s="8">
        <v>1555</v>
      </c>
      <c r="B1557" s="8" t="s">
        <v>2229</v>
      </c>
      <c r="C1557" s="8" t="s">
        <v>3263</v>
      </c>
      <c r="D1557" s="8" t="s">
        <v>3264</v>
      </c>
      <c r="E1557" s="13">
        <v>2800600</v>
      </c>
      <c r="F1557" s="14">
        <v>6111111</v>
      </c>
    </row>
    <row r="1558" spans="1:6" x14ac:dyDescent="0.3">
      <c r="A1558" s="8">
        <v>1556</v>
      </c>
      <c r="B1558" s="8" t="s">
        <v>2229</v>
      </c>
      <c r="C1558" s="8" t="s">
        <v>3265</v>
      </c>
      <c r="D1558" s="8" t="s">
        <v>3266</v>
      </c>
      <c r="E1558" s="13">
        <v>2632000</v>
      </c>
      <c r="F1558" s="14">
        <v>6203704</v>
      </c>
    </row>
    <row r="1559" spans="1:6" x14ac:dyDescent="0.3">
      <c r="A1559" s="8">
        <v>1557</v>
      </c>
      <c r="B1559" s="8" t="s">
        <v>2229</v>
      </c>
      <c r="C1559" s="8" t="s">
        <v>3267</v>
      </c>
      <c r="D1559" s="8" t="s">
        <v>3268</v>
      </c>
      <c r="E1559" s="13">
        <v>0</v>
      </c>
      <c r="F1559" s="14">
        <v>0</v>
      </c>
    </row>
    <row r="1560" spans="1:6" x14ac:dyDescent="0.3">
      <c r="A1560" s="8">
        <v>1558</v>
      </c>
      <c r="B1560" s="8" t="s">
        <v>2300</v>
      </c>
      <c r="C1560" s="8" t="s">
        <v>3269</v>
      </c>
      <c r="D1560" s="8" t="s">
        <v>3270</v>
      </c>
      <c r="E1560" s="13">
        <v>111000</v>
      </c>
      <c r="F1560" s="14">
        <v>222222</v>
      </c>
    </row>
    <row r="1561" spans="1:6" x14ac:dyDescent="0.3">
      <c r="A1561" s="8">
        <v>1559</v>
      </c>
      <c r="B1561" s="8" t="s">
        <v>275</v>
      </c>
      <c r="C1561" s="8" t="s">
        <v>3271</v>
      </c>
      <c r="D1561" s="8" t="s">
        <v>3272</v>
      </c>
      <c r="E1561" s="13">
        <v>0</v>
      </c>
      <c r="F1561" s="14">
        <v>0</v>
      </c>
    </row>
    <row r="1562" spans="1:6" x14ac:dyDescent="0.3">
      <c r="A1562" s="8">
        <v>1560</v>
      </c>
      <c r="B1562" s="8" t="s">
        <v>275</v>
      </c>
      <c r="C1562" s="8" t="s">
        <v>3273</v>
      </c>
      <c r="D1562" s="8" t="s">
        <v>3274</v>
      </c>
      <c r="E1562" s="13">
        <v>0</v>
      </c>
      <c r="F1562" s="14">
        <v>0</v>
      </c>
    </row>
    <row r="1563" spans="1:6" x14ac:dyDescent="0.3">
      <c r="A1563" s="8">
        <v>1561</v>
      </c>
      <c r="B1563" s="8" t="s">
        <v>275</v>
      </c>
      <c r="C1563" s="8" t="s">
        <v>3275</v>
      </c>
      <c r="D1563" s="8" t="s">
        <v>3276</v>
      </c>
      <c r="E1563" s="13">
        <v>57000</v>
      </c>
      <c r="F1563" s="14">
        <v>113889</v>
      </c>
    </row>
    <row r="1564" spans="1:6" x14ac:dyDescent="0.3">
      <c r="A1564" s="8">
        <v>1562</v>
      </c>
      <c r="B1564" s="8" t="s">
        <v>275</v>
      </c>
      <c r="C1564" s="8" t="s">
        <v>3277</v>
      </c>
      <c r="D1564" s="8" t="s">
        <v>3278</v>
      </c>
      <c r="E1564" s="13">
        <v>0</v>
      </c>
      <c r="F1564" s="14">
        <v>0</v>
      </c>
    </row>
    <row r="1565" spans="1:6" x14ac:dyDescent="0.3">
      <c r="A1565" s="8">
        <v>1563</v>
      </c>
      <c r="B1565" s="8" t="s">
        <v>275</v>
      </c>
      <c r="C1565" s="8" t="s">
        <v>3279</v>
      </c>
      <c r="D1565" s="8" t="s">
        <v>3280</v>
      </c>
      <c r="E1565" s="13">
        <v>0</v>
      </c>
      <c r="F1565" s="14">
        <v>0</v>
      </c>
    </row>
    <row r="1566" spans="1:6" x14ac:dyDescent="0.3">
      <c r="A1566" s="8">
        <v>1564</v>
      </c>
      <c r="B1566" s="8" t="s">
        <v>1178</v>
      </c>
      <c r="C1566" s="8" t="s">
        <v>3281</v>
      </c>
      <c r="D1566" s="8" t="s">
        <v>3282</v>
      </c>
      <c r="E1566" s="13">
        <v>0</v>
      </c>
      <c r="F1566" s="14">
        <v>0</v>
      </c>
    </row>
    <row r="1567" spans="1:6" x14ac:dyDescent="0.3">
      <c r="A1567" s="8">
        <v>1565</v>
      </c>
      <c r="B1567" s="8" t="s">
        <v>1178</v>
      </c>
      <c r="C1567" s="8" t="s">
        <v>3283</v>
      </c>
      <c r="D1567" s="8" t="s">
        <v>3284</v>
      </c>
      <c r="E1567" s="13">
        <v>0</v>
      </c>
      <c r="F1567" s="14">
        <v>0</v>
      </c>
    </row>
    <row r="1568" spans="1:6" x14ac:dyDescent="0.3">
      <c r="A1568" s="8">
        <v>1566</v>
      </c>
      <c r="B1568" s="8" t="s">
        <v>287</v>
      </c>
      <c r="C1568" s="8" t="s">
        <v>3285</v>
      </c>
      <c r="D1568" s="8" t="s">
        <v>3286</v>
      </c>
      <c r="E1568" s="13">
        <v>207000</v>
      </c>
      <c r="F1568" s="14">
        <v>413889</v>
      </c>
    </row>
    <row r="1569" spans="1:6" x14ac:dyDescent="0.3">
      <c r="A1569" s="8">
        <v>1567</v>
      </c>
      <c r="B1569" s="8" t="s">
        <v>287</v>
      </c>
      <c r="C1569" s="8" t="s">
        <v>3287</v>
      </c>
      <c r="D1569" s="8" t="s">
        <v>3288</v>
      </c>
      <c r="E1569" s="13">
        <v>104000</v>
      </c>
      <c r="F1569" s="14">
        <v>208333</v>
      </c>
    </row>
    <row r="1570" spans="1:6" x14ac:dyDescent="0.3">
      <c r="A1570" s="8">
        <v>1568</v>
      </c>
      <c r="B1570" s="8" t="s">
        <v>1259</v>
      </c>
      <c r="C1570" s="8" t="s">
        <v>3289</v>
      </c>
      <c r="D1570" s="8" t="s">
        <v>3290</v>
      </c>
      <c r="E1570" s="13">
        <v>86200</v>
      </c>
      <c r="F1570" s="14">
        <v>172000</v>
      </c>
    </row>
    <row r="1571" spans="1:6" x14ac:dyDescent="0.3">
      <c r="A1571" s="8">
        <v>1569</v>
      </c>
      <c r="B1571" s="8" t="s">
        <v>1259</v>
      </c>
      <c r="C1571" s="8" t="s">
        <v>3291</v>
      </c>
      <c r="D1571" s="8" t="s">
        <v>3292</v>
      </c>
      <c r="E1571" s="13">
        <v>86570</v>
      </c>
      <c r="F1571" s="14">
        <v>136000</v>
      </c>
    </row>
    <row r="1572" spans="1:6" x14ac:dyDescent="0.3">
      <c r="A1572" s="8">
        <v>1570</v>
      </c>
      <c r="B1572" s="8" t="s">
        <v>1259</v>
      </c>
      <c r="C1572" s="8" t="s">
        <v>3293</v>
      </c>
      <c r="D1572" s="8" t="s">
        <v>3294</v>
      </c>
      <c r="E1572" s="13">
        <v>87500</v>
      </c>
      <c r="F1572" s="14">
        <v>139000</v>
      </c>
    </row>
    <row r="1573" spans="1:6" x14ac:dyDescent="0.3">
      <c r="A1573" s="8">
        <v>1571</v>
      </c>
      <c r="B1573" s="8" t="s">
        <v>1259</v>
      </c>
      <c r="C1573" s="8" t="s">
        <v>3295</v>
      </c>
      <c r="D1573" s="8" t="s">
        <v>3296</v>
      </c>
      <c r="E1573" s="13">
        <v>0</v>
      </c>
      <c r="F1573" s="14">
        <v>0</v>
      </c>
    </row>
    <row r="1574" spans="1:6" x14ac:dyDescent="0.3">
      <c r="A1574" s="8">
        <v>1572</v>
      </c>
      <c r="B1574" s="8" t="s">
        <v>1259</v>
      </c>
      <c r="C1574" s="8" t="s">
        <v>3297</v>
      </c>
      <c r="D1574" s="8" t="s">
        <v>3298</v>
      </c>
      <c r="E1574" s="13">
        <v>29140</v>
      </c>
      <c r="F1574" s="14">
        <v>43000</v>
      </c>
    </row>
    <row r="1575" spans="1:6" x14ac:dyDescent="0.3">
      <c r="A1575" s="8">
        <v>1573</v>
      </c>
      <c r="B1575" s="8" t="s">
        <v>1259</v>
      </c>
      <c r="C1575" s="8" t="s">
        <v>3299</v>
      </c>
      <c r="D1575" s="8" t="s">
        <v>3300</v>
      </c>
      <c r="E1575" s="13">
        <v>0</v>
      </c>
      <c r="F1575" s="14">
        <v>0</v>
      </c>
    </row>
    <row r="1576" spans="1:6" x14ac:dyDescent="0.3">
      <c r="A1576" s="8">
        <v>1574</v>
      </c>
      <c r="B1576" s="8" t="s">
        <v>1259</v>
      </c>
      <c r="C1576" s="8" t="s">
        <v>3301</v>
      </c>
      <c r="D1576" s="8" t="s">
        <v>3302</v>
      </c>
      <c r="E1576" s="13">
        <v>276000</v>
      </c>
      <c r="F1576" s="14">
        <v>474000</v>
      </c>
    </row>
    <row r="1577" spans="1:6" x14ac:dyDescent="0.3">
      <c r="A1577" s="8">
        <v>1575</v>
      </c>
      <c r="B1577" s="8" t="s">
        <v>1280</v>
      </c>
      <c r="C1577" s="8" t="s">
        <v>3303</v>
      </c>
      <c r="D1577" s="8" t="s">
        <v>3304</v>
      </c>
      <c r="E1577" s="13">
        <v>41900</v>
      </c>
      <c r="F1577" s="14">
        <v>72000</v>
      </c>
    </row>
    <row r="1578" spans="1:6" x14ac:dyDescent="0.3">
      <c r="A1578" s="8">
        <v>1576</v>
      </c>
      <c r="B1578" s="8" t="s">
        <v>1280</v>
      </c>
      <c r="C1578" s="8" t="s">
        <v>3305</v>
      </c>
      <c r="D1578" s="8" t="s">
        <v>3306</v>
      </c>
      <c r="E1578" s="13">
        <v>7760</v>
      </c>
      <c r="F1578" s="14">
        <v>11800</v>
      </c>
    </row>
    <row r="1579" spans="1:6" x14ac:dyDescent="0.3">
      <c r="A1579" s="8">
        <v>1577</v>
      </c>
      <c r="B1579" s="8" t="s">
        <v>1293</v>
      </c>
      <c r="C1579" s="8" t="s">
        <v>3307</v>
      </c>
      <c r="D1579" s="8" t="s">
        <v>3308</v>
      </c>
      <c r="E1579" s="13">
        <v>208400</v>
      </c>
      <c r="F1579" s="14">
        <v>416667</v>
      </c>
    </row>
    <row r="1580" spans="1:6" x14ac:dyDescent="0.3">
      <c r="A1580" s="8">
        <v>1578</v>
      </c>
      <c r="B1580" s="8" t="s">
        <v>1293</v>
      </c>
      <c r="C1580" s="8" t="s">
        <v>3309</v>
      </c>
      <c r="D1580" s="8" t="s">
        <v>3310</v>
      </c>
      <c r="E1580" s="13">
        <v>0</v>
      </c>
      <c r="F1580" s="14">
        <v>553000</v>
      </c>
    </row>
    <row r="1581" spans="1:6" x14ac:dyDescent="0.3">
      <c r="A1581" s="8">
        <v>1579</v>
      </c>
      <c r="B1581" s="8" t="s">
        <v>1296</v>
      </c>
      <c r="C1581" s="8" t="s">
        <v>3311</v>
      </c>
      <c r="D1581" s="8" t="s">
        <v>3312</v>
      </c>
      <c r="E1581" s="13">
        <v>4963000</v>
      </c>
      <c r="F1581" s="14">
        <v>8109259</v>
      </c>
    </row>
    <row r="1582" spans="1:6" x14ac:dyDescent="0.3">
      <c r="A1582" s="8">
        <v>1580</v>
      </c>
      <c r="B1582" s="8" t="s">
        <v>1296</v>
      </c>
      <c r="C1582" s="8" t="s">
        <v>3313</v>
      </c>
      <c r="D1582" s="8" t="s">
        <v>3314</v>
      </c>
      <c r="E1582" s="13">
        <v>0</v>
      </c>
      <c r="F1582" s="14">
        <v>240000</v>
      </c>
    </row>
    <row r="1583" spans="1:6" x14ac:dyDescent="0.3">
      <c r="A1583" s="8">
        <v>1581</v>
      </c>
      <c r="B1583" s="8" t="s">
        <v>2229</v>
      </c>
      <c r="C1583" s="8" t="s">
        <v>3315</v>
      </c>
      <c r="D1583" s="8" t="s">
        <v>3316</v>
      </c>
      <c r="E1583" s="13">
        <v>40000</v>
      </c>
      <c r="F1583" s="14">
        <v>85185</v>
      </c>
    </row>
    <row r="1584" spans="1:6" x14ac:dyDescent="0.3">
      <c r="A1584" s="8">
        <v>1582</v>
      </c>
      <c r="B1584" s="8" t="s">
        <v>2229</v>
      </c>
      <c r="C1584" s="8" t="s">
        <v>3317</v>
      </c>
      <c r="D1584" s="8" t="s">
        <v>3318</v>
      </c>
      <c r="E1584" s="13">
        <v>2745800</v>
      </c>
      <c r="F1584" s="14">
        <v>5491667</v>
      </c>
    </row>
    <row r="1585" spans="1:6" x14ac:dyDescent="0.3">
      <c r="A1585" s="8">
        <v>1583</v>
      </c>
      <c r="B1585" s="8" t="s">
        <v>2229</v>
      </c>
      <c r="C1585" s="8" t="s">
        <v>3319</v>
      </c>
      <c r="D1585" s="8" t="s">
        <v>3320</v>
      </c>
      <c r="E1585" s="13">
        <v>2540600</v>
      </c>
      <c r="F1585" s="14">
        <v>5900000</v>
      </c>
    </row>
    <row r="1586" spans="1:6" x14ac:dyDescent="0.3">
      <c r="A1586" s="8">
        <v>1584</v>
      </c>
      <c r="B1586" s="8" t="s">
        <v>2303</v>
      </c>
      <c r="C1586" s="8" t="s">
        <v>3321</v>
      </c>
      <c r="D1586" s="8" t="s">
        <v>3322</v>
      </c>
      <c r="E1586" s="13">
        <v>42300</v>
      </c>
      <c r="F1586" s="14">
        <v>85185</v>
      </c>
    </row>
    <row r="1587" spans="1:6" x14ac:dyDescent="0.3">
      <c r="A1587" s="8">
        <v>1585</v>
      </c>
      <c r="B1587" s="8" t="s">
        <v>2303</v>
      </c>
      <c r="C1587" s="8" t="s">
        <v>3323</v>
      </c>
      <c r="D1587" s="8" t="s">
        <v>3324</v>
      </c>
      <c r="E1587" s="13">
        <v>29400</v>
      </c>
      <c r="F1587" s="14">
        <v>59259</v>
      </c>
    </row>
    <row r="1588" spans="1:6" x14ac:dyDescent="0.3">
      <c r="A1588" s="8">
        <v>1586</v>
      </c>
      <c r="B1588" s="8" t="s">
        <v>2303</v>
      </c>
      <c r="C1588" s="8" t="s">
        <v>3325</v>
      </c>
      <c r="D1588" s="8" t="s">
        <v>3326</v>
      </c>
      <c r="E1588" s="13">
        <v>0</v>
      </c>
      <c r="F1588" s="14">
        <v>0</v>
      </c>
    </row>
    <row r="1589" spans="1:6" x14ac:dyDescent="0.3">
      <c r="A1589" s="8">
        <v>1587</v>
      </c>
      <c r="B1589" s="8" t="s">
        <v>2303</v>
      </c>
      <c r="C1589" s="8" t="s">
        <v>3327</v>
      </c>
      <c r="D1589" s="8" t="s">
        <v>3328</v>
      </c>
      <c r="E1589" s="13">
        <v>0</v>
      </c>
      <c r="F1589" s="14">
        <v>0</v>
      </c>
    </row>
    <row r="1590" spans="1:6" x14ac:dyDescent="0.3">
      <c r="A1590" s="8">
        <v>1588</v>
      </c>
      <c r="B1590" s="8" t="s">
        <v>2303</v>
      </c>
      <c r="C1590" s="8" t="s">
        <v>3329</v>
      </c>
      <c r="D1590" s="8" t="s">
        <v>3330</v>
      </c>
      <c r="E1590" s="13">
        <v>87500</v>
      </c>
      <c r="F1590" s="14">
        <v>175000</v>
      </c>
    </row>
    <row r="1591" spans="1:6" x14ac:dyDescent="0.3">
      <c r="A1591" s="8">
        <v>1589</v>
      </c>
      <c r="B1591" s="8" t="s">
        <v>2303</v>
      </c>
      <c r="C1591" s="8" t="s">
        <v>3331</v>
      </c>
      <c r="D1591" s="8" t="s">
        <v>3332</v>
      </c>
      <c r="E1591" s="13">
        <v>23000</v>
      </c>
      <c r="F1591" s="14">
        <v>46019</v>
      </c>
    </row>
    <row r="1592" spans="1:6" x14ac:dyDescent="0.3">
      <c r="A1592" s="8">
        <v>1590</v>
      </c>
      <c r="B1592" s="8" t="s">
        <v>2303</v>
      </c>
      <c r="C1592" s="8" t="s">
        <v>3333</v>
      </c>
      <c r="D1592" s="8" t="s">
        <v>3334</v>
      </c>
      <c r="E1592" s="13">
        <v>26500</v>
      </c>
      <c r="F1592" s="14">
        <v>52963</v>
      </c>
    </row>
    <row r="1593" spans="1:6" x14ac:dyDescent="0.3">
      <c r="A1593" s="8">
        <v>1591</v>
      </c>
      <c r="B1593" s="8" t="s">
        <v>2303</v>
      </c>
      <c r="C1593" s="8" t="s">
        <v>3335</v>
      </c>
      <c r="D1593" s="8" t="s">
        <v>3336</v>
      </c>
      <c r="E1593" s="13">
        <v>84600</v>
      </c>
      <c r="F1593" s="14">
        <v>169444</v>
      </c>
    </row>
    <row r="1594" spans="1:6" x14ac:dyDescent="0.3">
      <c r="A1594" s="8">
        <v>1592</v>
      </c>
      <c r="B1594" s="8" t="s">
        <v>2303</v>
      </c>
      <c r="C1594" s="8" t="s">
        <v>3337</v>
      </c>
      <c r="D1594" s="8" t="s">
        <v>3338</v>
      </c>
      <c r="E1594" s="13">
        <v>0</v>
      </c>
      <c r="F1594" s="14">
        <v>0</v>
      </c>
    </row>
    <row r="1595" spans="1:6" x14ac:dyDescent="0.3">
      <c r="A1595" s="8">
        <v>1593</v>
      </c>
      <c r="B1595" s="8" t="s">
        <v>2303</v>
      </c>
      <c r="C1595" s="8" t="s">
        <v>3339</v>
      </c>
      <c r="D1595" s="8" t="s">
        <v>3340</v>
      </c>
      <c r="E1595" s="13">
        <v>0</v>
      </c>
      <c r="F1595" s="14">
        <v>0</v>
      </c>
    </row>
    <row r="1596" spans="1:6" x14ac:dyDescent="0.3">
      <c r="A1596" s="8">
        <v>1594</v>
      </c>
      <c r="B1596" s="8" t="s">
        <v>2303</v>
      </c>
      <c r="C1596" s="8" t="s">
        <v>3341</v>
      </c>
      <c r="D1596" s="8" t="s">
        <v>3342</v>
      </c>
      <c r="E1596" s="13">
        <v>0</v>
      </c>
      <c r="F1596" s="14">
        <v>398148</v>
      </c>
    </row>
    <row r="1597" spans="1:6" x14ac:dyDescent="0.3">
      <c r="A1597" s="8">
        <v>1595</v>
      </c>
      <c r="B1597" s="8" t="s">
        <v>2303</v>
      </c>
      <c r="C1597" s="8" t="s">
        <v>3343</v>
      </c>
      <c r="D1597" s="8" t="s">
        <v>3344</v>
      </c>
      <c r="E1597" s="13">
        <v>0</v>
      </c>
      <c r="F1597" s="14">
        <v>0</v>
      </c>
    </row>
    <row r="1598" spans="1:6" x14ac:dyDescent="0.3">
      <c r="A1598" s="8">
        <v>1596</v>
      </c>
      <c r="B1598" s="8" t="s">
        <v>2303</v>
      </c>
      <c r="C1598" s="8" t="s">
        <v>3345</v>
      </c>
      <c r="D1598" s="8" t="s">
        <v>3346</v>
      </c>
      <c r="E1598" s="13">
        <v>0</v>
      </c>
      <c r="F1598" s="14">
        <v>0</v>
      </c>
    </row>
    <row r="1599" spans="1:6" x14ac:dyDescent="0.3">
      <c r="A1599" s="8">
        <v>1597</v>
      </c>
      <c r="B1599" s="8" t="s">
        <v>2792</v>
      </c>
      <c r="C1599" s="8" t="s">
        <v>3347</v>
      </c>
      <c r="D1599" s="8" t="s">
        <v>3348</v>
      </c>
      <c r="E1599" s="13">
        <v>1777000</v>
      </c>
      <c r="F1599" s="14">
        <v>3553704</v>
      </c>
    </row>
    <row r="1600" spans="1:6" x14ac:dyDescent="0.3">
      <c r="A1600" s="8">
        <v>1598</v>
      </c>
      <c r="B1600" s="8" t="s">
        <v>2792</v>
      </c>
      <c r="C1600" s="8" t="s">
        <v>3349</v>
      </c>
      <c r="D1600" s="8" t="s">
        <v>3350</v>
      </c>
      <c r="E1600" s="13">
        <v>493000</v>
      </c>
      <c r="F1600" s="14">
        <v>986111</v>
      </c>
    </row>
    <row r="1601" spans="1:6" x14ac:dyDescent="0.3">
      <c r="A1601" s="8">
        <v>1599</v>
      </c>
      <c r="B1601" s="8" t="s">
        <v>2792</v>
      </c>
      <c r="C1601" s="8" t="s">
        <v>3351</v>
      </c>
      <c r="D1601" s="8" t="s">
        <v>3352</v>
      </c>
      <c r="E1601" s="13">
        <v>1241000</v>
      </c>
      <c r="F1601" s="14">
        <v>2482407</v>
      </c>
    </row>
    <row r="1602" spans="1:6" x14ac:dyDescent="0.3">
      <c r="A1602" s="8">
        <v>1600</v>
      </c>
      <c r="B1602" s="8" t="s">
        <v>2792</v>
      </c>
      <c r="C1602" s="8" t="s">
        <v>3353</v>
      </c>
      <c r="D1602" s="8" t="s">
        <v>3354</v>
      </c>
      <c r="E1602" s="13">
        <v>260000</v>
      </c>
      <c r="F1602" s="14">
        <v>448000</v>
      </c>
    </row>
    <row r="1603" spans="1:6" x14ac:dyDescent="0.3">
      <c r="A1603" s="8">
        <v>1601</v>
      </c>
      <c r="B1603" s="8" t="s">
        <v>2792</v>
      </c>
      <c r="C1603" s="8" t="s">
        <v>3355</v>
      </c>
      <c r="D1603" s="8" t="s">
        <v>3356</v>
      </c>
      <c r="E1603" s="13">
        <v>260000</v>
      </c>
      <c r="F1603" s="14">
        <v>448000</v>
      </c>
    </row>
    <row r="1604" spans="1:6" x14ac:dyDescent="0.3">
      <c r="A1604" s="8">
        <v>1602</v>
      </c>
      <c r="B1604" s="8" t="s">
        <v>2792</v>
      </c>
      <c r="C1604" s="8" t="s">
        <v>3357</v>
      </c>
      <c r="D1604" s="8" t="s">
        <v>3358</v>
      </c>
      <c r="E1604" s="13">
        <v>1777000</v>
      </c>
      <c r="F1604" s="14">
        <v>3553704</v>
      </c>
    </row>
    <row r="1605" spans="1:6" x14ac:dyDescent="0.3">
      <c r="A1605" s="8">
        <v>1603</v>
      </c>
      <c r="B1605" s="8" t="s">
        <v>2792</v>
      </c>
      <c r="C1605" s="8" t="s">
        <v>3359</v>
      </c>
      <c r="D1605" s="8" t="s">
        <v>3360</v>
      </c>
      <c r="E1605" s="13">
        <v>0</v>
      </c>
      <c r="F1605" s="14">
        <v>6040741</v>
      </c>
    </row>
    <row r="1606" spans="1:6" x14ac:dyDescent="0.3">
      <c r="A1606" s="8">
        <v>1604</v>
      </c>
      <c r="B1606" s="8" t="s">
        <v>2792</v>
      </c>
      <c r="C1606" s="8" t="s">
        <v>3361</v>
      </c>
      <c r="D1606" s="8" t="s">
        <v>3362</v>
      </c>
      <c r="E1606" s="13">
        <v>0</v>
      </c>
      <c r="F1606" s="14">
        <v>0</v>
      </c>
    </row>
    <row r="1607" spans="1:6" x14ac:dyDescent="0.3">
      <c r="A1607" s="8">
        <v>1605</v>
      </c>
      <c r="B1607" s="8" t="s">
        <v>2792</v>
      </c>
      <c r="C1607" s="8" t="s">
        <v>3363</v>
      </c>
      <c r="D1607" s="8" t="s">
        <v>3364</v>
      </c>
      <c r="E1607" s="13">
        <v>0</v>
      </c>
      <c r="F1607" s="14">
        <v>8400000</v>
      </c>
    </row>
    <row r="1608" spans="1:6" x14ac:dyDescent="0.3">
      <c r="A1608" s="8">
        <v>1606</v>
      </c>
      <c r="B1608" s="8" t="s">
        <v>2792</v>
      </c>
      <c r="C1608" s="8" t="s">
        <v>3365</v>
      </c>
      <c r="D1608" s="8" t="s">
        <v>3366</v>
      </c>
      <c r="E1608" s="13">
        <v>0</v>
      </c>
      <c r="F1608" s="14">
        <v>2900000</v>
      </c>
    </row>
    <row r="1609" spans="1:6" x14ac:dyDescent="0.3">
      <c r="A1609" s="8">
        <v>1607</v>
      </c>
      <c r="B1609" s="8" t="s">
        <v>2792</v>
      </c>
      <c r="C1609" s="8" t="s">
        <v>3367</v>
      </c>
      <c r="D1609" s="8" t="s">
        <v>3368</v>
      </c>
      <c r="E1609" s="13">
        <v>0</v>
      </c>
      <c r="F1609" s="14">
        <v>0</v>
      </c>
    </row>
    <row r="1610" spans="1:6" x14ac:dyDescent="0.3">
      <c r="A1610" s="8">
        <v>1608</v>
      </c>
      <c r="B1610" s="8" t="s">
        <v>2792</v>
      </c>
      <c r="C1610" s="8" t="s">
        <v>3369</v>
      </c>
      <c r="D1610" s="8" t="s">
        <v>3370</v>
      </c>
      <c r="E1610" s="13">
        <v>5643000</v>
      </c>
      <c r="F1610" s="14">
        <v>11286000</v>
      </c>
    </row>
    <row r="1611" spans="1:6" x14ac:dyDescent="0.3">
      <c r="A1611" s="8">
        <v>1609</v>
      </c>
      <c r="B1611" s="8" t="s">
        <v>287</v>
      </c>
      <c r="C1611" s="8" t="s">
        <v>3371</v>
      </c>
      <c r="D1611" s="8" t="s">
        <v>3372</v>
      </c>
      <c r="E1611" s="13">
        <v>0</v>
      </c>
      <c r="F1611" s="14">
        <v>0</v>
      </c>
    </row>
    <row r="1612" spans="1:6" x14ac:dyDescent="0.3">
      <c r="A1612" s="8">
        <v>1610</v>
      </c>
      <c r="B1612" s="8" t="s">
        <v>1259</v>
      </c>
      <c r="C1612" s="8" t="s">
        <v>3373</v>
      </c>
      <c r="D1612" s="8" t="s">
        <v>3374</v>
      </c>
      <c r="E1612" s="13">
        <v>28000</v>
      </c>
      <c r="F1612" s="14">
        <v>47000</v>
      </c>
    </row>
    <row r="1613" spans="1:6" x14ac:dyDescent="0.3">
      <c r="A1613" s="8">
        <v>1611</v>
      </c>
      <c r="B1613" s="8" t="s">
        <v>1259</v>
      </c>
      <c r="C1613" s="8" t="s">
        <v>3375</v>
      </c>
      <c r="D1613" s="8" t="s">
        <v>3376</v>
      </c>
      <c r="E1613" s="13">
        <v>0</v>
      </c>
      <c r="F1613" s="14">
        <v>0</v>
      </c>
    </row>
    <row r="1614" spans="1:6" x14ac:dyDescent="0.3">
      <c r="A1614" s="8">
        <v>1612</v>
      </c>
      <c r="B1614" s="8" t="s">
        <v>1259</v>
      </c>
      <c r="C1614" s="8" t="s">
        <v>3377</v>
      </c>
      <c r="D1614" s="8" t="s">
        <v>3378</v>
      </c>
      <c r="E1614" s="13">
        <v>27880</v>
      </c>
      <c r="F1614" s="14">
        <v>51000</v>
      </c>
    </row>
    <row r="1615" spans="1:6" x14ac:dyDescent="0.3">
      <c r="A1615" s="8">
        <v>1613</v>
      </c>
      <c r="B1615" s="8" t="s">
        <v>1259</v>
      </c>
      <c r="C1615" s="8" t="s">
        <v>3379</v>
      </c>
      <c r="D1615" s="8" t="s">
        <v>3380</v>
      </c>
      <c r="E1615" s="13">
        <v>0</v>
      </c>
      <c r="F1615" s="14">
        <v>0</v>
      </c>
    </row>
    <row r="1616" spans="1:6" x14ac:dyDescent="0.3">
      <c r="A1616" s="8">
        <v>1614</v>
      </c>
      <c r="B1616" s="8" t="s">
        <v>1259</v>
      </c>
      <c r="C1616" s="8" t="s">
        <v>3381</v>
      </c>
      <c r="D1616" s="8" t="s">
        <v>3382</v>
      </c>
      <c r="E1616" s="13">
        <v>0</v>
      </c>
      <c r="F1616" s="14">
        <v>0</v>
      </c>
    </row>
    <row r="1617" spans="1:6" x14ac:dyDescent="0.3">
      <c r="A1617" s="8">
        <v>1615</v>
      </c>
      <c r="B1617" s="8" t="s">
        <v>1259</v>
      </c>
      <c r="C1617" s="8" t="s">
        <v>3383</v>
      </c>
      <c r="D1617" s="8" t="s">
        <v>3384</v>
      </c>
      <c r="E1617" s="13">
        <v>0</v>
      </c>
      <c r="F1617" s="14">
        <v>0</v>
      </c>
    </row>
    <row r="1618" spans="1:6" x14ac:dyDescent="0.3">
      <c r="A1618" s="8">
        <v>1616</v>
      </c>
      <c r="B1618" s="8" t="s">
        <v>1259</v>
      </c>
      <c r="C1618" s="8" t="s">
        <v>3385</v>
      </c>
      <c r="D1618" s="8" t="s">
        <v>3386</v>
      </c>
      <c r="E1618" s="13">
        <v>0</v>
      </c>
      <c r="F1618" s="14">
        <v>0</v>
      </c>
    </row>
    <row r="1619" spans="1:6" x14ac:dyDescent="0.3">
      <c r="A1619" s="8">
        <v>1617</v>
      </c>
      <c r="B1619" s="8" t="s">
        <v>1259</v>
      </c>
      <c r="C1619" s="8" t="s">
        <v>3387</v>
      </c>
      <c r="D1619" s="8" t="s">
        <v>3388</v>
      </c>
      <c r="E1619" s="13">
        <v>0</v>
      </c>
      <c r="F1619" s="14">
        <v>0</v>
      </c>
    </row>
    <row r="1620" spans="1:6" x14ac:dyDescent="0.3">
      <c r="A1620" s="8">
        <v>1618</v>
      </c>
      <c r="B1620" s="8" t="s">
        <v>1259</v>
      </c>
      <c r="C1620" s="8" t="s">
        <v>3389</v>
      </c>
      <c r="D1620" s="8" t="s">
        <v>3390</v>
      </c>
      <c r="E1620" s="13">
        <v>0</v>
      </c>
      <c r="F1620" s="14">
        <v>0</v>
      </c>
    </row>
    <row r="1621" spans="1:6" x14ac:dyDescent="0.3">
      <c r="A1621" s="8">
        <v>1619</v>
      </c>
      <c r="B1621" s="8" t="s">
        <v>1280</v>
      </c>
      <c r="C1621" s="8" t="s">
        <v>3391</v>
      </c>
      <c r="D1621" s="8" t="s">
        <v>3392</v>
      </c>
      <c r="E1621" s="13">
        <v>8100</v>
      </c>
      <c r="F1621" s="14">
        <v>14000</v>
      </c>
    </row>
    <row r="1622" spans="1:6" x14ac:dyDescent="0.3">
      <c r="A1622" s="8">
        <v>1620</v>
      </c>
      <c r="B1622" s="8" t="s">
        <v>1280</v>
      </c>
      <c r="C1622" s="8" t="s">
        <v>3393</v>
      </c>
      <c r="D1622" s="8" t="s">
        <v>3394</v>
      </c>
      <c r="E1622" s="13">
        <v>16300</v>
      </c>
      <c r="F1622" s="14">
        <v>26000</v>
      </c>
    </row>
    <row r="1623" spans="1:6" x14ac:dyDescent="0.3">
      <c r="A1623" s="8">
        <v>1621</v>
      </c>
      <c r="B1623" s="8" t="s">
        <v>1280</v>
      </c>
      <c r="C1623" s="8" t="s">
        <v>3395</v>
      </c>
      <c r="D1623" s="8" t="s">
        <v>3396</v>
      </c>
      <c r="E1623" s="13">
        <v>0</v>
      </c>
      <c r="F1623" s="14">
        <v>0</v>
      </c>
    </row>
    <row r="1624" spans="1:6" x14ac:dyDescent="0.3">
      <c r="A1624" s="8">
        <v>1622</v>
      </c>
      <c r="B1624" s="8" t="s">
        <v>1280</v>
      </c>
      <c r="C1624" s="8" t="s">
        <v>3397</v>
      </c>
      <c r="D1624" s="8" t="s">
        <v>3398</v>
      </c>
      <c r="E1624" s="13">
        <v>0</v>
      </c>
      <c r="F1624" s="14">
        <v>0</v>
      </c>
    </row>
    <row r="1625" spans="1:6" x14ac:dyDescent="0.3">
      <c r="A1625" s="8">
        <v>1623</v>
      </c>
      <c r="B1625" s="8" t="s">
        <v>1293</v>
      </c>
      <c r="C1625" s="8" t="s">
        <v>3399</v>
      </c>
      <c r="D1625" s="8" t="s">
        <v>3400</v>
      </c>
      <c r="E1625" s="13">
        <v>106500</v>
      </c>
      <c r="F1625" s="14">
        <v>212963</v>
      </c>
    </row>
    <row r="1626" spans="1:6" x14ac:dyDescent="0.3">
      <c r="A1626" s="8">
        <v>1624</v>
      </c>
      <c r="B1626" s="8" t="s">
        <v>1293</v>
      </c>
      <c r="C1626" s="8" t="s">
        <v>3401</v>
      </c>
      <c r="D1626" s="8" t="s">
        <v>3402</v>
      </c>
      <c r="E1626" s="13">
        <v>106500</v>
      </c>
      <c r="F1626" s="14">
        <v>212963</v>
      </c>
    </row>
    <row r="1627" spans="1:6" x14ac:dyDescent="0.3">
      <c r="A1627" s="8">
        <v>1625</v>
      </c>
      <c r="B1627" s="8" t="s">
        <v>1293</v>
      </c>
      <c r="C1627" s="8" t="s">
        <v>3403</v>
      </c>
      <c r="D1627" s="8" t="s">
        <v>3404</v>
      </c>
      <c r="E1627" s="13">
        <v>0</v>
      </c>
      <c r="F1627" s="14">
        <v>0</v>
      </c>
    </row>
    <row r="1628" spans="1:6" x14ac:dyDescent="0.3">
      <c r="A1628" s="8">
        <v>1626</v>
      </c>
      <c r="B1628" s="8" t="s">
        <v>1293</v>
      </c>
      <c r="C1628" s="8" t="s">
        <v>3405</v>
      </c>
      <c r="D1628" s="8" t="s">
        <v>3406</v>
      </c>
      <c r="E1628" s="13">
        <v>0</v>
      </c>
      <c r="F1628" s="14">
        <v>0</v>
      </c>
    </row>
    <row r="1629" spans="1:6" x14ac:dyDescent="0.3">
      <c r="A1629" s="8">
        <v>1627</v>
      </c>
      <c r="B1629" s="8" t="s">
        <v>1293</v>
      </c>
      <c r="C1629" s="8" t="s">
        <v>3407</v>
      </c>
      <c r="D1629" s="8" t="s">
        <v>3408</v>
      </c>
      <c r="E1629" s="13">
        <v>225000</v>
      </c>
      <c r="F1629" s="14">
        <v>450000</v>
      </c>
    </row>
    <row r="1630" spans="1:6" x14ac:dyDescent="0.3">
      <c r="A1630" s="8">
        <v>1628</v>
      </c>
      <c r="B1630" s="8" t="s">
        <v>1293</v>
      </c>
      <c r="C1630" s="8" t="s">
        <v>3409</v>
      </c>
      <c r="D1630" s="8" t="s">
        <v>3410</v>
      </c>
      <c r="E1630" s="13">
        <v>160000</v>
      </c>
      <c r="F1630" s="14">
        <v>320370</v>
      </c>
    </row>
    <row r="1631" spans="1:6" x14ac:dyDescent="0.3">
      <c r="A1631" s="8">
        <v>1629</v>
      </c>
      <c r="B1631" s="8" t="s">
        <v>1293</v>
      </c>
      <c r="C1631" s="8" t="s">
        <v>3411</v>
      </c>
      <c r="D1631" s="8" t="s">
        <v>3412</v>
      </c>
      <c r="E1631" s="13">
        <v>120000</v>
      </c>
      <c r="F1631" s="14">
        <v>239815</v>
      </c>
    </row>
    <row r="1632" spans="1:6" x14ac:dyDescent="0.3">
      <c r="A1632" s="8">
        <v>1630</v>
      </c>
      <c r="B1632" s="8" t="s">
        <v>1296</v>
      </c>
      <c r="C1632" s="8" t="s">
        <v>3413</v>
      </c>
      <c r="D1632" s="8" t="s">
        <v>3414</v>
      </c>
      <c r="E1632" s="13">
        <v>2232200</v>
      </c>
      <c r="F1632" s="14">
        <v>4342593</v>
      </c>
    </row>
    <row r="1633" spans="1:6" x14ac:dyDescent="0.3">
      <c r="A1633" s="8">
        <v>1631</v>
      </c>
      <c r="B1633" s="8" t="s">
        <v>1296</v>
      </c>
      <c r="C1633" s="8" t="s">
        <v>3415</v>
      </c>
      <c r="D1633" s="8" t="s">
        <v>3416</v>
      </c>
      <c r="E1633" s="13">
        <v>493900</v>
      </c>
      <c r="F1633" s="14">
        <v>960185</v>
      </c>
    </row>
    <row r="1634" spans="1:6" x14ac:dyDescent="0.3">
      <c r="A1634" s="8">
        <v>1632</v>
      </c>
      <c r="B1634" s="8" t="s">
        <v>1296</v>
      </c>
      <c r="C1634" s="8" t="s">
        <v>3417</v>
      </c>
      <c r="D1634" s="8" t="s">
        <v>3418</v>
      </c>
      <c r="E1634" s="13">
        <v>0</v>
      </c>
      <c r="F1634" s="14">
        <v>4059259</v>
      </c>
    </row>
    <row r="1635" spans="1:6" x14ac:dyDescent="0.3">
      <c r="A1635" s="8">
        <v>1633</v>
      </c>
      <c r="B1635" s="8" t="s">
        <v>1296</v>
      </c>
      <c r="C1635" s="8" t="s">
        <v>3419</v>
      </c>
      <c r="D1635" s="8" t="s">
        <v>3420</v>
      </c>
      <c r="E1635" s="13">
        <v>0</v>
      </c>
      <c r="F1635" s="14">
        <v>189815</v>
      </c>
    </row>
    <row r="1636" spans="1:6" x14ac:dyDescent="0.3">
      <c r="A1636" s="8">
        <v>1634</v>
      </c>
      <c r="B1636" s="8" t="s">
        <v>1296</v>
      </c>
      <c r="C1636" s="8" t="s">
        <v>3421</v>
      </c>
      <c r="D1636" s="8" t="s">
        <v>3422</v>
      </c>
      <c r="E1636" s="13">
        <v>0</v>
      </c>
      <c r="F1636" s="14">
        <v>189815</v>
      </c>
    </row>
    <row r="1637" spans="1:6" x14ac:dyDescent="0.3">
      <c r="A1637" s="8">
        <v>1635</v>
      </c>
      <c r="B1637" s="8" t="s">
        <v>2229</v>
      </c>
      <c r="C1637" s="8" t="s">
        <v>3423</v>
      </c>
      <c r="D1637" s="8" t="s">
        <v>3424</v>
      </c>
      <c r="E1637" s="13">
        <v>2232200</v>
      </c>
      <c r="F1637" s="14">
        <v>4342593</v>
      </c>
    </row>
    <row r="1638" spans="1:6" x14ac:dyDescent="0.3">
      <c r="A1638" s="8">
        <v>1636</v>
      </c>
      <c r="B1638" s="8" t="s">
        <v>2229</v>
      </c>
      <c r="C1638" s="8" t="s">
        <v>3425</v>
      </c>
      <c r="D1638" s="8" t="s">
        <v>3426</v>
      </c>
      <c r="E1638" s="13">
        <v>0</v>
      </c>
      <c r="F1638" s="14">
        <v>0</v>
      </c>
    </row>
    <row r="1639" spans="1:6" x14ac:dyDescent="0.3">
      <c r="A1639" s="8">
        <v>1637</v>
      </c>
      <c r="B1639" s="8" t="s">
        <v>2229</v>
      </c>
      <c r="C1639" s="8" t="s">
        <v>3427</v>
      </c>
      <c r="D1639" s="8" t="s">
        <v>3428</v>
      </c>
      <c r="E1639" s="13">
        <v>2540600</v>
      </c>
      <c r="F1639" s="14">
        <v>5900000</v>
      </c>
    </row>
    <row r="1640" spans="1:6" x14ac:dyDescent="0.3">
      <c r="A1640" s="8">
        <v>1638</v>
      </c>
      <c r="B1640" s="8" t="s">
        <v>2229</v>
      </c>
      <c r="C1640" s="8" t="s">
        <v>3429</v>
      </c>
      <c r="D1640" s="8" t="s">
        <v>3430</v>
      </c>
      <c r="E1640" s="13">
        <v>2632000</v>
      </c>
      <c r="F1640" s="14">
        <v>6203704</v>
      </c>
    </row>
    <row r="1641" spans="1:6" x14ac:dyDescent="0.3">
      <c r="A1641" s="8">
        <v>1639</v>
      </c>
      <c r="B1641" s="8" t="s">
        <v>2229</v>
      </c>
      <c r="C1641" s="8" t="s">
        <v>3431</v>
      </c>
      <c r="D1641" s="8" t="s">
        <v>3432</v>
      </c>
      <c r="E1641" s="13">
        <v>2632000</v>
      </c>
      <c r="F1641" s="14">
        <v>6203704</v>
      </c>
    </row>
    <row r="1642" spans="1:6" x14ac:dyDescent="0.3">
      <c r="A1642" s="8">
        <v>1640</v>
      </c>
      <c r="B1642" s="8" t="s">
        <v>2229</v>
      </c>
      <c r="C1642" s="8" t="s">
        <v>3433</v>
      </c>
      <c r="D1642" s="8" t="s">
        <v>3434</v>
      </c>
      <c r="E1642" s="13">
        <v>0</v>
      </c>
      <c r="F1642" s="14">
        <v>0</v>
      </c>
    </row>
    <row r="1643" spans="1:6" x14ac:dyDescent="0.3">
      <c r="A1643" s="8">
        <v>1641</v>
      </c>
      <c r="B1643" s="8" t="s">
        <v>2229</v>
      </c>
      <c r="C1643" s="8" t="s">
        <v>3435</v>
      </c>
      <c r="D1643" s="8" t="s">
        <v>3436</v>
      </c>
      <c r="E1643" s="13">
        <v>2632000</v>
      </c>
      <c r="F1643" s="14">
        <v>6203704</v>
      </c>
    </row>
    <row r="1644" spans="1:6" x14ac:dyDescent="0.3">
      <c r="A1644" s="8">
        <v>1642</v>
      </c>
      <c r="B1644" s="8" t="s">
        <v>2303</v>
      </c>
      <c r="C1644" s="8" t="s">
        <v>3437</v>
      </c>
      <c r="D1644" s="8" t="s">
        <v>3438</v>
      </c>
      <c r="E1644" s="13">
        <v>0</v>
      </c>
      <c r="F1644" s="14">
        <v>0</v>
      </c>
    </row>
    <row r="1645" spans="1:6" x14ac:dyDescent="0.3">
      <c r="A1645" s="8">
        <v>1643</v>
      </c>
      <c r="B1645" s="8" t="s">
        <v>2303</v>
      </c>
      <c r="C1645" s="8" t="s">
        <v>3439</v>
      </c>
      <c r="D1645" s="8" t="s">
        <v>3440</v>
      </c>
      <c r="E1645" s="13">
        <v>22000</v>
      </c>
      <c r="F1645" s="14">
        <v>38000</v>
      </c>
    </row>
    <row r="1646" spans="1:6" x14ac:dyDescent="0.3">
      <c r="A1646" s="8">
        <v>1644</v>
      </c>
      <c r="B1646" s="8" t="s">
        <v>2303</v>
      </c>
      <c r="C1646" s="8" t="s">
        <v>3441</v>
      </c>
      <c r="D1646" s="8" t="s">
        <v>3442</v>
      </c>
      <c r="E1646" s="13">
        <v>26500</v>
      </c>
      <c r="F1646" s="14">
        <v>52963</v>
      </c>
    </row>
    <row r="1647" spans="1:6" x14ac:dyDescent="0.3">
      <c r="A1647" s="8">
        <v>1645</v>
      </c>
      <c r="B1647" s="8" t="s">
        <v>2303</v>
      </c>
      <c r="C1647" s="8" t="s">
        <v>3443</v>
      </c>
      <c r="D1647" s="8" t="s">
        <v>3444</v>
      </c>
      <c r="E1647" s="13">
        <v>27600</v>
      </c>
      <c r="F1647" s="14">
        <v>55185</v>
      </c>
    </row>
    <row r="1648" spans="1:6" x14ac:dyDescent="0.3">
      <c r="A1648" s="8">
        <v>1646</v>
      </c>
      <c r="B1648" s="8" t="s">
        <v>2303</v>
      </c>
      <c r="C1648" s="8" t="s">
        <v>3445</v>
      </c>
      <c r="D1648" s="8" t="s">
        <v>3446</v>
      </c>
      <c r="E1648" s="13">
        <v>26500</v>
      </c>
      <c r="F1648" s="14">
        <v>52963</v>
      </c>
    </row>
    <row r="1649" spans="1:6" x14ac:dyDescent="0.3">
      <c r="A1649" s="8">
        <v>1647</v>
      </c>
      <c r="B1649" s="8" t="s">
        <v>2303</v>
      </c>
      <c r="C1649" s="8" t="s">
        <v>3447</v>
      </c>
      <c r="D1649" s="8" t="s">
        <v>3448</v>
      </c>
      <c r="E1649" s="13">
        <v>29500</v>
      </c>
      <c r="F1649" s="14">
        <v>59000</v>
      </c>
    </row>
    <row r="1650" spans="1:6" x14ac:dyDescent="0.3">
      <c r="A1650" s="8">
        <v>1648</v>
      </c>
      <c r="B1650" s="8" t="s">
        <v>2303</v>
      </c>
      <c r="C1650" s="8" t="s">
        <v>3449</v>
      </c>
      <c r="D1650" s="8" t="s">
        <v>3450</v>
      </c>
      <c r="E1650" s="13">
        <v>63000</v>
      </c>
      <c r="F1650" s="14">
        <v>125926</v>
      </c>
    </row>
    <row r="1651" spans="1:6" x14ac:dyDescent="0.3">
      <c r="A1651" s="8">
        <v>1649</v>
      </c>
      <c r="B1651" s="8" t="s">
        <v>2303</v>
      </c>
      <c r="C1651" s="8" t="s">
        <v>3451</v>
      </c>
      <c r="D1651" s="8" t="s">
        <v>3452</v>
      </c>
      <c r="E1651" s="13">
        <v>20000</v>
      </c>
      <c r="F1651" s="14">
        <v>39815</v>
      </c>
    </row>
    <row r="1652" spans="1:6" x14ac:dyDescent="0.3">
      <c r="A1652" s="8">
        <v>1650</v>
      </c>
      <c r="B1652" s="8" t="s">
        <v>2303</v>
      </c>
      <c r="C1652" s="8" t="s">
        <v>3453</v>
      </c>
      <c r="D1652" s="8" t="s">
        <v>3454</v>
      </c>
      <c r="E1652" s="13">
        <v>0</v>
      </c>
      <c r="F1652" s="14">
        <v>0</v>
      </c>
    </row>
    <row r="1653" spans="1:6" x14ac:dyDescent="0.3">
      <c r="A1653" s="8">
        <v>1651</v>
      </c>
      <c r="B1653" s="8" t="s">
        <v>2303</v>
      </c>
      <c r="C1653" s="8" t="s">
        <v>3455</v>
      </c>
      <c r="D1653" s="8" t="s">
        <v>3456</v>
      </c>
      <c r="E1653" s="13">
        <v>38000</v>
      </c>
      <c r="F1653" s="14">
        <v>76019</v>
      </c>
    </row>
    <row r="1654" spans="1:6" x14ac:dyDescent="0.3">
      <c r="A1654" s="8">
        <v>1652</v>
      </c>
      <c r="B1654" s="8" t="s">
        <v>2303</v>
      </c>
      <c r="C1654" s="8" t="s">
        <v>3457</v>
      </c>
      <c r="D1654" s="8" t="s">
        <v>3458</v>
      </c>
      <c r="E1654" s="13">
        <v>0</v>
      </c>
      <c r="F1654" s="14">
        <v>460185</v>
      </c>
    </row>
    <row r="1655" spans="1:6" x14ac:dyDescent="0.3">
      <c r="A1655" s="8">
        <v>1653</v>
      </c>
      <c r="B1655" s="8" t="s">
        <v>2303</v>
      </c>
      <c r="C1655" s="8" t="s">
        <v>3459</v>
      </c>
      <c r="D1655" s="8" t="s">
        <v>3460</v>
      </c>
      <c r="E1655" s="13">
        <v>0</v>
      </c>
      <c r="F1655" s="14">
        <v>0</v>
      </c>
    </row>
    <row r="1656" spans="1:6" x14ac:dyDescent="0.3">
      <c r="A1656" s="8">
        <v>1654</v>
      </c>
      <c r="B1656" s="8" t="s">
        <v>2303</v>
      </c>
      <c r="C1656" s="8" t="s">
        <v>3461</v>
      </c>
      <c r="D1656" s="8" t="s">
        <v>3462</v>
      </c>
      <c r="E1656" s="13">
        <v>31000</v>
      </c>
      <c r="F1656" s="14">
        <v>62037</v>
      </c>
    </row>
    <row r="1657" spans="1:6" x14ac:dyDescent="0.3">
      <c r="A1657" s="8">
        <v>1655</v>
      </c>
      <c r="B1657" s="8" t="s">
        <v>2303</v>
      </c>
      <c r="C1657" s="8" t="s">
        <v>3463</v>
      </c>
      <c r="D1657" s="8" t="s">
        <v>3464</v>
      </c>
      <c r="E1657" s="13">
        <v>31000</v>
      </c>
      <c r="F1657" s="14">
        <v>62037</v>
      </c>
    </row>
    <row r="1658" spans="1:6" x14ac:dyDescent="0.3">
      <c r="A1658" s="8">
        <v>1656</v>
      </c>
      <c r="B1658" s="8" t="s">
        <v>2303</v>
      </c>
      <c r="C1658" s="8" t="s">
        <v>3465</v>
      </c>
      <c r="D1658" s="8" t="s">
        <v>3466</v>
      </c>
      <c r="E1658" s="13">
        <v>87500</v>
      </c>
      <c r="F1658" s="14">
        <v>175000</v>
      </c>
    </row>
    <row r="1659" spans="1:6" x14ac:dyDescent="0.3">
      <c r="A1659" s="8">
        <v>1657</v>
      </c>
      <c r="B1659" s="8" t="s">
        <v>2303</v>
      </c>
      <c r="C1659" s="8" t="s">
        <v>3467</v>
      </c>
      <c r="D1659" s="8" t="s">
        <v>3468</v>
      </c>
      <c r="E1659" s="13">
        <v>0</v>
      </c>
      <c r="F1659" s="14">
        <v>314815</v>
      </c>
    </row>
    <row r="1660" spans="1:6" x14ac:dyDescent="0.3">
      <c r="A1660" s="8">
        <v>1658</v>
      </c>
      <c r="B1660" s="8" t="s">
        <v>2792</v>
      </c>
      <c r="C1660" s="8" t="s">
        <v>3469</v>
      </c>
      <c r="D1660" s="8" t="s">
        <v>3470</v>
      </c>
      <c r="E1660" s="13">
        <v>0</v>
      </c>
      <c r="F1660" s="14">
        <v>0</v>
      </c>
    </row>
    <row r="1661" spans="1:6" x14ac:dyDescent="0.3">
      <c r="A1661" s="8">
        <v>1659</v>
      </c>
      <c r="B1661" s="8" t="s">
        <v>2303</v>
      </c>
      <c r="C1661" s="8" t="s">
        <v>3471</v>
      </c>
      <c r="D1661" s="8" t="s">
        <v>3472</v>
      </c>
      <c r="E1661" s="13">
        <v>84600</v>
      </c>
      <c r="F1661" s="14">
        <v>169444</v>
      </c>
    </row>
    <row r="1662" spans="1:6" x14ac:dyDescent="0.3">
      <c r="A1662" s="8">
        <v>1660</v>
      </c>
      <c r="B1662" s="8" t="s">
        <v>2303</v>
      </c>
      <c r="C1662" s="8" t="s">
        <v>3473</v>
      </c>
      <c r="D1662" s="8" t="s">
        <v>3474</v>
      </c>
      <c r="E1662" s="13">
        <v>111000</v>
      </c>
      <c r="F1662" s="14">
        <v>222222</v>
      </c>
    </row>
    <row r="1663" spans="1:6" x14ac:dyDescent="0.3">
      <c r="A1663" s="8">
        <v>1661</v>
      </c>
      <c r="B1663" s="8" t="s">
        <v>2303</v>
      </c>
      <c r="C1663" s="8" t="s">
        <v>3475</v>
      </c>
      <c r="D1663" s="8" t="s">
        <v>3476</v>
      </c>
      <c r="E1663" s="13">
        <v>31000</v>
      </c>
      <c r="F1663" s="14">
        <v>62037</v>
      </c>
    </row>
    <row r="1664" spans="1:6" x14ac:dyDescent="0.3">
      <c r="A1664" s="8">
        <v>1662</v>
      </c>
      <c r="B1664" s="8" t="s">
        <v>2303</v>
      </c>
      <c r="C1664" s="8" t="s">
        <v>3477</v>
      </c>
      <c r="D1664" s="8" t="s">
        <v>3478</v>
      </c>
      <c r="E1664" s="13">
        <v>33800</v>
      </c>
      <c r="F1664" s="14">
        <v>67593</v>
      </c>
    </row>
    <row r="1665" spans="1:6" x14ac:dyDescent="0.3">
      <c r="A1665" s="8">
        <v>1663</v>
      </c>
      <c r="B1665" s="8" t="s">
        <v>2303</v>
      </c>
      <c r="C1665" s="8" t="s">
        <v>3479</v>
      </c>
      <c r="D1665" s="8" t="s">
        <v>3480</v>
      </c>
      <c r="E1665" s="13">
        <v>18000</v>
      </c>
      <c r="F1665" s="14">
        <v>36019</v>
      </c>
    </row>
    <row r="1666" spans="1:6" x14ac:dyDescent="0.3">
      <c r="A1666" s="8">
        <v>1664</v>
      </c>
      <c r="B1666" s="8" t="s">
        <v>2303</v>
      </c>
      <c r="C1666" s="8" t="s">
        <v>3481</v>
      </c>
      <c r="D1666" s="8" t="s">
        <v>3482</v>
      </c>
      <c r="E1666" s="13">
        <v>26500</v>
      </c>
      <c r="F1666" s="14">
        <v>52963</v>
      </c>
    </row>
    <row r="1667" spans="1:6" x14ac:dyDescent="0.3">
      <c r="A1667" s="8">
        <v>1665</v>
      </c>
      <c r="B1667" s="8" t="s">
        <v>2303</v>
      </c>
      <c r="C1667" s="8" t="s">
        <v>3483</v>
      </c>
      <c r="D1667" s="8" t="s">
        <v>3484</v>
      </c>
      <c r="E1667" s="13">
        <v>0</v>
      </c>
      <c r="F1667" s="14">
        <v>0</v>
      </c>
    </row>
    <row r="1668" spans="1:6" x14ac:dyDescent="0.3">
      <c r="A1668" s="8">
        <v>1666</v>
      </c>
      <c r="B1668" s="8" t="s">
        <v>2303</v>
      </c>
      <c r="C1668" s="8" t="s">
        <v>3485</v>
      </c>
      <c r="D1668" s="8" t="s">
        <v>3486</v>
      </c>
      <c r="E1668" s="13">
        <v>26500</v>
      </c>
      <c r="F1668" s="14">
        <v>52963</v>
      </c>
    </row>
    <row r="1669" spans="1:6" x14ac:dyDescent="0.3">
      <c r="A1669" s="8">
        <v>1667</v>
      </c>
      <c r="B1669" s="8" t="s">
        <v>2792</v>
      </c>
      <c r="C1669" s="8" t="s">
        <v>3487</v>
      </c>
      <c r="D1669" s="8" t="s">
        <v>3488</v>
      </c>
      <c r="E1669" s="13">
        <v>1283000</v>
      </c>
      <c r="F1669" s="14">
        <v>1341667</v>
      </c>
    </row>
    <row r="1670" spans="1:6" x14ac:dyDescent="0.3">
      <c r="A1670" s="8">
        <v>1668</v>
      </c>
      <c r="B1670" s="8" t="s">
        <v>2792</v>
      </c>
      <c r="C1670" s="8" t="s">
        <v>3489</v>
      </c>
      <c r="D1670" s="8" t="s">
        <v>3490</v>
      </c>
      <c r="E1670" s="13">
        <v>1082000</v>
      </c>
      <c r="F1670" s="14">
        <v>2163889</v>
      </c>
    </row>
    <row r="1671" spans="1:6" x14ac:dyDescent="0.3">
      <c r="A1671" s="8">
        <v>1669</v>
      </c>
      <c r="B1671" s="8" t="s">
        <v>2792</v>
      </c>
      <c r="C1671" s="8" t="s">
        <v>3491</v>
      </c>
      <c r="D1671" s="8" t="s">
        <v>3492</v>
      </c>
      <c r="E1671" s="13">
        <v>0</v>
      </c>
      <c r="F1671" s="14">
        <v>0</v>
      </c>
    </row>
    <row r="1672" spans="1:6" x14ac:dyDescent="0.3">
      <c r="A1672" s="8">
        <v>1670</v>
      </c>
      <c r="B1672" s="8" t="s">
        <v>2792</v>
      </c>
      <c r="C1672" s="8" t="s">
        <v>3493</v>
      </c>
      <c r="D1672" s="8" t="s">
        <v>3494</v>
      </c>
      <c r="E1672" s="13">
        <v>62000</v>
      </c>
      <c r="F1672" s="14">
        <v>124000</v>
      </c>
    </row>
    <row r="1673" spans="1:6" x14ac:dyDescent="0.3">
      <c r="A1673" s="8">
        <v>1671</v>
      </c>
      <c r="B1673" s="8" t="s">
        <v>2792</v>
      </c>
      <c r="C1673" s="8" t="s">
        <v>3495</v>
      </c>
      <c r="D1673" s="8" t="s">
        <v>3496</v>
      </c>
      <c r="E1673" s="13">
        <v>0</v>
      </c>
      <c r="F1673" s="14">
        <v>0</v>
      </c>
    </row>
    <row r="1674" spans="1:6" x14ac:dyDescent="0.3">
      <c r="A1674" s="8">
        <v>1672</v>
      </c>
      <c r="B1674" s="8" t="s">
        <v>2792</v>
      </c>
      <c r="C1674" s="8" t="s">
        <v>3497</v>
      </c>
      <c r="D1674" s="8" t="s">
        <v>3498</v>
      </c>
      <c r="E1674" s="13">
        <v>1319000</v>
      </c>
      <c r="F1674" s="14">
        <v>2637963</v>
      </c>
    </row>
    <row r="1675" spans="1:6" x14ac:dyDescent="0.3">
      <c r="A1675" s="8">
        <v>1673</v>
      </c>
      <c r="B1675" s="8" t="s">
        <v>2792</v>
      </c>
      <c r="C1675" s="8" t="s">
        <v>3499</v>
      </c>
      <c r="D1675" s="8" t="s">
        <v>3500</v>
      </c>
      <c r="E1675" s="13">
        <v>2486000</v>
      </c>
      <c r="F1675" s="14">
        <v>4476000</v>
      </c>
    </row>
    <row r="1676" spans="1:6" x14ac:dyDescent="0.3">
      <c r="A1676" s="8">
        <v>1674</v>
      </c>
      <c r="B1676" s="8" t="s">
        <v>2792</v>
      </c>
      <c r="C1676" s="8" t="s">
        <v>3501</v>
      </c>
      <c r="D1676" s="8" t="s">
        <v>3502</v>
      </c>
      <c r="E1676" s="13">
        <v>1236000</v>
      </c>
      <c r="F1676" s="14">
        <v>2472222</v>
      </c>
    </row>
    <row r="1677" spans="1:6" x14ac:dyDescent="0.3">
      <c r="A1677" s="8">
        <v>1675</v>
      </c>
      <c r="B1677" s="8" t="s">
        <v>2792</v>
      </c>
      <c r="C1677" s="8" t="s">
        <v>3503</v>
      </c>
      <c r="D1677" s="8" t="s">
        <v>3504</v>
      </c>
      <c r="E1677" s="13">
        <v>676000</v>
      </c>
      <c r="F1677" s="14">
        <v>1351852</v>
      </c>
    </row>
    <row r="1678" spans="1:6" x14ac:dyDescent="0.3">
      <c r="A1678" s="8">
        <v>1676</v>
      </c>
      <c r="B1678" s="8" t="s">
        <v>2792</v>
      </c>
      <c r="C1678" s="8" t="s">
        <v>3505</v>
      </c>
      <c r="D1678" s="8" t="s">
        <v>3506</v>
      </c>
      <c r="E1678" s="13">
        <v>0</v>
      </c>
      <c r="F1678" s="14">
        <v>0</v>
      </c>
    </row>
    <row r="1679" spans="1:6" x14ac:dyDescent="0.3">
      <c r="A1679" s="8">
        <v>1677</v>
      </c>
      <c r="B1679" s="8" t="s">
        <v>2792</v>
      </c>
      <c r="C1679" s="8" t="s">
        <v>3507</v>
      </c>
      <c r="D1679" s="8" t="s">
        <v>3508</v>
      </c>
      <c r="E1679" s="13">
        <v>0</v>
      </c>
      <c r="F1679" s="14">
        <v>0</v>
      </c>
    </row>
    <row r="1680" spans="1:6" x14ac:dyDescent="0.3">
      <c r="A1680" s="8">
        <v>1678</v>
      </c>
      <c r="B1680" s="8" t="s">
        <v>2792</v>
      </c>
      <c r="C1680" s="8" t="s">
        <v>3509</v>
      </c>
      <c r="D1680" s="8" t="s">
        <v>3510</v>
      </c>
      <c r="E1680" s="13">
        <v>0</v>
      </c>
      <c r="F1680" s="14">
        <v>6489815</v>
      </c>
    </row>
    <row r="1681" spans="1:6" x14ac:dyDescent="0.3">
      <c r="A1681" s="8">
        <v>1679</v>
      </c>
      <c r="B1681" s="8" t="s">
        <v>2792</v>
      </c>
      <c r="C1681" s="8" t="s">
        <v>3511</v>
      </c>
      <c r="D1681" s="8" t="s">
        <v>3512</v>
      </c>
      <c r="E1681" s="13">
        <v>1385200</v>
      </c>
      <c r="F1681" s="14">
        <v>2314545</v>
      </c>
    </row>
    <row r="1682" spans="1:6" x14ac:dyDescent="0.3">
      <c r="A1682" s="8">
        <v>1680</v>
      </c>
      <c r="B1682" s="8" t="s">
        <v>2792</v>
      </c>
      <c r="C1682" s="8" t="s">
        <v>3513</v>
      </c>
      <c r="D1682" s="8" t="s">
        <v>3514</v>
      </c>
      <c r="E1682" s="13">
        <v>210000</v>
      </c>
      <c r="F1682" s="14">
        <v>420370</v>
      </c>
    </row>
    <row r="1683" spans="1:6" x14ac:dyDescent="0.3">
      <c r="A1683" s="8">
        <v>1681</v>
      </c>
      <c r="B1683" s="8" t="s">
        <v>2792</v>
      </c>
      <c r="C1683" s="8" t="s">
        <v>3515</v>
      </c>
      <c r="D1683" s="8" t="s">
        <v>3516</v>
      </c>
      <c r="E1683" s="13">
        <v>0</v>
      </c>
      <c r="F1683" s="14">
        <v>0</v>
      </c>
    </row>
    <row r="1684" spans="1:6" x14ac:dyDescent="0.3">
      <c r="A1684" s="8">
        <v>1682</v>
      </c>
      <c r="B1684" s="8" t="s">
        <v>2792</v>
      </c>
      <c r="C1684" s="8" t="s">
        <v>3517</v>
      </c>
      <c r="D1684" s="8" t="s">
        <v>3518</v>
      </c>
      <c r="E1684" s="13">
        <v>0</v>
      </c>
      <c r="F1684" s="14">
        <v>0</v>
      </c>
    </row>
    <row r="1685" spans="1:6" x14ac:dyDescent="0.3">
      <c r="A1685" s="8">
        <v>1683</v>
      </c>
      <c r="B1685" s="8" t="s">
        <v>2792</v>
      </c>
      <c r="C1685" s="8" t="s">
        <v>3519</v>
      </c>
      <c r="D1685" s="8" t="s">
        <v>3520</v>
      </c>
      <c r="E1685" s="13">
        <v>0</v>
      </c>
      <c r="F1685" s="14">
        <v>0</v>
      </c>
    </row>
    <row r="1686" spans="1:6" x14ac:dyDescent="0.3">
      <c r="A1686" s="8">
        <v>1684</v>
      </c>
      <c r="B1686" s="8" t="s">
        <v>2303</v>
      </c>
      <c r="C1686" s="8" t="s">
        <v>3521</v>
      </c>
      <c r="D1686" s="8" t="s">
        <v>3522</v>
      </c>
      <c r="E1686" s="13">
        <v>86800</v>
      </c>
      <c r="F1686" s="14">
        <v>173148</v>
      </c>
    </row>
    <row r="1687" spans="1:6" x14ac:dyDescent="0.3">
      <c r="A1687" s="8">
        <v>1685</v>
      </c>
      <c r="B1687" s="8" t="s">
        <v>2303</v>
      </c>
      <c r="C1687" s="8" t="s">
        <v>3523</v>
      </c>
      <c r="D1687" s="8" t="s">
        <v>3524</v>
      </c>
      <c r="E1687" s="13">
        <v>117000</v>
      </c>
      <c r="F1687" s="14">
        <v>266000</v>
      </c>
    </row>
    <row r="1688" spans="1:6" x14ac:dyDescent="0.3">
      <c r="A1688" s="8">
        <v>1686</v>
      </c>
      <c r="B1688" s="8" t="s">
        <v>2303</v>
      </c>
      <c r="C1688" s="8" t="s">
        <v>3525</v>
      </c>
      <c r="D1688" s="8" t="s">
        <v>3526</v>
      </c>
      <c r="E1688" s="13">
        <v>63000</v>
      </c>
      <c r="F1688" s="14">
        <v>132407</v>
      </c>
    </row>
    <row r="1689" spans="1:6" x14ac:dyDescent="0.3">
      <c r="A1689" s="8">
        <v>1687</v>
      </c>
      <c r="B1689" s="8" t="s">
        <v>2303</v>
      </c>
      <c r="C1689" s="8" t="s">
        <v>3527</v>
      </c>
      <c r="D1689" s="8" t="s">
        <v>3528</v>
      </c>
      <c r="E1689" s="13">
        <v>29400</v>
      </c>
      <c r="F1689" s="14">
        <v>59259</v>
      </c>
    </row>
    <row r="1690" spans="1:6" x14ac:dyDescent="0.3">
      <c r="A1690" s="8">
        <v>1688</v>
      </c>
      <c r="B1690" s="8" t="s">
        <v>2303</v>
      </c>
      <c r="C1690" s="8" t="s">
        <v>3529</v>
      </c>
      <c r="D1690" s="8" t="s">
        <v>3530</v>
      </c>
      <c r="E1690" s="13">
        <v>53000</v>
      </c>
      <c r="F1690" s="14">
        <v>105556</v>
      </c>
    </row>
    <row r="1691" spans="1:6" x14ac:dyDescent="0.3">
      <c r="A1691" s="8">
        <v>1689</v>
      </c>
      <c r="B1691" s="8" t="s">
        <v>2303</v>
      </c>
      <c r="C1691" s="8" t="s">
        <v>3531</v>
      </c>
      <c r="D1691" s="8" t="s">
        <v>3532</v>
      </c>
      <c r="E1691" s="13">
        <v>111000</v>
      </c>
      <c r="F1691" s="14">
        <v>222222</v>
      </c>
    </row>
    <row r="1692" spans="1:6" x14ac:dyDescent="0.3">
      <c r="A1692" s="8">
        <v>1690</v>
      </c>
      <c r="B1692" s="8" t="s">
        <v>2303</v>
      </c>
      <c r="C1692" s="8" t="s">
        <v>3533</v>
      </c>
      <c r="D1692" s="8" t="s">
        <v>3534</v>
      </c>
      <c r="E1692" s="13">
        <v>0</v>
      </c>
      <c r="F1692" s="14">
        <v>0</v>
      </c>
    </row>
    <row r="1693" spans="1:6" x14ac:dyDescent="0.3">
      <c r="A1693" s="8">
        <v>1691</v>
      </c>
      <c r="B1693" s="8" t="s">
        <v>2303</v>
      </c>
      <c r="C1693" s="8" t="s">
        <v>3535</v>
      </c>
      <c r="D1693" s="8" t="s">
        <v>3536</v>
      </c>
      <c r="E1693" s="13">
        <v>84600</v>
      </c>
      <c r="F1693" s="14">
        <v>179630</v>
      </c>
    </row>
    <row r="1694" spans="1:6" x14ac:dyDescent="0.3">
      <c r="A1694" s="8">
        <v>1692</v>
      </c>
      <c r="B1694" s="8" t="s">
        <v>2303</v>
      </c>
      <c r="C1694" s="8" t="s">
        <v>3537</v>
      </c>
      <c r="D1694" s="8" t="s">
        <v>3538</v>
      </c>
      <c r="E1694" s="13">
        <v>23000</v>
      </c>
      <c r="F1694" s="14">
        <v>46019</v>
      </c>
    </row>
    <row r="1695" spans="1:6" x14ac:dyDescent="0.3">
      <c r="A1695" s="8">
        <v>1693</v>
      </c>
      <c r="B1695" s="8" t="s">
        <v>2303</v>
      </c>
      <c r="C1695" s="8" t="s">
        <v>3539</v>
      </c>
      <c r="D1695" s="8" t="s">
        <v>3540</v>
      </c>
      <c r="E1695" s="13">
        <v>48000</v>
      </c>
      <c r="F1695" s="14">
        <v>96019</v>
      </c>
    </row>
    <row r="1696" spans="1:6" x14ac:dyDescent="0.3">
      <c r="A1696" s="8">
        <v>1694</v>
      </c>
      <c r="B1696" s="8" t="s">
        <v>2303</v>
      </c>
      <c r="C1696" s="8" t="s">
        <v>3541</v>
      </c>
      <c r="D1696" s="8" t="s">
        <v>3542</v>
      </c>
      <c r="E1696" s="13">
        <v>0</v>
      </c>
      <c r="F1696" s="14">
        <v>0</v>
      </c>
    </row>
    <row r="1697" spans="1:6" x14ac:dyDescent="0.3">
      <c r="A1697" s="8">
        <v>1695</v>
      </c>
      <c r="B1697" s="8" t="s">
        <v>2303</v>
      </c>
      <c r="C1697" s="8" t="s">
        <v>3543</v>
      </c>
      <c r="D1697" s="8" t="s">
        <v>3544</v>
      </c>
      <c r="E1697" s="13">
        <v>189000</v>
      </c>
      <c r="F1697" s="14">
        <v>377778</v>
      </c>
    </row>
    <row r="1698" spans="1:6" x14ac:dyDescent="0.3">
      <c r="A1698" s="8">
        <v>1696</v>
      </c>
      <c r="B1698" s="8" t="s">
        <v>2303</v>
      </c>
      <c r="C1698" s="8" t="s">
        <v>3545</v>
      </c>
      <c r="D1698" s="8" t="s">
        <v>3546</v>
      </c>
      <c r="E1698" s="13">
        <v>88500</v>
      </c>
      <c r="F1698" s="14">
        <v>176852</v>
      </c>
    </row>
    <row r="1699" spans="1:6" x14ac:dyDescent="0.3">
      <c r="A1699" s="8">
        <v>1697</v>
      </c>
      <c r="B1699" s="8" t="s">
        <v>2303</v>
      </c>
      <c r="C1699" s="8" t="s">
        <v>3547</v>
      </c>
      <c r="D1699" s="8" t="s">
        <v>3548</v>
      </c>
      <c r="E1699" s="13">
        <v>0</v>
      </c>
      <c r="F1699" s="14">
        <v>0</v>
      </c>
    </row>
    <row r="1700" spans="1:6" x14ac:dyDescent="0.3">
      <c r="A1700" s="8">
        <v>1698</v>
      </c>
      <c r="B1700" s="8" t="s">
        <v>2303</v>
      </c>
      <c r="C1700" s="8" t="s">
        <v>3549</v>
      </c>
      <c r="D1700" s="8" t="s">
        <v>3550</v>
      </c>
      <c r="E1700" s="13">
        <v>0</v>
      </c>
      <c r="F1700" s="14">
        <v>0</v>
      </c>
    </row>
    <row r="1701" spans="1:6" x14ac:dyDescent="0.3">
      <c r="A1701" s="8">
        <v>1699</v>
      </c>
      <c r="B1701" s="8" t="s">
        <v>2303</v>
      </c>
      <c r="C1701" s="8" t="s">
        <v>3551</v>
      </c>
      <c r="D1701" s="8" t="s">
        <v>3552</v>
      </c>
      <c r="E1701" s="13">
        <v>0</v>
      </c>
      <c r="F1701" s="14">
        <v>0</v>
      </c>
    </row>
    <row r="1702" spans="1:6" x14ac:dyDescent="0.3">
      <c r="A1702" s="8">
        <v>1700</v>
      </c>
      <c r="B1702" s="8" t="s">
        <v>2303</v>
      </c>
      <c r="C1702" s="8" t="s">
        <v>3553</v>
      </c>
      <c r="D1702" s="8" t="s">
        <v>3554</v>
      </c>
      <c r="E1702" s="13">
        <v>0</v>
      </c>
      <c r="F1702" s="14">
        <v>0</v>
      </c>
    </row>
    <row r="1703" spans="1:6" x14ac:dyDescent="0.3">
      <c r="A1703" s="8">
        <v>1701</v>
      </c>
      <c r="B1703" s="8" t="s">
        <v>2303</v>
      </c>
      <c r="C1703" s="8" t="s">
        <v>3555</v>
      </c>
      <c r="D1703" s="8" t="s">
        <v>3556</v>
      </c>
      <c r="E1703" s="13">
        <v>0</v>
      </c>
      <c r="F1703" s="14">
        <v>0</v>
      </c>
    </row>
    <row r="1704" spans="1:6" x14ac:dyDescent="0.3">
      <c r="A1704" s="8">
        <v>1702</v>
      </c>
      <c r="B1704" s="8" t="s">
        <v>2792</v>
      </c>
      <c r="C1704" s="8" t="s">
        <v>3557</v>
      </c>
      <c r="D1704" s="8" t="s">
        <v>3558</v>
      </c>
      <c r="E1704" s="13">
        <v>0</v>
      </c>
      <c r="F1704" s="14">
        <v>0</v>
      </c>
    </row>
    <row r="1705" spans="1:6" x14ac:dyDescent="0.3">
      <c r="A1705" s="8">
        <v>1703</v>
      </c>
      <c r="B1705" s="8" t="s">
        <v>2792</v>
      </c>
      <c r="C1705" s="8" t="s">
        <v>3559</v>
      </c>
      <c r="D1705" s="8" t="s">
        <v>3560</v>
      </c>
      <c r="E1705" s="13">
        <v>0</v>
      </c>
      <c r="F1705" s="14">
        <v>0</v>
      </c>
    </row>
    <row r="1706" spans="1:6" x14ac:dyDescent="0.3">
      <c r="A1706" s="8">
        <v>1704</v>
      </c>
      <c r="B1706" s="8" t="s">
        <v>2792</v>
      </c>
      <c r="C1706" s="8" t="s">
        <v>3561</v>
      </c>
      <c r="D1706" s="8" t="s">
        <v>3562</v>
      </c>
      <c r="E1706" s="13">
        <v>0</v>
      </c>
      <c r="F1706" s="14">
        <v>0</v>
      </c>
    </row>
    <row r="1707" spans="1:6" x14ac:dyDescent="0.3">
      <c r="A1707" s="8">
        <v>1705</v>
      </c>
      <c r="B1707" s="8" t="s">
        <v>2792</v>
      </c>
      <c r="C1707" s="8" t="s">
        <v>3563</v>
      </c>
      <c r="D1707" s="8" t="s">
        <v>3564</v>
      </c>
      <c r="E1707" s="13">
        <v>676000</v>
      </c>
      <c r="F1707" s="14">
        <v>1351852</v>
      </c>
    </row>
    <row r="1708" spans="1:6" x14ac:dyDescent="0.3">
      <c r="A1708" s="8">
        <v>1706</v>
      </c>
      <c r="B1708" s="8" t="s">
        <v>2792</v>
      </c>
      <c r="C1708" s="8" t="s">
        <v>3565</v>
      </c>
      <c r="D1708" s="8" t="s">
        <v>3566</v>
      </c>
      <c r="E1708" s="13">
        <v>630000</v>
      </c>
      <c r="F1708" s="14">
        <v>1260185</v>
      </c>
    </row>
    <row r="1709" spans="1:6" x14ac:dyDescent="0.3">
      <c r="A1709" s="8">
        <v>1707</v>
      </c>
      <c r="B1709" s="8" t="s">
        <v>2792</v>
      </c>
      <c r="C1709" s="8" t="s">
        <v>3567</v>
      </c>
      <c r="D1709" s="8" t="s">
        <v>3568</v>
      </c>
      <c r="E1709" s="13">
        <v>0</v>
      </c>
      <c r="F1709" s="14">
        <v>3520000</v>
      </c>
    </row>
    <row r="1710" spans="1:6" x14ac:dyDescent="0.3">
      <c r="A1710" s="8">
        <v>1708</v>
      </c>
      <c r="B1710" s="8" t="s">
        <v>2792</v>
      </c>
      <c r="C1710" s="8" t="s">
        <v>3569</v>
      </c>
      <c r="D1710" s="8" t="s">
        <v>3570</v>
      </c>
      <c r="E1710" s="13">
        <v>0</v>
      </c>
      <c r="F1710" s="14">
        <v>8800000</v>
      </c>
    </row>
    <row r="1711" spans="1:6" x14ac:dyDescent="0.3">
      <c r="A1711" s="8">
        <v>1709</v>
      </c>
      <c r="B1711" s="8" t="s">
        <v>2303</v>
      </c>
      <c r="C1711" s="8" t="s">
        <v>3571</v>
      </c>
      <c r="D1711" s="8" t="s">
        <v>3572</v>
      </c>
      <c r="E1711" s="13">
        <v>72300</v>
      </c>
      <c r="F1711" s="14">
        <v>144444</v>
      </c>
    </row>
    <row r="1712" spans="1:6" x14ac:dyDescent="0.3">
      <c r="A1712" s="8">
        <v>1710</v>
      </c>
      <c r="B1712" s="8" t="s">
        <v>2303</v>
      </c>
      <c r="C1712" s="8" t="s">
        <v>3573</v>
      </c>
      <c r="D1712" s="8" t="s">
        <v>3574</v>
      </c>
      <c r="E1712" s="13">
        <v>0</v>
      </c>
      <c r="F1712" s="14">
        <v>0</v>
      </c>
    </row>
    <row r="1713" spans="1:6" x14ac:dyDescent="0.3">
      <c r="A1713" s="8">
        <v>1711</v>
      </c>
      <c r="B1713" s="8" t="s">
        <v>2303</v>
      </c>
      <c r="C1713" s="8" t="s">
        <v>3575</v>
      </c>
      <c r="D1713" s="8" t="s">
        <v>3576</v>
      </c>
      <c r="E1713" s="13">
        <v>0</v>
      </c>
      <c r="F1713" s="14">
        <v>0</v>
      </c>
    </row>
    <row r="1714" spans="1:6" x14ac:dyDescent="0.3">
      <c r="A1714" s="8">
        <v>1712</v>
      </c>
      <c r="B1714" s="8" t="s">
        <v>2303</v>
      </c>
      <c r="C1714" s="8" t="s">
        <v>3577</v>
      </c>
      <c r="D1714" s="8" t="s">
        <v>3578</v>
      </c>
      <c r="E1714" s="13">
        <v>0</v>
      </c>
      <c r="F1714" s="14">
        <v>0</v>
      </c>
    </row>
    <row r="1715" spans="1:6" x14ac:dyDescent="0.3">
      <c r="A1715" s="8">
        <v>1713</v>
      </c>
      <c r="B1715" s="8" t="s">
        <v>2303</v>
      </c>
      <c r="C1715" s="8" t="s">
        <v>3579</v>
      </c>
      <c r="D1715" s="8" t="s">
        <v>3580</v>
      </c>
      <c r="E1715" s="13">
        <v>63000</v>
      </c>
      <c r="F1715" s="14">
        <v>125926</v>
      </c>
    </row>
    <row r="1716" spans="1:6" x14ac:dyDescent="0.3">
      <c r="A1716" s="8">
        <v>1714</v>
      </c>
      <c r="B1716" s="8" t="s">
        <v>2303</v>
      </c>
      <c r="C1716" s="8" t="s">
        <v>3581</v>
      </c>
      <c r="D1716" s="8" t="s">
        <v>3582</v>
      </c>
      <c r="E1716" s="13">
        <v>87500</v>
      </c>
      <c r="F1716" s="14">
        <v>175000</v>
      </c>
    </row>
    <row r="1717" spans="1:6" x14ac:dyDescent="0.3">
      <c r="A1717" s="8">
        <v>1715</v>
      </c>
      <c r="B1717" s="8" t="s">
        <v>2303</v>
      </c>
      <c r="C1717" s="8" t="s">
        <v>3583</v>
      </c>
      <c r="D1717" s="8" t="s">
        <v>3584</v>
      </c>
      <c r="E1717" s="13">
        <v>0</v>
      </c>
      <c r="F1717" s="14">
        <v>0</v>
      </c>
    </row>
    <row r="1718" spans="1:6" x14ac:dyDescent="0.3">
      <c r="A1718" s="8">
        <v>1716</v>
      </c>
      <c r="B1718" s="8" t="s">
        <v>2792</v>
      </c>
      <c r="C1718" s="8" t="s">
        <v>3585</v>
      </c>
      <c r="D1718" s="8" t="s">
        <v>3586</v>
      </c>
      <c r="E1718" s="13">
        <v>0</v>
      </c>
      <c r="F1718" s="14">
        <v>0</v>
      </c>
    </row>
    <row r="1719" spans="1:6" x14ac:dyDescent="0.3">
      <c r="A1719" s="8">
        <v>1717</v>
      </c>
      <c r="B1719" s="8" t="s">
        <v>2792</v>
      </c>
      <c r="C1719" s="8" t="s">
        <v>3587</v>
      </c>
      <c r="D1719" s="8" t="s">
        <v>3588</v>
      </c>
      <c r="E1719" s="13">
        <v>1241000</v>
      </c>
      <c r="F1719" s="14">
        <v>2482407</v>
      </c>
    </row>
    <row r="1720" spans="1:6" x14ac:dyDescent="0.3">
      <c r="A1720" s="8">
        <v>1718</v>
      </c>
      <c r="B1720" s="8" t="s">
        <v>2792</v>
      </c>
      <c r="C1720" s="8" t="s">
        <v>3589</v>
      </c>
      <c r="D1720" s="8" t="s">
        <v>3590</v>
      </c>
      <c r="E1720" s="13">
        <v>3279000</v>
      </c>
      <c r="F1720" s="14">
        <v>6558333</v>
      </c>
    </row>
    <row r="1721" spans="1:6" x14ac:dyDescent="0.3">
      <c r="A1721" s="8">
        <v>1719</v>
      </c>
      <c r="B1721" s="8" t="s">
        <v>2792</v>
      </c>
      <c r="C1721" s="8" t="s">
        <v>3591</v>
      </c>
      <c r="D1721" s="8" t="s">
        <v>3592</v>
      </c>
      <c r="E1721" s="13">
        <v>143000</v>
      </c>
      <c r="F1721" s="14">
        <v>286000</v>
      </c>
    </row>
    <row r="1722" spans="1:6" x14ac:dyDescent="0.3">
      <c r="A1722" s="8">
        <v>1720</v>
      </c>
      <c r="B1722" s="8" t="s">
        <v>2792</v>
      </c>
      <c r="C1722" s="8" t="s">
        <v>3593</v>
      </c>
      <c r="D1722" s="8" t="s">
        <v>3594</v>
      </c>
      <c r="E1722" s="13">
        <v>0</v>
      </c>
      <c r="F1722" s="14">
        <v>0</v>
      </c>
    </row>
    <row r="1723" spans="1:6" x14ac:dyDescent="0.3">
      <c r="A1723" s="8">
        <v>1721</v>
      </c>
      <c r="B1723" s="8" t="s">
        <v>2792</v>
      </c>
      <c r="C1723" s="8" t="s">
        <v>3595</v>
      </c>
      <c r="D1723" s="8" t="s">
        <v>3596</v>
      </c>
      <c r="E1723" s="13">
        <v>304000</v>
      </c>
      <c r="F1723" s="14">
        <v>608333</v>
      </c>
    </row>
    <row r="1724" spans="1:6" x14ac:dyDescent="0.3">
      <c r="A1724" s="8">
        <v>1722</v>
      </c>
      <c r="B1724" s="8" t="s">
        <v>2792</v>
      </c>
      <c r="C1724" s="8" t="s">
        <v>3597</v>
      </c>
      <c r="D1724" s="8" t="s">
        <v>3598</v>
      </c>
      <c r="E1724" s="13">
        <v>3447000</v>
      </c>
      <c r="F1724" s="14">
        <v>5760185</v>
      </c>
    </row>
    <row r="1725" spans="1:6" x14ac:dyDescent="0.3">
      <c r="A1725" s="8">
        <v>1723</v>
      </c>
      <c r="B1725" s="8" t="s">
        <v>2792</v>
      </c>
      <c r="C1725" s="8" t="s">
        <v>3599</v>
      </c>
      <c r="D1725" s="8" t="s">
        <v>3600</v>
      </c>
      <c r="E1725" s="13">
        <v>0</v>
      </c>
      <c r="F1725" s="14">
        <v>0</v>
      </c>
    </row>
    <row r="1726" spans="1:6" x14ac:dyDescent="0.3">
      <c r="A1726" s="8">
        <v>1724</v>
      </c>
      <c r="B1726" s="8" t="s">
        <v>2792</v>
      </c>
      <c r="C1726" s="8" t="s">
        <v>3601</v>
      </c>
      <c r="D1726" s="8" t="s">
        <v>3602</v>
      </c>
      <c r="E1726" s="13">
        <v>0</v>
      </c>
      <c r="F1726" s="14">
        <v>0</v>
      </c>
    </row>
    <row r="1727" spans="1:6" x14ac:dyDescent="0.3">
      <c r="A1727" s="8">
        <v>1725</v>
      </c>
      <c r="B1727" s="8" t="s">
        <v>2792</v>
      </c>
      <c r="C1727" s="8" t="s">
        <v>3603</v>
      </c>
      <c r="D1727" s="8" t="s">
        <v>3604</v>
      </c>
      <c r="E1727" s="13">
        <v>0</v>
      </c>
      <c r="F1727" s="14">
        <v>0</v>
      </c>
    </row>
    <row r="1728" spans="1:6" x14ac:dyDescent="0.3">
      <c r="A1728" s="8">
        <v>1726</v>
      </c>
      <c r="B1728" s="8" t="s">
        <v>2792</v>
      </c>
      <c r="C1728" s="8" t="s">
        <v>3605</v>
      </c>
      <c r="D1728" s="8" t="s">
        <v>3606</v>
      </c>
      <c r="E1728" s="13">
        <v>0</v>
      </c>
      <c r="F1728" s="14">
        <v>1800000</v>
      </c>
    </row>
    <row r="1729" spans="1:6" x14ac:dyDescent="0.3">
      <c r="A1729" s="8">
        <v>1727</v>
      </c>
      <c r="B1729" s="8" t="s">
        <v>2792</v>
      </c>
      <c r="C1729" s="8" t="s">
        <v>3607</v>
      </c>
      <c r="D1729" s="8" t="s">
        <v>3608</v>
      </c>
      <c r="E1729" s="13">
        <v>0</v>
      </c>
      <c r="F1729" s="14">
        <v>0</v>
      </c>
    </row>
    <row r="1730" spans="1:6" x14ac:dyDescent="0.3">
      <c r="A1730" s="8">
        <v>1728</v>
      </c>
      <c r="B1730" s="8" t="s">
        <v>2792</v>
      </c>
      <c r="C1730" s="8" t="s">
        <v>3609</v>
      </c>
      <c r="D1730" s="8" t="s">
        <v>3610</v>
      </c>
      <c r="E1730" s="13">
        <v>0</v>
      </c>
      <c r="F1730" s="14">
        <v>4600000</v>
      </c>
    </row>
    <row r="1731" spans="1:6" x14ac:dyDescent="0.3">
      <c r="A1731" s="8">
        <v>1729</v>
      </c>
      <c r="B1731" s="8" t="s">
        <v>2792</v>
      </c>
      <c r="C1731" s="8" t="s">
        <v>3611</v>
      </c>
      <c r="D1731" s="8" t="s">
        <v>3612</v>
      </c>
      <c r="E1731" s="13">
        <v>0</v>
      </c>
      <c r="F1731" s="14">
        <v>4600000</v>
      </c>
    </row>
    <row r="1732" spans="1:6" x14ac:dyDescent="0.3">
      <c r="A1732" s="8">
        <v>1730</v>
      </c>
      <c r="B1732" s="8" t="s">
        <v>2792</v>
      </c>
      <c r="C1732" s="8" t="s">
        <v>3613</v>
      </c>
      <c r="D1732" s="8" t="s">
        <v>3614</v>
      </c>
      <c r="E1732" s="13">
        <v>0</v>
      </c>
      <c r="F1732" s="14">
        <v>0</v>
      </c>
    </row>
    <row r="1733" spans="1:6" x14ac:dyDescent="0.3">
      <c r="A1733" s="8">
        <v>1731</v>
      </c>
      <c r="B1733" s="8" t="s">
        <v>2792</v>
      </c>
      <c r="C1733" s="8" t="s">
        <v>3615</v>
      </c>
      <c r="D1733" s="8" t="s">
        <v>3616</v>
      </c>
      <c r="E1733" s="13">
        <v>0</v>
      </c>
      <c r="F1733" s="14">
        <v>5600000</v>
      </c>
    </row>
    <row r="1734" spans="1:6" x14ac:dyDescent="0.3">
      <c r="A1734" s="8">
        <v>1732</v>
      </c>
      <c r="B1734" s="8" t="s">
        <v>2792</v>
      </c>
      <c r="C1734" s="8" t="s">
        <v>3617</v>
      </c>
      <c r="D1734" s="8" t="s">
        <v>3618</v>
      </c>
      <c r="E1734" s="13">
        <v>4127000</v>
      </c>
      <c r="F1734" s="14">
        <v>6550000</v>
      </c>
    </row>
    <row r="1735" spans="1:6" x14ac:dyDescent="0.3">
      <c r="A1735" s="8">
        <v>1733</v>
      </c>
      <c r="B1735" s="8" t="s">
        <v>2792</v>
      </c>
      <c r="C1735" s="8" t="s">
        <v>3619</v>
      </c>
      <c r="D1735" s="8" t="s">
        <v>3620</v>
      </c>
      <c r="E1735" s="13">
        <v>1644000</v>
      </c>
      <c r="F1735" s="14">
        <v>2610000</v>
      </c>
    </row>
    <row r="1736" spans="1:6" x14ac:dyDescent="0.3">
      <c r="A1736" s="8">
        <v>1734</v>
      </c>
      <c r="B1736" s="8" t="s">
        <v>2792</v>
      </c>
      <c r="C1736" s="8" t="s">
        <v>3621</v>
      </c>
      <c r="D1736" s="8" t="s">
        <v>3622</v>
      </c>
      <c r="E1736" s="13">
        <v>0</v>
      </c>
      <c r="F1736" s="14">
        <v>7700000</v>
      </c>
    </row>
    <row r="1737" spans="1:6" x14ac:dyDescent="0.3">
      <c r="A1737" s="8">
        <v>1735</v>
      </c>
      <c r="B1737" s="8" t="s">
        <v>2792</v>
      </c>
      <c r="C1737" s="8" t="s">
        <v>3623</v>
      </c>
      <c r="D1737" s="8" t="s">
        <v>3624</v>
      </c>
      <c r="E1737" s="13">
        <v>0</v>
      </c>
      <c r="F1737" s="14">
        <v>4300000</v>
      </c>
    </row>
    <row r="1738" spans="1:6" x14ac:dyDescent="0.3">
      <c r="A1738" s="8">
        <v>1736</v>
      </c>
      <c r="B1738" s="8" t="s">
        <v>2792</v>
      </c>
      <c r="C1738" s="8" t="s">
        <v>3625</v>
      </c>
      <c r="D1738" s="8" t="s">
        <v>3626</v>
      </c>
      <c r="E1738" s="13">
        <v>0</v>
      </c>
      <c r="F1738" s="14">
        <v>0</v>
      </c>
    </row>
    <row r="1739" spans="1:6" x14ac:dyDescent="0.3">
      <c r="A1739" s="8">
        <v>1737</v>
      </c>
      <c r="B1739" s="8" t="s">
        <v>2792</v>
      </c>
      <c r="C1739" s="8" t="s">
        <v>3627</v>
      </c>
      <c r="D1739" s="8" t="s">
        <v>3628</v>
      </c>
      <c r="E1739" s="13">
        <v>0</v>
      </c>
      <c r="F1739" s="14">
        <v>0</v>
      </c>
    </row>
    <row r="1740" spans="1:6" x14ac:dyDescent="0.3">
      <c r="A1740" s="8">
        <v>1738</v>
      </c>
      <c r="B1740" s="8" t="s">
        <v>2792</v>
      </c>
      <c r="C1740" s="8" t="s">
        <v>3629</v>
      </c>
      <c r="D1740" s="8" t="s">
        <v>3630</v>
      </c>
      <c r="E1740" s="13">
        <v>0</v>
      </c>
      <c r="F1740" s="14">
        <v>0</v>
      </c>
    </row>
    <row r="1741" spans="1:6" x14ac:dyDescent="0.3">
      <c r="A1741" s="8">
        <v>1739</v>
      </c>
      <c r="B1741" s="8" t="s">
        <v>2792</v>
      </c>
      <c r="C1741" s="8" t="s">
        <v>3631</v>
      </c>
      <c r="D1741" s="8" t="s">
        <v>3632</v>
      </c>
      <c r="E1741" s="13">
        <v>0</v>
      </c>
      <c r="F1741" s="14">
        <v>0</v>
      </c>
    </row>
    <row r="1742" spans="1:6" x14ac:dyDescent="0.3">
      <c r="A1742" s="8">
        <v>1740</v>
      </c>
      <c r="B1742" s="8" t="s">
        <v>2792</v>
      </c>
      <c r="C1742" s="8" t="s">
        <v>3633</v>
      </c>
      <c r="D1742" s="8" t="s">
        <v>3634</v>
      </c>
      <c r="E1742" s="13">
        <v>0</v>
      </c>
      <c r="F1742" s="14">
        <v>0</v>
      </c>
    </row>
    <row r="1743" spans="1:6" x14ac:dyDescent="0.3">
      <c r="A1743" s="8">
        <v>1741</v>
      </c>
      <c r="B1743" s="8" t="s">
        <v>2792</v>
      </c>
      <c r="C1743" s="8" t="s">
        <v>3635</v>
      </c>
      <c r="D1743" s="8" t="s">
        <v>3636</v>
      </c>
      <c r="E1743" s="13">
        <v>0</v>
      </c>
      <c r="F1743" s="14">
        <v>6800000</v>
      </c>
    </row>
    <row r="1744" spans="1:6" x14ac:dyDescent="0.3">
      <c r="A1744" s="8">
        <v>1742</v>
      </c>
      <c r="B1744" s="8" t="s">
        <v>2792</v>
      </c>
      <c r="C1744" s="8" t="s">
        <v>3637</v>
      </c>
      <c r="D1744" s="8" t="s">
        <v>3638</v>
      </c>
      <c r="E1744" s="13">
        <v>11214000</v>
      </c>
      <c r="F1744" s="14">
        <v>18739815</v>
      </c>
    </row>
    <row r="1745" spans="1:6" x14ac:dyDescent="0.3">
      <c r="A1745" s="8">
        <v>1743</v>
      </c>
      <c r="B1745" s="8" t="s">
        <v>2792</v>
      </c>
      <c r="C1745" s="8" t="s">
        <v>3639</v>
      </c>
      <c r="D1745" s="8" t="s">
        <v>3640</v>
      </c>
      <c r="E1745" s="13">
        <v>0</v>
      </c>
      <c r="F1745" s="14">
        <v>0</v>
      </c>
    </row>
    <row r="1746" spans="1:6" x14ac:dyDescent="0.3">
      <c r="A1746" s="8">
        <v>1744</v>
      </c>
      <c r="B1746" s="8" t="s">
        <v>2792</v>
      </c>
      <c r="C1746" s="8" t="s">
        <v>3641</v>
      </c>
      <c r="D1746" s="8" t="s">
        <v>3642</v>
      </c>
      <c r="E1746" s="13">
        <v>0</v>
      </c>
      <c r="F1746" s="14">
        <v>2689815</v>
      </c>
    </row>
    <row r="1747" spans="1:6" x14ac:dyDescent="0.3">
      <c r="A1747" s="8">
        <v>1745</v>
      </c>
      <c r="B1747" s="8" t="s">
        <v>2792</v>
      </c>
      <c r="C1747" s="8" t="s">
        <v>3643</v>
      </c>
      <c r="D1747" s="8" t="s">
        <v>3644</v>
      </c>
      <c r="E1747" s="13">
        <v>0</v>
      </c>
      <c r="F1747" s="14">
        <v>0</v>
      </c>
    </row>
    <row r="1748" spans="1:6" x14ac:dyDescent="0.3">
      <c r="A1748" s="8">
        <v>1746</v>
      </c>
      <c r="B1748" s="8" t="s">
        <v>2792</v>
      </c>
      <c r="C1748" s="8" t="s">
        <v>3645</v>
      </c>
      <c r="D1748" s="8" t="s">
        <v>3646</v>
      </c>
      <c r="E1748" s="13">
        <v>0</v>
      </c>
      <c r="F1748" s="14">
        <v>1450000</v>
      </c>
    </row>
    <row r="1749" spans="1:6" x14ac:dyDescent="0.3">
      <c r="A1749" s="8">
        <v>1747</v>
      </c>
      <c r="B1749" s="8" t="s">
        <v>2792</v>
      </c>
      <c r="C1749" s="8" t="s">
        <v>3647</v>
      </c>
      <c r="D1749" s="8" t="s">
        <v>3648</v>
      </c>
      <c r="E1749" s="13">
        <v>2033000</v>
      </c>
      <c r="F1749" s="14">
        <v>4065741</v>
      </c>
    </row>
    <row r="1750" spans="1:6" x14ac:dyDescent="0.3">
      <c r="A1750" s="8">
        <v>1748</v>
      </c>
      <c r="B1750" s="8" t="s">
        <v>2792</v>
      </c>
      <c r="C1750" s="8" t="s">
        <v>3649</v>
      </c>
      <c r="D1750" s="8" t="s">
        <v>3650</v>
      </c>
      <c r="E1750" s="13">
        <v>0</v>
      </c>
      <c r="F1750" s="14">
        <v>2970000</v>
      </c>
    </row>
    <row r="1751" spans="1:6" x14ac:dyDescent="0.3">
      <c r="A1751" s="8">
        <v>1749</v>
      </c>
      <c r="B1751" s="8" t="s">
        <v>2792</v>
      </c>
      <c r="C1751" s="8" t="s">
        <v>3651</v>
      </c>
      <c r="D1751" s="8" t="s">
        <v>3652</v>
      </c>
      <c r="E1751" s="13">
        <v>0</v>
      </c>
      <c r="F1751" s="14">
        <v>0</v>
      </c>
    </row>
    <row r="1752" spans="1:6" x14ac:dyDescent="0.3">
      <c r="A1752" s="8">
        <v>1750</v>
      </c>
      <c r="B1752" s="8" t="s">
        <v>2792</v>
      </c>
      <c r="C1752" s="8" t="s">
        <v>3653</v>
      </c>
      <c r="D1752" s="8" t="s">
        <v>3654</v>
      </c>
      <c r="E1752" s="13">
        <v>0</v>
      </c>
      <c r="F1752" s="14">
        <v>0</v>
      </c>
    </row>
    <row r="1753" spans="1:6" x14ac:dyDescent="0.3">
      <c r="A1753" s="8">
        <v>1751</v>
      </c>
      <c r="B1753" s="8" t="s">
        <v>2792</v>
      </c>
      <c r="C1753" s="8" t="s">
        <v>3655</v>
      </c>
      <c r="D1753" s="8" t="s">
        <v>3656</v>
      </c>
      <c r="E1753" s="13">
        <v>0</v>
      </c>
      <c r="F1753" s="14">
        <v>0</v>
      </c>
    </row>
    <row r="1754" spans="1:6" x14ac:dyDescent="0.3">
      <c r="A1754" s="8">
        <v>1752</v>
      </c>
      <c r="B1754" s="8" t="s">
        <v>2792</v>
      </c>
      <c r="C1754" s="8" t="s">
        <v>3657</v>
      </c>
      <c r="D1754" s="8" t="s">
        <v>3658</v>
      </c>
      <c r="E1754" s="13">
        <v>1452000</v>
      </c>
      <c r="F1754" s="14">
        <v>2903704</v>
      </c>
    </row>
    <row r="1755" spans="1:6" x14ac:dyDescent="0.3">
      <c r="A1755" s="8">
        <v>1753</v>
      </c>
      <c r="B1755" s="8" t="s">
        <v>2792</v>
      </c>
      <c r="C1755" s="8" t="s">
        <v>3659</v>
      </c>
      <c r="D1755" s="8" t="s">
        <v>3660</v>
      </c>
      <c r="E1755" s="13">
        <v>0</v>
      </c>
      <c r="F1755" s="14">
        <v>16600000</v>
      </c>
    </row>
    <row r="1756" spans="1:6" x14ac:dyDescent="0.3">
      <c r="A1756" s="8">
        <v>1754</v>
      </c>
      <c r="B1756" s="8" t="s">
        <v>2792</v>
      </c>
      <c r="C1756" s="8" t="s">
        <v>3661</v>
      </c>
      <c r="D1756" s="8" t="s">
        <v>3662</v>
      </c>
      <c r="E1756" s="13">
        <v>2482000</v>
      </c>
      <c r="F1756" s="14">
        <v>3940000</v>
      </c>
    </row>
    <row r="1757" spans="1:6" x14ac:dyDescent="0.3">
      <c r="A1757" s="8">
        <v>1755</v>
      </c>
      <c r="B1757" s="8" t="s">
        <v>2792</v>
      </c>
      <c r="C1757" s="8" t="s">
        <v>3663</v>
      </c>
      <c r="D1757" s="8" t="s">
        <v>3664</v>
      </c>
      <c r="E1757" s="13">
        <v>2514000</v>
      </c>
      <c r="F1757" s="14">
        <v>3990000</v>
      </c>
    </row>
    <row r="1758" spans="1:6" x14ac:dyDescent="0.3">
      <c r="A1758" s="8">
        <v>1756</v>
      </c>
      <c r="B1758" s="8" t="s">
        <v>2792</v>
      </c>
      <c r="C1758" s="8" t="s">
        <v>3665</v>
      </c>
      <c r="D1758" s="8" t="s">
        <v>3666</v>
      </c>
      <c r="E1758" s="13">
        <v>0</v>
      </c>
      <c r="F1758" s="14">
        <v>2450000</v>
      </c>
    </row>
    <row r="1759" spans="1:6" x14ac:dyDescent="0.3">
      <c r="A1759" s="8">
        <v>1757</v>
      </c>
      <c r="B1759" s="8" t="s">
        <v>2792</v>
      </c>
      <c r="C1759" s="8" t="s">
        <v>3667</v>
      </c>
      <c r="D1759" s="8" t="s">
        <v>3668</v>
      </c>
      <c r="E1759" s="13">
        <v>0</v>
      </c>
      <c r="F1759" s="14">
        <v>4000000</v>
      </c>
    </row>
    <row r="1760" spans="1:6" x14ac:dyDescent="0.3">
      <c r="A1760" s="8">
        <v>1758</v>
      </c>
      <c r="B1760" s="8" t="s">
        <v>275</v>
      </c>
      <c r="C1760" s="8" t="s">
        <v>3669</v>
      </c>
      <c r="D1760" s="8" t="s">
        <v>3670</v>
      </c>
      <c r="E1760" s="13">
        <v>0</v>
      </c>
      <c r="F1760" s="14">
        <v>0</v>
      </c>
    </row>
    <row r="1761" spans="1:6" x14ac:dyDescent="0.3">
      <c r="A1761" s="8">
        <v>1759</v>
      </c>
      <c r="B1761" s="8" t="s">
        <v>282</v>
      </c>
      <c r="C1761" s="8" t="s">
        <v>3671</v>
      </c>
      <c r="D1761" s="8" t="s">
        <v>3672</v>
      </c>
      <c r="E1761" s="13">
        <v>0</v>
      </c>
      <c r="F1761" s="14">
        <v>0</v>
      </c>
    </row>
    <row r="1762" spans="1:6" x14ac:dyDescent="0.3">
      <c r="A1762" s="8">
        <v>1760</v>
      </c>
      <c r="B1762" s="8" t="s">
        <v>282</v>
      </c>
      <c r="C1762" s="8" t="s">
        <v>3673</v>
      </c>
      <c r="D1762" s="8" t="s">
        <v>3674</v>
      </c>
      <c r="E1762" s="13">
        <v>0</v>
      </c>
      <c r="F1762" s="14">
        <v>0</v>
      </c>
    </row>
    <row r="1763" spans="1:6" x14ac:dyDescent="0.3">
      <c r="A1763" s="8">
        <v>1761</v>
      </c>
      <c r="B1763" s="8" t="s">
        <v>282</v>
      </c>
      <c r="C1763" s="8" t="s">
        <v>3675</v>
      </c>
      <c r="D1763" s="8" t="s">
        <v>3676</v>
      </c>
      <c r="E1763" s="13">
        <v>71300</v>
      </c>
      <c r="F1763" s="14">
        <v>142593</v>
      </c>
    </row>
    <row r="1764" spans="1:6" x14ac:dyDescent="0.3">
      <c r="A1764" s="8">
        <v>1762</v>
      </c>
      <c r="B1764" s="8" t="s">
        <v>282</v>
      </c>
      <c r="C1764" s="8" t="s">
        <v>3677</v>
      </c>
      <c r="D1764" s="8" t="s">
        <v>3678</v>
      </c>
      <c r="E1764" s="13">
        <v>0</v>
      </c>
      <c r="F1764" s="14">
        <v>23000</v>
      </c>
    </row>
    <row r="1765" spans="1:6" x14ac:dyDescent="0.3">
      <c r="A1765" s="8">
        <v>1763</v>
      </c>
      <c r="B1765" s="8" t="s">
        <v>282</v>
      </c>
      <c r="C1765" s="8" t="s">
        <v>3679</v>
      </c>
      <c r="D1765" s="8" t="s">
        <v>3680</v>
      </c>
      <c r="E1765" s="13">
        <v>40150</v>
      </c>
      <c r="F1765" s="14">
        <v>64000</v>
      </c>
    </row>
    <row r="1766" spans="1:6" x14ac:dyDescent="0.3">
      <c r="A1766" s="8">
        <v>1764</v>
      </c>
      <c r="B1766" s="8" t="s">
        <v>282</v>
      </c>
      <c r="C1766" s="8" t="s">
        <v>3681</v>
      </c>
      <c r="D1766" s="8" t="s">
        <v>3682</v>
      </c>
      <c r="E1766" s="13">
        <v>0</v>
      </c>
      <c r="F1766" s="14">
        <v>0</v>
      </c>
    </row>
    <row r="1767" spans="1:6" x14ac:dyDescent="0.3">
      <c r="A1767" s="8">
        <v>1765</v>
      </c>
      <c r="B1767" s="8" t="s">
        <v>287</v>
      </c>
      <c r="C1767" s="8" t="s">
        <v>3683</v>
      </c>
      <c r="D1767" s="8" t="s">
        <v>3684</v>
      </c>
      <c r="E1767" s="13">
        <v>99700</v>
      </c>
      <c r="F1767" s="14">
        <v>178000</v>
      </c>
    </row>
    <row r="1768" spans="1:6" x14ac:dyDescent="0.3">
      <c r="A1768" s="8">
        <v>1766</v>
      </c>
      <c r="B1768" s="8" t="s">
        <v>287</v>
      </c>
      <c r="C1768" s="8" t="s">
        <v>3685</v>
      </c>
      <c r="D1768" s="8" t="s">
        <v>3686</v>
      </c>
      <c r="E1768" s="13">
        <v>104000</v>
      </c>
      <c r="F1768" s="14">
        <v>208333</v>
      </c>
    </row>
    <row r="1769" spans="1:6" x14ac:dyDescent="0.3">
      <c r="A1769" s="8">
        <v>1767</v>
      </c>
      <c r="B1769" s="8" t="s">
        <v>287</v>
      </c>
      <c r="C1769" s="8" t="s">
        <v>3687</v>
      </c>
      <c r="D1769" s="8" t="s">
        <v>3688</v>
      </c>
      <c r="E1769" s="13">
        <v>0</v>
      </c>
      <c r="F1769" s="14">
        <v>0</v>
      </c>
    </row>
    <row r="1770" spans="1:6" x14ac:dyDescent="0.3">
      <c r="A1770" s="8">
        <v>1768</v>
      </c>
      <c r="B1770" s="8" t="s">
        <v>1259</v>
      </c>
      <c r="C1770" s="8" t="s">
        <v>3689</v>
      </c>
      <c r="D1770" s="8" t="s">
        <v>3690</v>
      </c>
      <c r="E1770" s="13">
        <v>87500</v>
      </c>
      <c r="F1770" s="14">
        <v>139000</v>
      </c>
    </row>
    <row r="1771" spans="1:6" x14ac:dyDescent="0.3">
      <c r="A1771" s="8">
        <v>1769</v>
      </c>
      <c r="B1771" s="8" t="s">
        <v>1259</v>
      </c>
      <c r="C1771" s="8" t="s">
        <v>3691</v>
      </c>
      <c r="D1771" s="8" t="s">
        <v>3692</v>
      </c>
      <c r="E1771" s="13">
        <v>0</v>
      </c>
      <c r="F1771" s="14">
        <v>0</v>
      </c>
    </row>
    <row r="1772" spans="1:6" x14ac:dyDescent="0.3">
      <c r="A1772" s="8">
        <v>1770</v>
      </c>
      <c r="B1772" s="8" t="s">
        <v>1259</v>
      </c>
      <c r="C1772" s="8" t="s">
        <v>3693</v>
      </c>
      <c r="D1772" s="8" t="s">
        <v>3694</v>
      </c>
      <c r="E1772" s="13">
        <v>0</v>
      </c>
      <c r="F1772" s="14">
        <v>0</v>
      </c>
    </row>
    <row r="1773" spans="1:6" x14ac:dyDescent="0.3">
      <c r="A1773" s="8">
        <v>1771</v>
      </c>
      <c r="B1773" s="8" t="s">
        <v>1259</v>
      </c>
      <c r="C1773" s="8" t="s">
        <v>3695</v>
      </c>
      <c r="D1773" s="8" t="s">
        <v>3696</v>
      </c>
      <c r="E1773" s="13">
        <v>0</v>
      </c>
      <c r="F1773" s="14">
        <v>0</v>
      </c>
    </row>
    <row r="1774" spans="1:6" x14ac:dyDescent="0.3">
      <c r="A1774" s="8">
        <v>1772</v>
      </c>
      <c r="B1774" s="8" t="s">
        <v>1259</v>
      </c>
      <c r="C1774" s="8" t="s">
        <v>3697</v>
      </c>
      <c r="D1774" s="8" t="s">
        <v>3698</v>
      </c>
      <c r="E1774" s="13">
        <v>0</v>
      </c>
      <c r="F1774" s="14">
        <v>0</v>
      </c>
    </row>
    <row r="1775" spans="1:6" x14ac:dyDescent="0.3">
      <c r="A1775" s="8">
        <v>1773</v>
      </c>
      <c r="B1775" s="8" t="s">
        <v>1293</v>
      </c>
      <c r="C1775" s="8" t="s">
        <v>3699</v>
      </c>
      <c r="D1775" s="8" t="s">
        <v>3700</v>
      </c>
      <c r="E1775" s="13">
        <v>195000</v>
      </c>
      <c r="F1775" s="14">
        <v>389815</v>
      </c>
    </row>
    <row r="1776" spans="1:6" x14ac:dyDescent="0.3">
      <c r="A1776" s="8">
        <v>1774</v>
      </c>
      <c r="B1776" s="8" t="s">
        <v>1293</v>
      </c>
      <c r="C1776" s="8" t="s">
        <v>3701</v>
      </c>
      <c r="D1776" s="8" t="s">
        <v>3702</v>
      </c>
      <c r="E1776" s="13">
        <v>225000</v>
      </c>
      <c r="F1776" s="14">
        <v>450000</v>
      </c>
    </row>
    <row r="1777" spans="1:6" x14ac:dyDescent="0.3">
      <c r="A1777" s="8">
        <v>1775</v>
      </c>
      <c r="B1777" s="8" t="s">
        <v>1296</v>
      </c>
      <c r="C1777" s="8" t="s">
        <v>3703</v>
      </c>
      <c r="D1777" s="8" t="s">
        <v>3704</v>
      </c>
      <c r="E1777" s="13">
        <v>1605300</v>
      </c>
      <c r="F1777" s="14">
        <v>3122222</v>
      </c>
    </row>
    <row r="1778" spans="1:6" x14ac:dyDescent="0.3">
      <c r="A1778" s="8">
        <v>1776</v>
      </c>
      <c r="B1778" s="8" t="s">
        <v>2229</v>
      </c>
      <c r="C1778" s="8" t="s">
        <v>3705</v>
      </c>
      <c r="D1778" s="8" t="s">
        <v>3706</v>
      </c>
      <c r="E1778" s="13">
        <v>2232200</v>
      </c>
      <c r="F1778" s="14">
        <v>4342593</v>
      </c>
    </row>
    <row r="1779" spans="1:6" x14ac:dyDescent="0.3">
      <c r="A1779" s="8">
        <v>1777</v>
      </c>
      <c r="B1779" s="8" t="s">
        <v>2229</v>
      </c>
      <c r="C1779" s="8" t="s">
        <v>3707</v>
      </c>
      <c r="D1779" s="8" t="s">
        <v>3708</v>
      </c>
      <c r="E1779" s="13">
        <v>393500</v>
      </c>
      <c r="F1779" s="14">
        <v>787037</v>
      </c>
    </row>
    <row r="1780" spans="1:6" x14ac:dyDescent="0.3">
      <c r="A1780" s="8">
        <v>1778</v>
      </c>
      <c r="B1780" s="8" t="s">
        <v>2229</v>
      </c>
      <c r="C1780" s="8" t="s">
        <v>3709</v>
      </c>
      <c r="D1780" s="8" t="s">
        <v>3710</v>
      </c>
      <c r="E1780" s="13">
        <v>2540600</v>
      </c>
      <c r="F1780" s="14">
        <v>5900000</v>
      </c>
    </row>
    <row r="1781" spans="1:6" x14ac:dyDescent="0.3">
      <c r="A1781" s="8">
        <v>1779</v>
      </c>
      <c r="B1781" s="8" t="s">
        <v>2229</v>
      </c>
      <c r="C1781" s="8" t="s">
        <v>3711</v>
      </c>
      <c r="D1781" s="8" t="s">
        <v>3712</v>
      </c>
      <c r="E1781" s="13">
        <v>2540600</v>
      </c>
      <c r="F1781" s="14">
        <v>5900000</v>
      </c>
    </row>
    <row r="1782" spans="1:6" x14ac:dyDescent="0.3">
      <c r="A1782" s="8">
        <v>1780</v>
      </c>
      <c r="B1782" s="8" t="s">
        <v>2229</v>
      </c>
      <c r="C1782" s="8" t="s">
        <v>3713</v>
      </c>
      <c r="D1782" s="8" t="s">
        <v>3714</v>
      </c>
      <c r="E1782" s="13">
        <v>2540600</v>
      </c>
      <c r="F1782" s="14">
        <v>5900000</v>
      </c>
    </row>
    <row r="1783" spans="1:6" x14ac:dyDescent="0.3">
      <c r="A1783" s="8">
        <v>1781</v>
      </c>
      <c r="B1783" s="8" t="s">
        <v>2229</v>
      </c>
      <c r="C1783" s="8" t="s">
        <v>3715</v>
      </c>
      <c r="D1783" s="8" t="s">
        <v>3716</v>
      </c>
      <c r="E1783" s="13">
        <v>2800600</v>
      </c>
      <c r="F1783" s="14">
        <v>6111111</v>
      </c>
    </row>
    <row r="1784" spans="1:6" x14ac:dyDescent="0.3">
      <c r="A1784" s="8">
        <v>1782</v>
      </c>
      <c r="B1784" s="8" t="s">
        <v>2229</v>
      </c>
      <c r="C1784" s="8" t="s">
        <v>3717</v>
      </c>
      <c r="D1784" s="8" t="s">
        <v>3718</v>
      </c>
      <c r="E1784" s="13">
        <v>0</v>
      </c>
      <c r="F1784" s="14">
        <v>0</v>
      </c>
    </row>
    <row r="1785" spans="1:6" x14ac:dyDescent="0.3">
      <c r="A1785" s="8">
        <v>1783</v>
      </c>
      <c r="B1785" s="8" t="s">
        <v>2303</v>
      </c>
      <c r="C1785" s="8" t="s">
        <v>3719</v>
      </c>
      <c r="D1785" s="8" t="s">
        <v>3720</v>
      </c>
      <c r="E1785" s="13">
        <v>26500</v>
      </c>
      <c r="F1785" s="14">
        <v>52963</v>
      </c>
    </row>
    <row r="1786" spans="1:6" x14ac:dyDescent="0.3">
      <c r="A1786" s="8">
        <v>1784</v>
      </c>
      <c r="B1786" s="8" t="s">
        <v>2303</v>
      </c>
      <c r="C1786" s="8" t="s">
        <v>3721</v>
      </c>
      <c r="D1786" s="8" t="s">
        <v>3722</v>
      </c>
      <c r="E1786" s="13">
        <v>0</v>
      </c>
      <c r="F1786" s="14">
        <v>0</v>
      </c>
    </row>
    <row r="1787" spans="1:6" x14ac:dyDescent="0.3">
      <c r="A1787" s="8">
        <v>1785</v>
      </c>
      <c r="B1787" s="8" t="s">
        <v>2303</v>
      </c>
      <c r="C1787" s="8" t="s">
        <v>3723</v>
      </c>
      <c r="D1787" s="8" t="s">
        <v>3724</v>
      </c>
      <c r="E1787" s="13">
        <v>38000</v>
      </c>
      <c r="F1787" s="14">
        <v>76019</v>
      </c>
    </row>
    <row r="1788" spans="1:6" x14ac:dyDescent="0.3">
      <c r="A1788" s="8">
        <v>1786</v>
      </c>
      <c r="B1788" s="8" t="s">
        <v>2303</v>
      </c>
      <c r="C1788" s="8" t="s">
        <v>3725</v>
      </c>
      <c r="D1788" s="8" t="s">
        <v>3726</v>
      </c>
      <c r="E1788" s="13">
        <v>18000</v>
      </c>
      <c r="F1788" s="14">
        <v>36019</v>
      </c>
    </row>
    <row r="1789" spans="1:6" x14ac:dyDescent="0.3">
      <c r="A1789" s="8">
        <v>1787</v>
      </c>
      <c r="B1789" s="8" t="s">
        <v>2303</v>
      </c>
      <c r="C1789" s="8" t="s">
        <v>3727</v>
      </c>
      <c r="D1789" s="8" t="s">
        <v>3728</v>
      </c>
      <c r="E1789" s="13">
        <v>26500</v>
      </c>
      <c r="F1789" s="14">
        <v>52963</v>
      </c>
    </row>
    <row r="1790" spans="1:6" x14ac:dyDescent="0.3">
      <c r="A1790" s="8">
        <v>1788</v>
      </c>
      <c r="B1790" s="8" t="s">
        <v>2303</v>
      </c>
      <c r="C1790" s="8" t="s">
        <v>3729</v>
      </c>
      <c r="D1790" s="8" t="s">
        <v>3730</v>
      </c>
      <c r="E1790" s="13">
        <v>38000</v>
      </c>
      <c r="F1790" s="14">
        <v>76019</v>
      </c>
    </row>
    <row r="1791" spans="1:6" x14ac:dyDescent="0.3">
      <c r="A1791" s="8">
        <v>1789</v>
      </c>
      <c r="B1791" s="8" t="s">
        <v>2303</v>
      </c>
      <c r="C1791" s="8" t="s">
        <v>3731</v>
      </c>
      <c r="D1791" s="8" t="s">
        <v>3732</v>
      </c>
      <c r="E1791" s="13">
        <v>84600</v>
      </c>
      <c r="F1791" s="14">
        <v>169444</v>
      </c>
    </row>
    <row r="1792" spans="1:6" x14ac:dyDescent="0.3">
      <c r="A1792" s="8">
        <v>1790</v>
      </c>
      <c r="B1792" s="8" t="s">
        <v>2303</v>
      </c>
      <c r="C1792" s="8" t="s">
        <v>3733</v>
      </c>
      <c r="D1792" s="8" t="s">
        <v>3734</v>
      </c>
      <c r="E1792" s="13">
        <v>0</v>
      </c>
      <c r="F1792" s="14">
        <v>0</v>
      </c>
    </row>
    <row r="1793" spans="1:6" x14ac:dyDescent="0.3">
      <c r="A1793" s="8">
        <v>1791</v>
      </c>
      <c r="B1793" s="8" t="s">
        <v>2303</v>
      </c>
      <c r="C1793" s="8" t="s">
        <v>3735</v>
      </c>
      <c r="D1793" s="8" t="s">
        <v>3736</v>
      </c>
      <c r="E1793" s="13">
        <v>189000</v>
      </c>
      <c r="F1793" s="14">
        <v>377778</v>
      </c>
    </row>
    <row r="1794" spans="1:6" x14ac:dyDescent="0.3">
      <c r="A1794" s="8">
        <v>1792</v>
      </c>
      <c r="B1794" s="8" t="s">
        <v>2303</v>
      </c>
      <c r="C1794" s="8" t="s">
        <v>3737</v>
      </c>
      <c r="D1794" s="8" t="s">
        <v>3738</v>
      </c>
      <c r="E1794" s="13">
        <v>0</v>
      </c>
      <c r="F1794" s="14">
        <v>0</v>
      </c>
    </row>
    <row r="1795" spans="1:6" x14ac:dyDescent="0.3">
      <c r="A1795" s="8">
        <v>1793</v>
      </c>
      <c r="B1795" s="8" t="s">
        <v>2303</v>
      </c>
      <c r="C1795" s="8" t="s">
        <v>3739</v>
      </c>
      <c r="D1795" s="8" t="s">
        <v>3740</v>
      </c>
      <c r="E1795" s="13">
        <v>75300</v>
      </c>
      <c r="F1795" s="14">
        <v>150926</v>
      </c>
    </row>
    <row r="1796" spans="1:6" x14ac:dyDescent="0.3">
      <c r="A1796" s="8">
        <v>1794</v>
      </c>
      <c r="B1796" s="8" t="s">
        <v>2303</v>
      </c>
      <c r="C1796" s="8" t="s">
        <v>3741</v>
      </c>
      <c r="D1796" s="8" t="s">
        <v>3742</v>
      </c>
      <c r="E1796" s="13">
        <v>0</v>
      </c>
      <c r="F1796" s="14">
        <v>0</v>
      </c>
    </row>
    <row r="1797" spans="1:6" x14ac:dyDescent="0.3">
      <c r="A1797" s="8">
        <v>1795</v>
      </c>
      <c r="B1797" s="8" t="s">
        <v>2303</v>
      </c>
      <c r="C1797" s="8" t="s">
        <v>3743</v>
      </c>
      <c r="D1797" s="8" t="s">
        <v>3744</v>
      </c>
      <c r="E1797" s="13">
        <v>0</v>
      </c>
      <c r="F1797" s="14">
        <v>0</v>
      </c>
    </row>
    <row r="1798" spans="1:6" x14ac:dyDescent="0.3">
      <c r="A1798" s="8">
        <v>1796</v>
      </c>
      <c r="B1798" s="8" t="s">
        <v>2303</v>
      </c>
      <c r="C1798" s="8" t="s">
        <v>3745</v>
      </c>
      <c r="D1798" s="8" t="s">
        <v>3746</v>
      </c>
      <c r="E1798" s="13">
        <v>0</v>
      </c>
      <c r="F1798" s="14">
        <v>0</v>
      </c>
    </row>
    <row r="1799" spans="1:6" x14ac:dyDescent="0.3">
      <c r="A1799" s="8">
        <v>1797</v>
      </c>
      <c r="B1799" s="8" t="s">
        <v>2792</v>
      </c>
      <c r="C1799" s="8" t="s">
        <v>3747</v>
      </c>
      <c r="D1799" s="8" t="s">
        <v>3748</v>
      </c>
      <c r="E1799" s="13">
        <v>3080000</v>
      </c>
      <c r="F1799" s="14">
        <v>5300000</v>
      </c>
    </row>
    <row r="1800" spans="1:6" x14ac:dyDescent="0.3">
      <c r="A1800" s="8">
        <v>1798</v>
      </c>
      <c r="B1800" s="8" t="s">
        <v>2792</v>
      </c>
      <c r="C1800" s="8" t="s">
        <v>3749</v>
      </c>
      <c r="D1800" s="8" t="s">
        <v>3750</v>
      </c>
      <c r="E1800" s="13">
        <v>317000</v>
      </c>
      <c r="F1800" s="14">
        <v>634000</v>
      </c>
    </row>
    <row r="1801" spans="1:6" x14ac:dyDescent="0.3">
      <c r="A1801" s="8">
        <v>1799</v>
      </c>
      <c r="B1801" s="8" t="s">
        <v>2792</v>
      </c>
      <c r="C1801" s="8" t="s">
        <v>3751</v>
      </c>
      <c r="D1801" s="8" t="s">
        <v>3752</v>
      </c>
      <c r="E1801" s="13">
        <v>1627200</v>
      </c>
      <c r="F1801" s="14">
        <v>2838000</v>
      </c>
    </row>
    <row r="1802" spans="1:6" x14ac:dyDescent="0.3">
      <c r="A1802" s="8">
        <v>1800</v>
      </c>
      <c r="B1802" s="8" t="s">
        <v>2792</v>
      </c>
      <c r="C1802" s="8" t="s">
        <v>3753</v>
      </c>
      <c r="D1802" s="8" t="s">
        <v>3754</v>
      </c>
      <c r="E1802" s="13">
        <v>1082000</v>
      </c>
      <c r="F1802" s="14">
        <v>2163889</v>
      </c>
    </row>
    <row r="1803" spans="1:6" x14ac:dyDescent="0.3">
      <c r="A1803" s="8">
        <v>1801</v>
      </c>
      <c r="B1803" s="8" t="s">
        <v>2792</v>
      </c>
      <c r="C1803" s="8" t="s">
        <v>3755</v>
      </c>
      <c r="D1803" s="8" t="s">
        <v>3756</v>
      </c>
      <c r="E1803" s="13">
        <v>1611000</v>
      </c>
      <c r="F1803" s="14">
        <v>3222222</v>
      </c>
    </row>
    <row r="1804" spans="1:6" x14ac:dyDescent="0.3">
      <c r="A1804" s="8">
        <v>1802</v>
      </c>
      <c r="B1804" s="8" t="s">
        <v>2792</v>
      </c>
      <c r="C1804" s="8" t="s">
        <v>3757</v>
      </c>
      <c r="D1804" s="8" t="s">
        <v>3758</v>
      </c>
      <c r="E1804" s="13">
        <v>253600</v>
      </c>
      <c r="F1804" s="14">
        <v>458000</v>
      </c>
    </row>
    <row r="1805" spans="1:6" x14ac:dyDescent="0.3">
      <c r="A1805" s="8">
        <v>1803</v>
      </c>
      <c r="B1805" s="8" t="s">
        <v>2792</v>
      </c>
      <c r="C1805" s="8" t="s">
        <v>3759</v>
      </c>
      <c r="D1805" s="8" t="s">
        <v>3760</v>
      </c>
      <c r="E1805" s="13">
        <v>0</v>
      </c>
      <c r="F1805" s="14">
        <v>0</v>
      </c>
    </row>
    <row r="1806" spans="1:6" x14ac:dyDescent="0.3">
      <c r="A1806" s="8">
        <v>1804</v>
      </c>
      <c r="B1806" s="8" t="s">
        <v>2792</v>
      </c>
      <c r="C1806" s="8" t="s">
        <v>3761</v>
      </c>
      <c r="D1806" s="8" t="s">
        <v>3762</v>
      </c>
      <c r="E1806" s="13">
        <v>0</v>
      </c>
      <c r="F1806" s="14">
        <v>0</v>
      </c>
    </row>
    <row r="1807" spans="1:6" x14ac:dyDescent="0.3">
      <c r="A1807" s="8">
        <v>1805</v>
      </c>
      <c r="B1807" s="8" t="s">
        <v>2792</v>
      </c>
      <c r="C1807" s="8" t="s">
        <v>3763</v>
      </c>
      <c r="D1807" s="8" t="s">
        <v>3764</v>
      </c>
      <c r="E1807" s="13">
        <v>0</v>
      </c>
      <c r="F1807" s="14">
        <v>4100000</v>
      </c>
    </row>
    <row r="1808" spans="1:6" x14ac:dyDescent="0.3">
      <c r="A1808" s="8">
        <v>1806</v>
      </c>
      <c r="B1808" s="8" t="s">
        <v>2792</v>
      </c>
      <c r="C1808" s="8" t="s">
        <v>3765</v>
      </c>
      <c r="D1808" s="8" t="s">
        <v>3766</v>
      </c>
      <c r="E1808" s="13">
        <v>181000</v>
      </c>
      <c r="F1808" s="14">
        <v>362037</v>
      </c>
    </row>
    <row r="1809" spans="1:6" x14ac:dyDescent="0.3">
      <c r="A1809" s="8">
        <v>1807</v>
      </c>
      <c r="B1809" s="8" t="s">
        <v>2792</v>
      </c>
      <c r="C1809" s="8" t="s">
        <v>3767</v>
      </c>
      <c r="D1809" s="8" t="s">
        <v>3768</v>
      </c>
      <c r="E1809" s="13">
        <v>0</v>
      </c>
      <c r="F1809" s="14">
        <v>6500000</v>
      </c>
    </row>
    <row r="1810" spans="1:6" x14ac:dyDescent="0.3">
      <c r="A1810" s="8">
        <v>1808</v>
      </c>
      <c r="B1810" s="8" t="s">
        <v>2303</v>
      </c>
      <c r="C1810" s="8" t="s">
        <v>3769</v>
      </c>
      <c r="D1810" s="8" t="s">
        <v>3770</v>
      </c>
      <c r="E1810" s="13">
        <v>63100</v>
      </c>
      <c r="F1810" s="14">
        <v>125926</v>
      </c>
    </row>
    <row r="1811" spans="1:6" x14ac:dyDescent="0.3">
      <c r="A1811" s="8">
        <v>1809</v>
      </c>
      <c r="B1811" s="8" t="s">
        <v>2303</v>
      </c>
      <c r="C1811" s="8" t="s">
        <v>3771</v>
      </c>
      <c r="D1811" s="8" t="s">
        <v>3772</v>
      </c>
      <c r="E1811" s="13">
        <v>63000</v>
      </c>
      <c r="F1811" s="14">
        <v>125926</v>
      </c>
    </row>
    <row r="1812" spans="1:6" x14ac:dyDescent="0.3">
      <c r="A1812" s="8">
        <v>1810</v>
      </c>
      <c r="B1812" s="8" t="s">
        <v>2303</v>
      </c>
      <c r="C1812" s="8" t="s">
        <v>3773</v>
      </c>
      <c r="D1812" s="8" t="s">
        <v>3774</v>
      </c>
      <c r="E1812" s="13">
        <v>18000</v>
      </c>
      <c r="F1812" s="14">
        <v>36019</v>
      </c>
    </row>
    <row r="1813" spans="1:6" x14ac:dyDescent="0.3">
      <c r="A1813" s="8">
        <v>1811</v>
      </c>
      <c r="B1813" s="8" t="s">
        <v>2303</v>
      </c>
      <c r="C1813" s="8" t="s">
        <v>3775</v>
      </c>
      <c r="D1813" s="8" t="s">
        <v>3776</v>
      </c>
      <c r="E1813" s="13">
        <v>48500</v>
      </c>
      <c r="F1813" s="14">
        <v>97037</v>
      </c>
    </row>
    <row r="1814" spans="1:6" x14ac:dyDescent="0.3">
      <c r="A1814" s="8">
        <v>1812</v>
      </c>
      <c r="B1814" s="8" t="s">
        <v>2303</v>
      </c>
      <c r="C1814" s="8" t="s">
        <v>3777</v>
      </c>
      <c r="D1814" s="8" t="s">
        <v>3778</v>
      </c>
      <c r="E1814" s="13">
        <v>87500</v>
      </c>
      <c r="F1814" s="14">
        <v>175000</v>
      </c>
    </row>
    <row r="1815" spans="1:6" x14ac:dyDescent="0.3">
      <c r="A1815" s="8">
        <v>1813</v>
      </c>
      <c r="B1815" s="8" t="s">
        <v>2303</v>
      </c>
      <c r="C1815" s="8" t="s">
        <v>3779</v>
      </c>
      <c r="D1815" s="8" t="s">
        <v>3780</v>
      </c>
      <c r="E1815" s="13">
        <v>0</v>
      </c>
      <c r="F1815" s="14">
        <v>0</v>
      </c>
    </row>
    <row r="1816" spans="1:6" x14ac:dyDescent="0.3">
      <c r="A1816" s="8">
        <v>1814</v>
      </c>
      <c r="B1816" s="8" t="s">
        <v>2303</v>
      </c>
      <c r="C1816" s="8" t="s">
        <v>3781</v>
      </c>
      <c r="D1816" s="8" t="s">
        <v>3782</v>
      </c>
      <c r="E1816" s="13">
        <v>0</v>
      </c>
      <c r="F1816" s="14">
        <v>0</v>
      </c>
    </row>
    <row r="1817" spans="1:6" x14ac:dyDescent="0.3">
      <c r="A1817" s="8">
        <v>1815</v>
      </c>
      <c r="B1817" s="8" t="s">
        <v>2303</v>
      </c>
      <c r="C1817" s="8" t="s">
        <v>3783</v>
      </c>
      <c r="D1817" s="8" t="s">
        <v>3784</v>
      </c>
      <c r="E1817" s="13">
        <v>0</v>
      </c>
      <c r="F1817" s="14">
        <v>0</v>
      </c>
    </row>
    <row r="1818" spans="1:6" x14ac:dyDescent="0.3">
      <c r="A1818" s="8">
        <v>1816</v>
      </c>
      <c r="B1818" s="8" t="s">
        <v>2303</v>
      </c>
      <c r="C1818" s="8" t="s">
        <v>3785</v>
      </c>
      <c r="D1818" s="8" t="s">
        <v>3786</v>
      </c>
      <c r="E1818" s="13">
        <v>0</v>
      </c>
      <c r="F1818" s="14">
        <v>0</v>
      </c>
    </row>
    <row r="1819" spans="1:6" x14ac:dyDescent="0.3">
      <c r="A1819" s="8">
        <v>1817</v>
      </c>
      <c r="B1819" s="8" t="s">
        <v>2303</v>
      </c>
      <c r="C1819" s="8" t="s">
        <v>3787</v>
      </c>
      <c r="D1819" s="8" t="s">
        <v>3788</v>
      </c>
      <c r="E1819" s="13">
        <v>0</v>
      </c>
      <c r="F1819" s="14">
        <v>0</v>
      </c>
    </row>
    <row r="1820" spans="1:6" x14ac:dyDescent="0.3">
      <c r="A1820" s="8">
        <v>1818</v>
      </c>
      <c r="B1820" s="8" t="s">
        <v>2303</v>
      </c>
      <c r="C1820" s="8" t="s">
        <v>3789</v>
      </c>
      <c r="D1820" s="8" t="s">
        <v>3790</v>
      </c>
      <c r="E1820" s="13">
        <v>0</v>
      </c>
      <c r="F1820" s="14">
        <v>0</v>
      </c>
    </row>
    <row r="1821" spans="1:6" x14ac:dyDescent="0.3">
      <c r="A1821" s="8">
        <v>1819</v>
      </c>
      <c r="B1821" s="8" t="s">
        <v>2303</v>
      </c>
      <c r="C1821" s="8" t="s">
        <v>3791</v>
      </c>
      <c r="D1821" s="8" t="s">
        <v>3792</v>
      </c>
      <c r="E1821" s="13">
        <v>63000</v>
      </c>
      <c r="F1821" s="14">
        <v>125926</v>
      </c>
    </row>
    <row r="1822" spans="1:6" x14ac:dyDescent="0.3">
      <c r="A1822" s="8">
        <v>1820</v>
      </c>
      <c r="B1822" s="8" t="s">
        <v>2792</v>
      </c>
      <c r="C1822" s="8" t="s">
        <v>3793</v>
      </c>
      <c r="D1822" s="8" t="s">
        <v>3794</v>
      </c>
      <c r="E1822" s="13">
        <v>0</v>
      </c>
      <c r="F1822" s="14">
        <v>0</v>
      </c>
    </row>
    <row r="1823" spans="1:6" x14ac:dyDescent="0.3">
      <c r="A1823" s="8">
        <v>1821</v>
      </c>
      <c r="B1823" s="8" t="s">
        <v>2792</v>
      </c>
      <c r="C1823" s="8" t="s">
        <v>3795</v>
      </c>
      <c r="D1823" s="8" t="s">
        <v>3796</v>
      </c>
      <c r="E1823" s="13">
        <v>3080000</v>
      </c>
      <c r="F1823" s="14">
        <v>5300000</v>
      </c>
    </row>
    <row r="1824" spans="1:6" x14ac:dyDescent="0.3">
      <c r="A1824" s="8">
        <v>1822</v>
      </c>
      <c r="B1824" s="8" t="s">
        <v>2792</v>
      </c>
      <c r="C1824" s="8" t="s">
        <v>3797</v>
      </c>
      <c r="D1824" s="8" t="s">
        <v>3798</v>
      </c>
      <c r="E1824" s="13">
        <v>1627200</v>
      </c>
      <c r="F1824" s="14">
        <v>2838000</v>
      </c>
    </row>
    <row r="1825" spans="1:6" x14ac:dyDescent="0.3">
      <c r="A1825" s="8">
        <v>1823</v>
      </c>
      <c r="B1825" s="8" t="s">
        <v>2792</v>
      </c>
      <c r="C1825" s="8" t="s">
        <v>3799</v>
      </c>
      <c r="D1825" s="8" t="s">
        <v>3800</v>
      </c>
      <c r="E1825" s="13">
        <v>137500</v>
      </c>
      <c r="F1825" s="14">
        <v>274000</v>
      </c>
    </row>
    <row r="1826" spans="1:6" x14ac:dyDescent="0.3">
      <c r="A1826" s="8">
        <v>1824</v>
      </c>
      <c r="B1826" s="8" t="s">
        <v>2792</v>
      </c>
      <c r="C1826" s="8" t="s">
        <v>3801</v>
      </c>
      <c r="D1826" s="8" t="s">
        <v>3802</v>
      </c>
      <c r="E1826" s="13">
        <v>0</v>
      </c>
      <c r="F1826" s="14">
        <v>0</v>
      </c>
    </row>
    <row r="1827" spans="1:6" x14ac:dyDescent="0.3">
      <c r="A1827" s="8">
        <v>1825</v>
      </c>
      <c r="B1827" s="8" t="s">
        <v>2792</v>
      </c>
      <c r="C1827" s="8" t="s">
        <v>3803</v>
      </c>
      <c r="D1827" s="8" t="s">
        <v>3804</v>
      </c>
      <c r="E1827" s="13">
        <v>202000</v>
      </c>
      <c r="F1827" s="14">
        <v>364000</v>
      </c>
    </row>
    <row r="1828" spans="1:6" x14ac:dyDescent="0.3">
      <c r="A1828" s="8">
        <v>1826</v>
      </c>
      <c r="B1828" s="8" t="s">
        <v>2792</v>
      </c>
      <c r="C1828" s="8" t="s">
        <v>3805</v>
      </c>
      <c r="D1828" s="8" t="s">
        <v>3806</v>
      </c>
      <c r="E1828" s="13">
        <v>181000</v>
      </c>
      <c r="F1828" s="14">
        <v>362037</v>
      </c>
    </row>
    <row r="1829" spans="1:6" x14ac:dyDescent="0.3">
      <c r="A1829" s="8">
        <v>1827</v>
      </c>
      <c r="B1829" s="8" t="s">
        <v>2792</v>
      </c>
      <c r="C1829" s="8" t="s">
        <v>3807</v>
      </c>
      <c r="D1829" s="8" t="s">
        <v>3808</v>
      </c>
      <c r="E1829" s="13">
        <v>0</v>
      </c>
      <c r="F1829" s="14">
        <v>6500000</v>
      </c>
    </row>
    <row r="1830" spans="1:6" x14ac:dyDescent="0.3">
      <c r="A1830" s="8">
        <v>1828</v>
      </c>
      <c r="B1830" s="8" t="s">
        <v>2792</v>
      </c>
      <c r="C1830" s="8" t="s">
        <v>3809</v>
      </c>
      <c r="D1830" s="8" t="s">
        <v>3810</v>
      </c>
      <c r="E1830" s="13">
        <v>0</v>
      </c>
      <c r="F1830" s="14">
        <v>2330000</v>
      </c>
    </row>
    <row r="1831" spans="1:6" x14ac:dyDescent="0.3">
      <c r="A1831" s="8">
        <v>1829</v>
      </c>
      <c r="B1831" s="8" t="s">
        <v>2792</v>
      </c>
      <c r="C1831" s="8" t="s">
        <v>3811</v>
      </c>
      <c r="D1831" s="8" t="s">
        <v>3812</v>
      </c>
      <c r="E1831" s="13">
        <v>0</v>
      </c>
      <c r="F1831" s="14">
        <v>3740000</v>
      </c>
    </row>
    <row r="1832" spans="1:6" x14ac:dyDescent="0.3">
      <c r="A1832" s="8">
        <v>1830</v>
      </c>
      <c r="B1832" s="8" t="s">
        <v>2792</v>
      </c>
      <c r="C1832" s="8" t="s">
        <v>3813</v>
      </c>
      <c r="D1832" s="8" t="s">
        <v>3814</v>
      </c>
      <c r="E1832" s="13">
        <v>0</v>
      </c>
      <c r="F1832" s="14">
        <v>0</v>
      </c>
    </row>
    <row r="1833" spans="1:6" x14ac:dyDescent="0.3">
      <c r="A1833" s="8">
        <v>1831</v>
      </c>
      <c r="B1833" s="8" t="s">
        <v>2792</v>
      </c>
      <c r="C1833" s="8" t="s">
        <v>3815</v>
      </c>
      <c r="D1833" s="8" t="s">
        <v>3816</v>
      </c>
      <c r="E1833" s="13">
        <v>1319000</v>
      </c>
      <c r="F1833" s="14">
        <v>2637963</v>
      </c>
    </row>
    <row r="1834" spans="1:6" x14ac:dyDescent="0.3">
      <c r="A1834" s="8">
        <v>1832</v>
      </c>
      <c r="B1834" s="8" t="s">
        <v>2792</v>
      </c>
      <c r="C1834" s="8" t="s">
        <v>3817</v>
      </c>
      <c r="D1834" s="8" t="s">
        <v>3818</v>
      </c>
      <c r="E1834" s="13">
        <v>0</v>
      </c>
      <c r="F1834" s="14">
        <v>2849074</v>
      </c>
    </row>
    <row r="1835" spans="1:6" x14ac:dyDescent="0.3">
      <c r="A1835" s="8">
        <v>1833</v>
      </c>
      <c r="B1835" s="8" t="s">
        <v>2303</v>
      </c>
      <c r="C1835" s="8" t="s">
        <v>3819</v>
      </c>
      <c r="D1835" s="8" t="s">
        <v>3820</v>
      </c>
      <c r="E1835" s="13">
        <v>0</v>
      </c>
      <c r="F1835" s="14">
        <v>0</v>
      </c>
    </row>
    <row r="1836" spans="1:6" x14ac:dyDescent="0.3">
      <c r="A1836" s="8">
        <v>1834</v>
      </c>
      <c r="B1836" s="8" t="s">
        <v>2303</v>
      </c>
      <c r="C1836" s="8" t="s">
        <v>3821</v>
      </c>
      <c r="D1836" s="8" t="s">
        <v>3822</v>
      </c>
      <c r="E1836" s="13">
        <v>0</v>
      </c>
      <c r="F1836" s="14">
        <v>0</v>
      </c>
    </row>
    <row r="1837" spans="1:6" x14ac:dyDescent="0.3">
      <c r="A1837" s="8">
        <v>1835</v>
      </c>
      <c r="B1837" s="8" t="s">
        <v>2303</v>
      </c>
      <c r="C1837" s="8" t="s">
        <v>3823</v>
      </c>
      <c r="D1837" s="8" t="s">
        <v>3824</v>
      </c>
      <c r="E1837" s="13">
        <v>37600</v>
      </c>
      <c r="F1837" s="14">
        <v>75000</v>
      </c>
    </row>
    <row r="1838" spans="1:6" x14ac:dyDescent="0.3">
      <c r="A1838" s="8">
        <v>1836</v>
      </c>
      <c r="B1838" s="8" t="s">
        <v>2303</v>
      </c>
      <c r="C1838" s="8" t="s">
        <v>3825</v>
      </c>
      <c r="D1838" s="8" t="s">
        <v>3826</v>
      </c>
      <c r="E1838" s="13">
        <v>0</v>
      </c>
      <c r="F1838" s="14">
        <v>0</v>
      </c>
    </row>
    <row r="1839" spans="1:6" x14ac:dyDescent="0.3">
      <c r="A1839" s="8">
        <v>1837</v>
      </c>
      <c r="B1839" s="8" t="s">
        <v>2303</v>
      </c>
      <c r="C1839" s="8" t="s">
        <v>3827</v>
      </c>
      <c r="D1839" s="8" t="s">
        <v>3828</v>
      </c>
      <c r="E1839" s="13">
        <v>42400</v>
      </c>
      <c r="F1839" s="14">
        <v>84815</v>
      </c>
    </row>
    <row r="1840" spans="1:6" x14ac:dyDescent="0.3">
      <c r="A1840" s="8">
        <v>1838</v>
      </c>
      <c r="B1840" s="8" t="s">
        <v>2303</v>
      </c>
      <c r="C1840" s="8" t="s">
        <v>3829</v>
      </c>
      <c r="D1840" s="8" t="s">
        <v>3830</v>
      </c>
      <c r="E1840" s="13">
        <v>0</v>
      </c>
      <c r="F1840" s="14">
        <v>0</v>
      </c>
    </row>
    <row r="1841" spans="1:6" x14ac:dyDescent="0.3">
      <c r="A1841" s="8">
        <v>1839</v>
      </c>
      <c r="B1841" s="8" t="s">
        <v>2303</v>
      </c>
      <c r="C1841" s="8" t="s">
        <v>3831</v>
      </c>
      <c r="D1841" s="8" t="s">
        <v>3832</v>
      </c>
      <c r="E1841" s="13">
        <v>23000</v>
      </c>
      <c r="F1841" s="14">
        <v>46019</v>
      </c>
    </row>
    <row r="1842" spans="1:6" x14ac:dyDescent="0.3">
      <c r="A1842" s="8">
        <v>1840</v>
      </c>
      <c r="B1842" s="8" t="s">
        <v>2303</v>
      </c>
      <c r="C1842" s="8" t="s">
        <v>3833</v>
      </c>
      <c r="D1842" s="8" t="s">
        <v>3834</v>
      </c>
      <c r="E1842" s="13">
        <v>63000</v>
      </c>
      <c r="F1842" s="14">
        <v>125926</v>
      </c>
    </row>
    <row r="1843" spans="1:6" x14ac:dyDescent="0.3">
      <c r="A1843" s="8">
        <v>1841</v>
      </c>
      <c r="B1843" s="8" t="s">
        <v>2303</v>
      </c>
      <c r="C1843" s="8" t="s">
        <v>3835</v>
      </c>
      <c r="D1843" s="8" t="s">
        <v>3836</v>
      </c>
      <c r="E1843" s="13">
        <v>87500</v>
      </c>
      <c r="F1843" s="14">
        <v>175000</v>
      </c>
    </row>
    <row r="1844" spans="1:6" x14ac:dyDescent="0.3">
      <c r="A1844" s="8">
        <v>1842</v>
      </c>
      <c r="B1844" s="8" t="s">
        <v>2303</v>
      </c>
      <c r="C1844" s="8" t="s">
        <v>3837</v>
      </c>
      <c r="D1844" s="8" t="s">
        <v>3838</v>
      </c>
      <c r="E1844" s="13">
        <v>48000</v>
      </c>
      <c r="F1844" s="14">
        <v>96019</v>
      </c>
    </row>
    <row r="1845" spans="1:6" x14ac:dyDescent="0.3">
      <c r="A1845" s="8">
        <v>1843</v>
      </c>
      <c r="B1845" s="8" t="s">
        <v>2303</v>
      </c>
      <c r="C1845" s="8" t="s">
        <v>3839</v>
      </c>
      <c r="D1845" s="8" t="s">
        <v>3840</v>
      </c>
      <c r="E1845" s="13">
        <v>111000</v>
      </c>
      <c r="F1845" s="14">
        <v>222222</v>
      </c>
    </row>
    <row r="1846" spans="1:6" x14ac:dyDescent="0.3">
      <c r="A1846" s="8">
        <v>1844</v>
      </c>
      <c r="B1846" s="8" t="s">
        <v>2303</v>
      </c>
      <c r="C1846" s="8" t="s">
        <v>3841</v>
      </c>
      <c r="D1846" s="8" t="s">
        <v>3842</v>
      </c>
      <c r="E1846" s="13">
        <v>63100</v>
      </c>
      <c r="F1846" s="14">
        <v>125926</v>
      </c>
    </row>
    <row r="1847" spans="1:6" x14ac:dyDescent="0.3">
      <c r="A1847" s="8">
        <v>1845</v>
      </c>
      <c r="B1847" s="8" t="s">
        <v>2792</v>
      </c>
      <c r="C1847" s="8" t="s">
        <v>3843</v>
      </c>
      <c r="D1847" s="8" t="s">
        <v>3844</v>
      </c>
      <c r="E1847" s="13">
        <v>564000</v>
      </c>
      <c r="F1847" s="14">
        <v>971000</v>
      </c>
    </row>
    <row r="1848" spans="1:6" x14ac:dyDescent="0.3">
      <c r="A1848" s="8">
        <v>1846</v>
      </c>
      <c r="B1848" s="8" t="s">
        <v>2792</v>
      </c>
      <c r="C1848" s="8" t="s">
        <v>3845</v>
      </c>
      <c r="D1848" s="8" t="s">
        <v>3846</v>
      </c>
      <c r="E1848" s="13">
        <v>1344000</v>
      </c>
      <c r="F1848" s="14">
        <v>1405556</v>
      </c>
    </row>
    <row r="1849" spans="1:6" x14ac:dyDescent="0.3">
      <c r="A1849" s="8">
        <v>1847</v>
      </c>
      <c r="B1849" s="8" t="s">
        <v>2792</v>
      </c>
      <c r="C1849" s="8" t="s">
        <v>3847</v>
      </c>
      <c r="D1849" s="8" t="s">
        <v>3848</v>
      </c>
      <c r="E1849" s="13">
        <v>2398000</v>
      </c>
      <c r="F1849" s="14">
        <v>2508333</v>
      </c>
    </row>
    <row r="1850" spans="1:6" x14ac:dyDescent="0.3">
      <c r="A1850" s="8">
        <v>1848</v>
      </c>
      <c r="B1850" s="8" t="s">
        <v>2792</v>
      </c>
      <c r="C1850" s="8" t="s">
        <v>3849</v>
      </c>
      <c r="D1850" s="8" t="s">
        <v>3850</v>
      </c>
      <c r="E1850" s="13">
        <v>3098000</v>
      </c>
      <c r="F1850" s="14">
        <v>3239815</v>
      </c>
    </row>
    <row r="1851" spans="1:6" x14ac:dyDescent="0.3">
      <c r="A1851" s="8">
        <v>1849</v>
      </c>
      <c r="B1851" s="8" t="s">
        <v>2792</v>
      </c>
      <c r="C1851" s="8" t="s">
        <v>3851</v>
      </c>
      <c r="D1851" s="8" t="s">
        <v>3852</v>
      </c>
      <c r="E1851" s="13">
        <v>0</v>
      </c>
      <c r="F1851" s="14">
        <v>0</v>
      </c>
    </row>
    <row r="1852" spans="1:6" x14ac:dyDescent="0.3">
      <c r="A1852" s="8">
        <v>1850</v>
      </c>
      <c r="B1852" s="8" t="s">
        <v>2792</v>
      </c>
      <c r="C1852" s="8" t="s">
        <v>3853</v>
      </c>
      <c r="D1852" s="8" t="s">
        <v>3854</v>
      </c>
      <c r="E1852" s="13">
        <v>93000</v>
      </c>
      <c r="F1852" s="14">
        <v>186000</v>
      </c>
    </row>
    <row r="1853" spans="1:6" x14ac:dyDescent="0.3">
      <c r="A1853" s="8">
        <v>1851</v>
      </c>
      <c r="B1853" s="8" t="s">
        <v>2792</v>
      </c>
      <c r="C1853" s="8" t="s">
        <v>3855</v>
      </c>
      <c r="D1853" s="8" t="s">
        <v>3856</v>
      </c>
      <c r="E1853" s="13">
        <v>260000</v>
      </c>
      <c r="F1853" s="14">
        <v>560000</v>
      </c>
    </row>
    <row r="1854" spans="1:6" x14ac:dyDescent="0.3">
      <c r="A1854" s="8">
        <v>1852</v>
      </c>
      <c r="B1854" s="8" t="s">
        <v>2792</v>
      </c>
      <c r="C1854" s="8" t="s">
        <v>3857</v>
      </c>
      <c r="D1854" s="8" t="s">
        <v>3858</v>
      </c>
      <c r="E1854" s="13">
        <v>1665000</v>
      </c>
      <c r="F1854" s="14">
        <v>3329630</v>
      </c>
    </row>
    <row r="1855" spans="1:6" x14ac:dyDescent="0.3">
      <c r="A1855" s="8">
        <v>1853</v>
      </c>
      <c r="B1855" s="8" t="s">
        <v>2792</v>
      </c>
      <c r="C1855" s="8" t="s">
        <v>3859</v>
      </c>
      <c r="D1855" s="8" t="s">
        <v>3860</v>
      </c>
      <c r="E1855" s="13">
        <v>2200000</v>
      </c>
      <c r="F1855" s="14">
        <v>4400000</v>
      </c>
    </row>
    <row r="1856" spans="1:6" x14ac:dyDescent="0.3">
      <c r="A1856" s="8">
        <v>1854</v>
      </c>
      <c r="B1856" s="8" t="s">
        <v>2792</v>
      </c>
      <c r="C1856" s="8" t="s">
        <v>3861</v>
      </c>
      <c r="D1856" s="8" t="s">
        <v>3862</v>
      </c>
      <c r="E1856" s="13">
        <v>0</v>
      </c>
      <c r="F1856" s="14">
        <v>7000000</v>
      </c>
    </row>
    <row r="1857" spans="1:6" x14ac:dyDescent="0.3">
      <c r="A1857" s="8">
        <v>1855</v>
      </c>
      <c r="B1857" s="8" t="s">
        <v>2792</v>
      </c>
      <c r="C1857" s="8" t="s">
        <v>3863</v>
      </c>
      <c r="D1857" s="8" t="s">
        <v>3864</v>
      </c>
      <c r="E1857" s="13">
        <v>0</v>
      </c>
      <c r="F1857" s="14">
        <v>6700000</v>
      </c>
    </row>
    <row r="1858" spans="1:6" x14ac:dyDescent="0.3">
      <c r="A1858" s="8">
        <v>1856</v>
      </c>
      <c r="B1858" s="8" t="s">
        <v>2792</v>
      </c>
      <c r="C1858" s="8" t="s">
        <v>3865</v>
      </c>
      <c r="D1858" s="8" t="s">
        <v>3866</v>
      </c>
      <c r="E1858" s="13">
        <v>1236000</v>
      </c>
      <c r="F1858" s="14">
        <v>2472222</v>
      </c>
    </row>
    <row r="1859" spans="1:6" x14ac:dyDescent="0.3">
      <c r="A1859" s="8">
        <v>1857</v>
      </c>
      <c r="B1859" s="8" t="s">
        <v>2792</v>
      </c>
      <c r="C1859" s="8" t="s">
        <v>3867</v>
      </c>
      <c r="D1859" s="8" t="s">
        <v>3868</v>
      </c>
      <c r="E1859" s="13">
        <v>0</v>
      </c>
      <c r="F1859" s="14">
        <v>6200000</v>
      </c>
    </row>
    <row r="1860" spans="1:6" x14ac:dyDescent="0.3">
      <c r="A1860" s="8">
        <v>1858</v>
      </c>
      <c r="B1860" s="8" t="s">
        <v>2792</v>
      </c>
      <c r="C1860" s="8" t="s">
        <v>3869</v>
      </c>
      <c r="D1860" s="8" t="s">
        <v>3870</v>
      </c>
      <c r="E1860" s="13">
        <v>253600</v>
      </c>
      <c r="F1860" s="14">
        <v>458000</v>
      </c>
    </row>
    <row r="1861" spans="1:6" x14ac:dyDescent="0.3">
      <c r="A1861" s="8">
        <v>1859</v>
      </c>
      <c r="B1861" s="8" t="s">
        <v>2792</v>
      </c>
      <c r="C1861" s="8" t="s">
        <v>3871</v>
      </c>
      <c r="D1861" s="8" t="s">
        <v>3872</v>
      </c>
      <c r="E1861" s="13">
        <v>3767000</v>
      </c>
      <c r="F1861" s="14">
        <v>7534259</v>
      </c>
    </row>
    <row r="1862" spans="1:6" x14ac:dyDescent="0.3">
      <c r="A1862" s="8">
        <v>1860</v>
      </c>
      <c r="B1862" s="8" t="s">
        <v>2792</v>
      </c>
      <c r="C1862" s="8" t="s">
        <v>3873</v>
      </c>
      <c r="D1862" s="8" t="s">
        <v>3874</v>
      </c>
      <c r="E1862" s="13">
        <v>874000</v>
      </c>
      <c r="F1862" s="14">
        <v>1748148</v>
      </c>
    </row>
    <row r="1863" spans="1:6" x14ac:dyDescent="0.3">
      <c r="A1863" s="8">
        <v>1861</v>
      </c>
      <c r="B1863" s="8" t="s">
        <v>2792</v>
      </c>
      <c r="C1863" s="8" t="s">
        <v>3875</v>
      </c>
      <c r="D1863" s="8" t="s">
        <v>3876</v>
      </c>
      <c r="E1863" s="13">
        <v>304000</v>
      </c>
      <c r="F1863" s="14">
        <v>608333</v>
      </c>
    </row>
    <row r="1864" spans="1:6" x14ac:dyDescent="0.3">
      <c r="A1864" s="8">
        <v>1862</v>
      </c>
      <c r="B1864" s="8" t="s">
        <v>2792</v>
      </c>
      <c r="C1864" s="8" t="s">
        <v>3877</v>
      </c>
      <c r="D1864" s="8" t="s">
        <v>3878</v>
      </c>
      <c r="E1864" s="13">
        <v>130000</v>
      </c>
      <c r="F1864" s="14">
        <v>260185</v>
      </c>
    </row>
    <row r="1865" spans="1:6" x14ac:dyDescent="0.3">
      <c r="A1865" s="8">
        <v>1863</v>
      </c>
      <c r="B1865" s="8" t="s">
        <v>2792</v>
      </c>
      <c r="C1865" s="8" t="s">
        <v>3879</v>
      </c>
      <c r="D1865" s="8" t="s">
        <v>3880</v>
      </c>
      <c r="E1865" s="13">
        <v>125000</v>
      </c>
      <c r="F1865" s="14">
        <v>250000</v>
      </c>
    </row>
    <row r="1866" spans="1:6" x14ac:dyDescent="0.3">
      <c r="A1866" s="8">
        <v>1864</v>
      </c>
      <c r="B1866" s="8" t="s">
        <v>2792</v>
      </c>
      <c r="C1866" s="8" t="s">
        <v>3881</v>
      </c>
      <c r="D1866" s="8" t="s">
        <v>3882</v>
      </c>
      <c r="E1866" s="13">
        <v>210000</v>
      </c>
      <c r="F1866" s="14">
        <v>420370</v>
      </c>
    </row>
    <row r="1867" spans="1:6" x14ac:dyDescent="0.3">
      <c r="A1867" s="8">
        <v>1865</v>
      </c>
      <c r="B1867" s="8" t="s">
        <v>2792</v>
      </c>
      <c r="C1867" s="8" t="s">
        <v>3883</v>
      </c>
      <c r="D1867" s="8" t="s">
        <v>3884</v>
      </c>
      <c r="E1867" s="13">
        <v>0</v>
      </c>
      <c r="F1867" s="14">
        <v>3150000</v>
      </c>
    </row>
    <row r="1868" spans="1:6" x14ac:dyDescent="0.3">
      <c r="A1868" s="8">
        <v>1866</v>
      </c>
      <c r="B1868" s="8" t="s">
        <v>2792</v>
      </c>
      <c r="C1868" s="8" t="s">
        <v>3885</v>
      </c>
      <c r="D1868" s="8" t="s">
        <v>3886</v>
      </c>
      <c r="E1868" s="13">
        <v>0</v>
      </c>
      <c r="F1868" s="14">
        <v>1100000</v>
      </c>
    </row>
    <row r="1869" spans="1:6" x14ac:dyDescent="0.3">
      <c r="A1869" s="8">
        <v>1867</v>
      </c>
      <c r="B1869" s="8" t="s">
        <v>2792</v>
      </c>
      <c r="C1869" s="8" t="s">
        <v>3887</v>
      </c>
      <c r="D1869" s="8" t="s">
        <v>3888</v>
      </c>
      <c r="E1869" s="13">
        <v>0</v>
      </c>
      <c r="F1869" s="14">
        <v>0</v>
      </c>
    </row>
    <row r="1870" spans="1:6" x14ac:dyDescent="0.3">
      <c r="A1870" s="8">
        <v>1868</v>
      </c>
      <c r="B1870" s="8" t="s">
        <v>2792</v>
      </c>
      <c r="C1870" s="8" t="s">
        <v>3889</v>
      </c>
      <c r="D1870" s="8" t="s">
        <v>3890</v>
      </c>
      <c r="E1870" s="13">
        <v>0</v>
      </c>
      <c r="F1870" s="14">
        <v>3740000</v>
      </c>
    </row>
    <row r="1871" spans="1:6" x14ac:dyDescent="0.3">
      <c r="A1871" s="8">
        <v>1869</v>
      </c>
      <c r="B1871" s="8" t="s">
        <v>2792</v>
      </c>
      <c r="C1871" s="8" t="s">
        <v>3891</v>
      </c>
      <c r="D1871" s="8" t="s">
        <v>3892</v>
      </c>
      <c r="E1871" s="13">
        <v>0</v>
      </c>
      <c r="F1871" s="14">
        <v>6710185</v>
      </c>
    </row>
    <row r="1872" spans="1:6" x14ac:dyDescent="0.3">
      <c r="A1872" s="8">
        <v>1870</v>
      </c>
      <c r="B1872" s="8" t="s">
        <v>2792</v>
      </c>
      <c r="C1872" s="8" t="s">
        <v>3893</v>
      </c>
      <c r="D1872" s="8" t="s">
        <v>3894</v>
      </c>
      <c r="E1872" s="13">
        <v>0</v>
      </c>
      <c r="F1872" s="14">
        <v>6710185</v>
      </c>
    </row>
    <row r="1873" spans="1:6" x14ac:dyDescent="0.3">
      <c r="A1873" s="8">
        <v>1871</v>
      </c>
      <c r="B1873" s="8" t="s">
        <v>2792</v>
      </c>
      <c r="C1873" s="8" t="s">
        <v>3895</v>
      </c>
      <c r="D1873" s="8" t="s">
        <v>3896</v>
      </c>
      <c r="E1873" s="13">
        <v>13775000</v>
      </c>
      <c r="F1873" s="14">
        <v>23020370</v>
      </c>
    </row>
    <row r="1874" spans="1:6" x14ac:dyDescent="0.3">
      <c r="A1874" s="8">
        <v>1872</v>
      </c>
      <c r="B1874" s="8" t="s">
        <v>2792</v>
      </c>
      <c r="C1874" s="8" t="s">
        <v>3897</v>
      </c>
      <c r="D1874" s="8" t="s">
        <v>3898</v>
      </c>
      <c r="E1874" s="13">
        <v>2920000</v>
      </c>
      <c r="F1874" s="14">
        <v>4879630</v>
      </c>
    </row>
    <row r="1875" spans="1:6" x14ac:dyDescent="0.3">
      <c r="A1875" s="8">
        <v>1873</v>
      </c>
      <c r="B1875" s="8" t="s">
        <v>2792</v>
      </c>
      <c r="C1875" s="8" t="s">
        <v>3899</v>
      </c>
      <c r="D1875" s="8" t="s">
        <v>3900</v>
      </c>
      <c r="E1875" s="13">
        <v>0</v>
      </c>
      <c r="F1875" s="14">
        <v>8800000</v>
      </c>
    </row>
    <row r="1876" spans="1:6" x14ac:dyDescent="0.3">
      <c r="A1876" s="8">
        <v>1874</v>
      </c>
      <c r="B1876" s="8" t="s">
        <v>2792</v>
      </c>
      <c r="C1876" s="8" t="s">
        <v>3901</v>
      </c>
      <c r="D1876" s="8" t="s">
        <v>3902</v>
      </c>
      <c r="E1876" s="13">
        <v>0</v>
      </c>
      <c r="F1876" s="14">
        <v>0</v>
      </c>
    </row>
    <row r="1877" spans="1:6" x14ac:dyDescent="0.3">
      <c r="A1877" s="8">
        <v>1875</v>
      </c>
      <c r="B1877" s="8" t="s">
        <v>2792</v>
      </c>
      <c r="C1877" s="8" t="s">
        <v>3903</v>
      </c>
      <c r="D1877" s="8" t="s">
        <v>3904</v>
      </c>
      <c r="E1877" s="13">
        <v>0</v>
      </c>
      <c r="F1877" s="14">
        <v>3600000</v>
      </c>
    </row>
    <row r="1878" spans="1:6" x14ac:dyDescent="0.3">
      <c r="A1878" s="8">
        <v>1876</v>
      </c>
      <c r="B1878" s="8" t="s">
        <v>2792</v>
      </c>
      <c r="C1878" s="8" t="s">
        <v>3905</v>
      </c>
      <c r="D1878" s="8" t="s">
        <v>3906</v>
      </c>
      <c r="E1878" s="13">
        <v>0</v>
      </c>
      <c r="F1878" s="14">
        <v>0</v>
      </c>
    </row>
    <row r="1879" spans="1:6" x14ac:dyDescent="0.3">
      <c r="A1879" s="8">
        <v>1877</v>
      </c>
      <c r="B1879" s="8" t="s">
        <v>2792</v>
      </c>
      <c r="C1879" s="8" t="s">
        <v>3907</v>
      </c>
      <c r="D1879" s="8" t="s">
        <v>3908</v>
      </c>
      <c r="E1879" s="13">
        <v>0</v>
      </c>
      <c r="F1879" s="14">
        <v>0</v>
      </c>
    </row>
    <row r="1880" spans="1:6" x14ac:dyDescent="0.3">
      <c r="A1880" s="8">
        <v>1878</v>
      </c>
      <c r="B1880" s="8" t="s">
        <v>2792</v>
      </c>
      <c r="C1880" s="8" t="s">
        <v>3909</v>
      </c>
      <c r="D1880" s="8" t="s">
        <v>3910</v>
      </c>
      <c r="E1880" s="13">
        <v>0</v>
      </c>
      <c r="F1880" s="14">
        <v>11000000</v>
      </c>
    </row>
    <row r="1881" spans="1:6" x14ac:dyDescent="0.3">
      <c r="A1881" s="8">
        <v>1879</v>
      </c>
      <c r="B1881" s="8" t="s">
        <v>2792</v>
      </c>
      <c r="C1881" s="8" t="s">
        <v>3911</v>
      </c>
      <c r="D1881" s="8" t="s">
        <v>3912</v>
      </c>
      <c r="E1881" s="13">
        <v>3282000</v>
      </c>
      <c r="F1881" s="14">
        <v>5210000</v>
      </c>
    </row>
    <row r="1882" spans="1:6" x14ac:dyDescent="0.3">
      <c r="A1882" s="8">
        <v>1880</v>
      </c>
      <c r="B1882" s="8" t="s">
        <v>2792</v>
      </c>
      <c r="C1882" s="8" t="s">
        <v>3913</v>
      </c>
      <c r="D1882" s="8" t="s">
        <v>3914</v>
      </c>
      <c r="E1882" s="13">
        <v>0</v>
      </c>
      <c r="F1882" s="14">
        <v>0</v>
      </c>
    </row>
    <row r="1883" spans="1:6" x14ac:dyDescent="0.3">
      <c r="A1883" s="8">
        <v>1881</v>
      </c>
      <c r="B1883" s="8" t="s">
        <v>2792</v>
      </c>
      <c r="C1883" s="8" t="s">
        <v>3915</v>
      </c>
      <c r="D1883" s="8" t="s">
        <v>3916</v>
      </c>
      <c r="E1883" s="13">
        <v>0</v>
      </c>
      <c r="F1883" s="14">
        <v>1400000</v>
      </c>
    </row>
    <row r="1884" spans="1:6" x14ac:dyDescent="0.3">
      <c r="A1884" s="8">
        <v>1882</v>
      </c>
      <c r="B1884" s="8" t="s">
        <v>2792</v>
      </c>
      <c r="C1884" s="8" t="s">
        <v>3917</v>
      </c>
      <c r="D1884" s="8" t="s">
        <v>3918</v>
      </c>
      <c r="E1884" s="13">
        <v>0</v>
      </c>
      <c r="F1884" s="14">
        <v>19000000</v>
      </c>
    </row>
    <row r="1885" spans="1:6" x14ac:dyDescent="0.3">
      <c r="A1885" s="8">
        <v>1883</v>
      </c>
      <c r="B1885" s="8" t="s">
        <v>2792</v>
      </c>
      <c r="C1885" s="8" t="s">
        <v>3919</v>
      </c>
      <c r="D1885" s="8" t="s">
        <v>3920</v>
      </c>
      <c r="E1885" s="13">
        <v>0</v>
      </c>
      <c r="F1885" s="14">
        <v>1400000</v>
      </c>
    </row>
    <row r="1886" spans="1:6" x14ac:dyDescent="0.3">
      <c r="A1886" s="8">
        <v>1884</v>
      </c>
      <c r="B1886" s="8" t="s">
        <v>2792</v>
      </c>
      <c r="C1886" s="8" t="s">
        <v>3921</v>
      </c>
      <c r="D1886" s="8" t="s">
        <v>3922</v>
      </c>
      <c r="E1886" s="13">
        <v>0</v>
      </c>
      <c r="F1886" s="14">
        <v>2689815</v>
      </c>
    </row>
    <row r="1887" spans="1:6" x14ac:dyDescent="0.3">
      <c r="A1887" s="8">
        <v>1885</v>
      </c>
      <c r="B1887" s="8" t="s">
        <v>2792</v>
      </c>
      <c r="C1887" s="8" t="s">
        <v>3923</v>
      </c>
      <c r="D1887" s="8" t="s">
        <v>3924</v>
      </c>
      <c r="E1887" s="13">
        <v>835000</v>
      </c>
      <c r="F1887" s="14">
        <v>1670370</v>
      </c>
    </row>
    <row r="1888" spans="1:6" x14ac:dyDescent="0.3">
      <c r="A1888" s="8">
        <v>1886</v>
      </c>
      <c r="B1888" s="8" t="s">
        <v>2792</v>
      </c>
      <c r="C1888" s="8" t="s">
        <v>3925</v>
      </c>
      <c r="D1888" s="8" t="s">
        <v>3926</v>
      </c>
      <c r="E1888" s="13">
        <v>1141000</v>
      </c>
      <c r="F1888" s="14">
        <v>2282407</v>
      </c>
    </row>
    <row r="1889" spans="1:6" x14ac:dyDescent="0.3">
      <c r="A1889" s="8">
        <v>1887</v>
      </c>
      <c r="B1889" s="8" t="s">
        <v>2792</v>
      </c>
      <c r="C1889" s="8" t="s">
        <v>3927</v>
      </c>
      <c r="D1889" s="8" t="s">
        <v>3928</v>
      </c>
      <c r="E1889" s="13">
        <v>1611000</v>
      </c>
      <c r="F1889" s="14">
        <v>3222222</v>
      </c>
    </row>
    <row r="1890" spans="1:6" x14ac:dyDescent="0.3">
      <c r="A1890" s="8">
        <v>1888</v>
      </c>
      <c r="B1890" s="8" t="s">
        <v>2792</v>
      </c>
      <c r="C1890" s="8" t="s">
        <v>3929</v>
      </c>
      <c r="D1890" s="8" t="s">
        <v>3930</v>
      </c>
      <c r="E1890" s="13">
        <v>0</v>
      </c>
      <c r="F1890" s="14">
        <v>0</v>
      </c>
    </row>
    <row r="1891" spans="1:6" x14ac:dyDescent="0.3">
      <c r="A1891" s="8">
        <v>1889</v>
      </c>
      <c r="B1891" s="8" t="s">
        <v>2792</v>
      </c>
      <c r="C1891" s="8" t="s">
        <v>3931</v>
      </c>
      <c r="D1891" s="8" t="s">
        <v>3932</v>
      </c>
      <c r="E1891" s="13">
        <v>0</v>
      </c>
      <c r="F1891" s="14">
        <v>0</v>
      </c>
    </row>
    <row r="1892" spans="1:6" x14ac:dyDescent="0.3">
      <c r="A1892" s="8">
        <v>1890</v>
      </c>
      <c r="B1892" s="8" t="s">
        <v>2792</v>
      </c>
      <c r="C1892" s="8" t="s">
        <v>3933</v>
      </c>
      <c r="D1892" s="8" t="s">
        <v>3934</v>
      </c>
      <c r="E1892" s="13">
        <v>2952000</v>
      </c>
      <c r="F1892" s="14">
        <v>5903704</v>
      </c>
    </row>
    <row r="1893" spans="1:6" x14ac:dyDescent="0.3">
      <c r="A1893" s="8">
        <v>1891</v>
      </c>
      <c r="B1893" s="8" t="s">
        <v>2792</v>
      </c>
      <c r="C1893" s="8" t="s">
        <v>3935</v>
      </c>
      <c r="D1893" s="8" t="s">
        <v>3936</v>
      </c>
      <c r="E1893" s="13">
        <v>3871000</v>
      </c>
      <c r="F1893" s="14">
        <v>7741667</v>
      </c>
    </row>
    <row r="1894" spans="1:6" x14ac:dyDescent="0.3">
      <c r="A1894" s="8">
        <v>1892</v>
      </c>
      <c r="B1894" s="8" t="s">
        <v>2792</v>
      </c>
      <c r="C1894" s="8" t="s">
        <v>3937</v>
      </c>
      <c r="D1894" s="8" t="s">
        <v>3938</v>
      </c>
      <c r="E1894" s="13">
        <v>0</v>
      </c>
      <c r="F1894" s="14">
        <v>0</v>
      </c>
    </row>
    <row r="1895" spans="1:6" x14ac:dyDescent="0.3">
      <c r="A1895" s="8">
        <v>1893</v>
      </c>
      <c r="B1895" s="8" t="s">
        <v>2792</v>
      </c>
      <c r="C1895" s="8" t="s">
        <v>3939</v>
      </c>
      <c r="D1895" s="8" t="s">
        <v>3940</v>
      </c>
      <c r="E1895" s="13">
        <v>1528000</v>
      </c>
      <c r="F1895" s="14">
        <v>3055556</v>
      </c>
    </row>
    <row r="1896" spans="1:6" x14ac:dyDescent="0.3">
      <c r="A1896" s="8">
        <v>1894</v>
      </c>
      <c r="B1896" s="8" t="s">
        <v>2792</v>
      </c>
      <c r="C1896" s="8" t="s">
        <v>3941</v>
      </c>
      <c r="D1896" s="8" t="s">
        <v>3942</v>
      </c>
      <c r="E1896" s="13">
        <v>0</v>
      </c>
      <c r="F1896" s="14">
        <v>0</v>
      </c>
    </row>
    <row r="1897" spans="1:6" x14ac:dyDescent="0.3">
      <c r="A1897" s="8">
        <v>1895</v>
      </c>
      <c r="B1897" s="8" t="s">
        <v>2792</v>
      </c>
      <c r="C1897" s="8" t="s">
        <v>3943</v>
      </c>
      <c r="D1897" s="8" t="s">
        <v>3944</v>
      </c>
      <c r="E1897" s="13">
        <v>0</v>
      </c>
      <c r="F1897" s="14">
        <v>0</v>
      </c>
    </row>
    <row r="1898" spans="1:6" x14ac:dyDescent="0.3">
      <c r="A1898" s="8">
        <v>1896</v>
      </c>
      <c r="B1898" s="8" t="s">
        <v>2792</v>
      </c>
      <c r="C1898" s="8" t="s">
        <v>3945</v>
      </c>
      <c r="D1898" s="8" t="s">
        <v>3946</v>
      </c>
      <c r="E1898" s="13">
        <v>0</v>
      </c>
      <c r="F1898" s="14">
        <v>0</v>
      </c>
    </row>
    <row r="1899" spans="1:6" x14ac:dyDescent="0.3">
      <c r="A1899" s="8">
        <v>1897</v>
      </c>
      <c r="B1899" s="8" t="s">
        <v>2792</v>
      </c>
      <c r="C1899" s="8" t="s">
        <v>3947</v>
      </c>
      <c r="D1899" s="8" t="s">
        <v>3948</v>
      </c>
      <c r="E1899" s="13">
        <v>0</v>
      </c>
      <c r="F1899" s="14">
        <v>0</v>
      </c>
    </row>
    <row r="1900" spans="1:6" x14ac:dyDescent="0.3">
      <c r="A1900" s="8">
        <v>1898</v>
      </c>
      <c r="B1900" s="8" t="s">
        <v>2792</v>
      </c>
      <c r="C1900" s="8" t="s">
        <v>3949</v>
      </c>
      <c r="D1900" s="8" t="s">
        <v>3950</v>
      </c>
      <c r="E1900" s="13">
        <v>0</v>
      </c>
      <c r="F1900" s="14">
        <v>0</v>
      </c>
    </row>
    <row r="1901" spans="1:6" x14ac:dyDescent="0.3">
      <c r="A1901" s="8">
        <v>1899</v>
      </c>
      <c r="B1901" s="8" t="s">
        <v>2792</v>
      </c>
      <c r="C1901" s="8" t="s">
        <v>3951</v>
      </c>
      <c r="D1901" s="8" t="s">
        <v>3952</v>
      </c>
      <c r="E1901" s="13">
        <v>0</v>
      </c>
      <c r="F1901" s="14">
        <v>0</v>
      </c>
    </row>
    <row r="1902" spans="1:6" x14ac:dyDescent="0.3">
      <c r="A1902" s="8">
        <v>1900</v>
      </c>
      <c r="B1902" s="8" t="s">
        <v>2792</v>
      </c>
      <c r="C1902" s="8" t="s">
        <v>3953</v>
      </c>
      <c r="D1902" s="8" t="s">
        <v>3954</v>
      </c>
      <c r="E1902" s="13">
        <v>0</v>
      </c>
      <c r="F1902" s="14">
        <v>0</v>
      </c>
    </row>
    <row r="1903" spans="1:6" x14ac:dyDescent="0.3">
      <c r="A1903" s="8">
        <v>1901</v>
      </c>
      <c r="B1903" s="8" t="s">
        <v>2792</v>
      </c>
      <c r="C1903" s="8" t="s">
        <v>3955</v>
      </c>
      <c r="D1903" s="8" t="s">
        <v>3956</v>
      </c>
      <c r="E1903" s="13">
        <v>0</v>
      </c>
      <c r="F1903" s="14">
        <v>0</v>
      </c>
    </row>
    <row r="1904" spans="1:6" x14ac:dyDescent="0.3">
      <c r="A1904" s="8">
        <v>1902</v>
      </c>
      <c r="B1904" s="8" t="s">
        <v>2792</v>
      </c>
      <c r="C1904" s="8" t="s">
        <v>3957</v>
      </c>
      <c r="D1904" s="8" t="s">
        <v>3958</v>
      </c>
      <c r="E1904" s="13">
        <v>0</v>
      </c>
      <c r="F1904" s="14">
        <v>0</v>
      </c>
    </row>
    <row r="1905" spans="1:6" x14ac:dyDescent="0.3">
      <c r="A1905" s="8">
        <v>1903</v>
      </c>
      <c r="B1905" s="8" t="s">
        <v>2792</v>
      </c>
      <c r="C1905" s="8" t="s">
        <v>3959</v>
      </c>
      <c r="D1905" s="8" t="s">
        <v>3960</v>
      </c>
      <c r="E1905" s="13">
        <v>0</v>
      </c>
      <c r="F1905" s="14">
        <v>0</v>
      </c>
    </row>
    <row r="1906" spans="1:6" x14ac:dyDescent="0.3">
      <c r="A1906" s="8">
        <v>1904</v>
      </c>
      <c r="B1906" s="8" t="s">
        <v>2792</v>
      </c>
      <c r="C1906" s="8" t="s">
        <v>3961</v>
      </c>
      <c r="D1906" s="8" t="s">
        <v>3962</v>
      </c>
      <c r="E1906" s="13">
        <v>0</v>
      </c>
      <c r="F1906" s="14">
        <v>0</v>
      </c>
    </row>
    <row r="1907" spans="1:6" x14ac:dyDescent="0.3">
      <c r="A1907" s="8">
        <v>1905</v>
      </c>
      <c r="B1907" s="8" t="s">
        <v>2229</v>
      </c>
      <c r="C1907" s="8" t="s">
        <v>3963</v>
      </c>
      <c r="D1907" s="8" t="s">
        <v>3964</v>
      </c>
      <c r="E1907" s="13">
        <v>5685200</v>
      </c>
      <c r="F1907" s="14">
        <v>9289815</v>
      </c>
    </row>
    <row r="1908" spans="1:6" x14ac:dyDescent="0.3">
      <c r="A1908" s="8">
        <v>1906</v>
      </c>
      <c r="B1908" s="8" t="s">
        <v>2229</v>
      </c>
      <c r="C1908" s="8" t="s">
        <v>3965</v>
      </c>
      <c r="D1908" s="8" t="s">
        <v>3966</v>
      </c>
      <c r="E1908" s="13">
        <v>5685200</v>
      </c>
      <c r="F1908" s="14">
        <v>9289815</v>
      </c>
    </row>
    <row r="1909" spans="1:6" x14ac:dyDescent="0.3">
      <c r="A1909" s="8">
        <v>1907</v>
      </c>
      <c r="B1909" s="8" t="s">
        <v>2229</v>
      </c>
      <c r="C1909" s="8" t="s">
        <v>3967</v>
      </c>
      <c r="D1909" s="8" t="s">
        <v>3968</v>
      </c>
      <c r="E1909" s="13">
        <v>371000</v>
      </c>
      <c r="F1909" s="14">
        <v>722222</v>
      </c>
    </row>
    <row r="1910" spans="1:6" x14ac:dyDescent="0.3">
      <c r="A1910" s="8">
        <v>1908</v>
      </c>
      <c r="B1910" s="8" t="s">
        <v>2229</v>
      </c>
      <c r="C1910" s="8" t="s">
        <v>3969</v>
      </c>
      <c r="D1910" s="8" t="s">
        <v>3970</v>
      </c>
      <c r="E1910" s="13">
        <v>0</v>
      </c>
      <c r="F1910" s="14">
        <v>0</v>
      </c>
    </row>
    <row r="1911" spans="1:6" x14ac:dyDescent="0.3">
      <c r="A1911" s="8">
        <v>1909</v>
      </c>
      <c r="B1911" s="8" t="s">
        <v>2229</v>
      </c>
      <c r="C1911" s="8" t="s">
        <v>3971</v>
      </c>
      <c r="D1911" s="8" t="s">
        <v>3972</v>
      </c>
      <c r="E1911" s="13">
        <v>0</v>
      </c>
      <c r="F1911" s="14">
        <v>0</v>
      </c>
    </row>
    <row r="1912" spans="1:6" x14ac:dyDescent="0.3">
      <c r="A1912" s="8">
        <v>1910</v>
      </c>
      <c r="B1912" s="8" t="s">
        <v>2229</v>
      </c>
      <c r="C1912" s="8" t="s">
        <v>3973</v>
      </c>
      <c r="D1912" s="8" t="s">
        <v>3974</v>
      </c>
      <c r="E1912" s="13">
        <v>2632000</v>
      </c>
      <c r="F1912" s="14">
        <v>6203704</v>
      </c>
    </row>
    <row r="1913" spans="1:6" x14ac:dyDescent="0.3">
      <c r="A1913" s="8">
        <v>1911</v>
      </c>
      <c r="B1913" s="8" t="s">
        <v>2229</v>
      </c>
      <c r="C1913" s="8" t="s">
        <v>3975</v>
      </c>
      <c r="D1913" s="8" t="s">
        <v>3976</v>
      </c>
      <c r="E1913" s="13">
        <v>2632000</v>
      </c>
      <c r="F1913" s="14">
        <v>6203704</v>
      </c>
    </row>
    <row r="1914" spans="1:6" x14ac:dyDescent="0.3">
      <c r="A1914" s="8">
        <v>1912</v>
      </c>
      <c r="B1914" s="8" t="s">
        <v>2229</v>
      </c>
      <c r="C1914" s="8" t="s">
        <v>3977</v>
      </c>
      <c r="D1914" s="8" t="s">
        <v>3978</v>
      </c>
      <c r="E1914" s="13">
        <v>0</v>
      </c>
      <c r="F1914" s="14">
        <v>3645455</v>
      </c>
    </row>
    <row r="1915" spans="1:6" x14ac:dyDescent="0.3">
      <c r="A1915" s="8">
        <v>1913</v>
      </c>
      <c r="B1915" s="8" t="s">
        <v>2229</v>
      </c>
      <c r="C1915" s="8" t="s">
        <v>3979</v>
      </c>
      <c r="D1915" s="8" t="s">
        <v>3980</v>
      </c>
      <c r="E1915" s="13">
        <v>2632000</v>
      </c>
      <c r="F1915" s="14">
        <v>6203704</v>
      </c>
    </row>
    <row r="1916" spans="1:6" x14ac:dyDescent="0.3">
      <c r="A1916" s="8">
        <v>1914</v>
      </c>
      <c r="B1916" s="8" t="s">
        <v>3981</v>
      </c>
      <c r="C1916" s="8" t="s">
        <v>3982</v>
      </c>
      <c r="D1916" s="8" t="s">
        <v>3983</v>
      </c>
      <c r="E1916" s="13">
        <v>0</v>
      </c>
      <c r="F1916" s="14">
        <v>0</v>
      </c>
    </row>
    <row r="1917" spans="1:6" x14ac:dyDescent="0.3">
      <c r="A1917" s="8">
        <v>1915</v>
      </c>
      <c r="B1917" s="8" t="s">
        <v>2303</v>
      </c>
      <c r="C1917" s="8" t="s">
        <v>3984</v>
      </c>
      <c r="D1917" s="8" t="s">
        <v>3985</v>
      </c>
      <c r="E1917" s="13">
        <v>0</v>
      </c>
      <c r="F1917" s="14">
        <v>0</v>
      </c>
    </row>
    <row r="1918" spans="1:6" x14ac:dyDescent="0.3">
      <c r="A1918" s="8">
        <v>1916</v>
      </c>
      <c r="B1918" s="8" t="s">
        <v>2303</v>
      </c>
      <c r="C1918" s="8" t="s">
        <v>3986</v>
      </c>
      <c r="D1918" s="8" t="s">
        <v>3987</v>
      </c>
      <c r="E1918" s="13">
        <v>87500</v>
      </c>
      <c r="F1918" s="14">
        <v>175000</v>
      </c>
    </row>
    <row r="1919" spans="1:6" x14ac:dyDescent="0.3">
      <c r="A1919" s="8">
        <v>1917</v>
      </c>
      <c r="B1919" s="8" t="s">
        <v>2303</v>
      </c>
      <c r="C1919" s="8" t="s">
        <v>3988</v>
      </c>
      <c r="D1919" s="8" t="s">
        <v>3989</v>
      </c>
      <c r="E1919" s="13">
        <v>24500</v>
      </c>
      <c r="F1919" s="14">
        <v>39000</v>
      </c>
    </row>
    <row r="1920" spans="1:6" x14ac:dyDescent="0.3">
      <c r="A1920" s="8">
        <v>1918</v>
      </c>
      <c r="B1920" s="8" t="s">
        <v>2303</v>
      </c>
      <c r="C1920" s="8" t="s">
        <v>3990</v>
      </c>
      <c r="D1920" s="8" t="s">
        <v>3991</v>
      </c>
      <c r="E1920" s="13">
        <v>14500</v>
      </c>
      <c r="F1920" s="14">
        <v>28981</v>
      </c>
    </row>
    <row r="1921" spans="1:6" x14ac:dyDescent="0.3">
      <c r="A1921" s="8">
        <v>1919</v>
      </c>
      <c r="B1921" s="8" t="s">
        <v>2303</v>
      </c>
      <c r="C1921" s="8" t="s">
        <v>3992</v>
      </c>
      <c r="D1921" s="8" t="s">
        <v>3993</v>
      </c>
      <c r="E1921" s="13">
        <v>0</v>
      </c>
      <c r="F1921" s="14">
        <v>0</v>
      </c>
    </row>
    <row r="1922" spans="1:6" x14ac:dyDescent="0.3">
      <c r="A1922" s="8">
        <v>1920</v>
      </c>
      <c r="B1922" s="8" t="s">
        <v>2303</v>
      </c>
      <c r="C1922" s="8" t="s">
        <v>3994</v>
      </c>
      <c r="D1922" s="8" t="s">
        <v>3995</v>
      </c>
      <c r="E1922" s="13">
        <v>62000</v>
      </c>
      <c r="F1922" s="14">
        <v>124000</v>
      </c>
    </row>
    <row r="1923" spans="1:6" x14ac:dyDescent="0.3">
      <c r="A1923" s="8">
        <v>1921</v>
      </c>
      <c r="B1923" s="8" t="s">
        <v>2303</v>
      </c>
      <c r="C1923" s="8" t="s">
        <v>3996</v>
      </c>
      <c r="D1923" s="8" t="s">
        <v>3997</v>
      </c>
      <c r="E1923" s="13">
        <v>48500</v>
      </c>
      <c r="F1923" s="14">
        <v>97037</v>
      </c>
    </row>
    <row r="1924" spans="1:6" x14ac:dyDescent="0.3">
      <c r="A1924" s="8">
        <v>1922</v>
      </c>
      <c r="B1924" s="8" t="s">
        <v>2303</v>
      </c>
      <c r="C1924" s="8" t="s">
        <v>3998</v>
      </c>
      <c r="D1924" s="8" t="s">
        <v>3999</v>
      </c>
      <c r="E1924" s="13">
        <v>133000</v>
      </c>
      <c r="F1924" s="14">
        <v>265741</v>
      </c>
    </row>
    <row r="1925" spans="1:6" x14ac:dyDescent="0.3">
      <c r="A1925" s="8">
        <v>1923</v>
      </c>
      <c r="B1925" s="8" t="s">
        <v>2303</v>
      </c>
      <c r="C1925" s="8" t="s">
        <v>4000</v>
      </c>
      <c r="D1925" s="8" t="s">
        <v>4001</v>
      </c>
      <c r="E1925" s="13">
        <v>0</v>
      </c>
      <c r="F1925" s="14">
        <v>0</v>
      </c>
    </row>
    <row r="1926" spans="1:6" x14ac:dyDescent="0.3">
      <c r="A1926" s="8">
        <v>1924</v>
      </c>
      <c r="B1926" s="8" t="s">
        <v>2303</v>
      </c>
      <c r="C1926" s="8" t="s">
        <v>4002</v>
      </c>
      <c r="D1926" s="8" t="s">
        <v>4003</v>
      </c>
      <c r="E1926" s="13">
        <v>208000</v>
      </c>
      <c r="F1926" s="14">
        <v>415741</v>
      </c>
    </row>
    <row r="1927" spans="1:6" x14ac:dyDescent="0.3">
      <c r="A1927" s="8">
        <v>1925</v>
      </c>
      <c r="B1927" s="8" t="s">
        <v>2303</v>
      </c>
      <c r="C1927" s="8" t="s">
        <v>4004</v>
      </c>
      <c r="D1927" s="8" t="s">
        <v>4005</v>
      </c>
      <c r="E1927" s="13">
        <v>0</v>
      </c>
      <c r="F1927" s="14">
        <v>0</v>
      </c>
    </row>
    <row r="1928" spans="1:6" x14ac:dyDescent="0.3">
      <c r="A1928" s="8">
        <v>1926</v>
      </c>
      <c r="B1928" s="8" t="s">
        <v>2303</v>
      </c>
      <c r="C1928" s="8" t="s">
        <v>4006</v>
      </c>
      <c r="D1928" s="8" t="s">
        <v>4007</v>
      </c>
      <c r="E1928" s="13">
        <v>20000</v>
      </c>
      <c r="F1928" s="14">
        <v>39815</v>
      </c>
    </row>
    <row r="1929" spans="1:6" x14ac:dyDescent="0.3">
      <c r="A1929" s="8">
        <v>1927</v>
      </c>
      <c r="B1929" s="8" t="s">
        <v>2303</v>
      </c>
      <c r="C1929" s="8" t="s">
        <v>4008</v>
      </c>
      <c r="D1929" s="8" t="s">
        <v>4009</v>
      </c>
      <c r="E1929" s="13">
        <v>73000</v>
      </c>
      <c r="F1929" s="14">
        <v>146296</v>
      </c>
    </row>
    <row r="1930" spans="1:6" x14ac:dyDescent="0.3">
      <c r="A1930" s="8">
        <v>1928</v>
      </c>
      <c r="B1930" s="8" t="s">
        <v>2303</v>
      </c>
      <c r="C1930" s="8" t="s">
        <v>4010</v>
      </c>
      <c r="D1930" s="8" t="s">
        <v>4011</v>
      </c>
      <c r="E1930" s="13">
        <v>97000</v>
      </c>
      <c r="F1930" s="14">
        <v>197222</v>
      </c>
    </row>
    <row r="1931" spans="1:6" x14ac:dyDescent="0.3">
      <c r="A1931" s="8">
        <v>1929</v>
      </c>
      <c r="B1931" s="8" t="s">
        <v>2792</v>
      </c>
      <c r="C1931" s="8" t="s">
        <v>4012</v>
      </c>
      <c r="D1931" s="8" t="s">
        <v>4013</v>
      </c>
      <c r="E1931" s="13">
        <v>0</v>
      </c>
      <c r="F1931" s="14">
        <v>6489815</v>
      </c>
    </row>
    <row r="1932" spans="1:6" x14ac:dyDescent="0.3">
      <c r="A1932" s="8">
        <v>1930</v>
      </c>
      <c r="B1932" s="8" t="s">
        <v>2792</v>
      </c>
      <c r="C1932" s="8" t="s">
        <v>4014</v>
      </c>
      <c r="D1932" s="8" t="s">
        <v>4015</v>
      </c>
      <c r="E1932" s="13">
        <v>274000</v>
      </c>
      <c r="F1932" s="14">
        <v>548148</v>
      </c>
    </row>
    <row r="1933" spans="1:6" x14ac:dyDescent="0.3">
      <c r="A1933" s="8">
        <v>1931</v>
      </c>
      <c r="B1933" s="8" t="s">
        <v>2792</v>
      </c>
      <c r="C1933" s="8" t="s">
        <v>4016</v>
      </c>
      <c r="D1933" s="8" t="s">
        <v>4017</v>
      </c>
      <c r="E1933" s="13">
        <v>0</v>
      </c>
      <c r="F1933" s="14">
        <v>648148</v>
      </c>
    </row>
    <row r="1934" spans="1:6" x14ac:dyDescent="0.3">
      <c r="A1934" s="8">
        <v>1932</v>
      </c>
      <c r="B1934" s="8" t="s">
        <v>2792</v>
      </c>
      <c r="C1934" s="8" t="s">
        <v>4018</v>
      </c>
      <c r="D1934" s="8" t="s">
        <v>4019</v>
      </c>
      <c r="E1934" s="13">
        <v>0</v>
      </c>
      <c r="F1934" s="14">
        <v>6200000</v>
      </c>
    </row>
    <row r="1935" spans="1:6" x14ac:dyDescent="0.3">
      <c r="A1935" s="8">
        <v>1933</v>
      </c>
      <c r="B1935" s="8" t="s">
        <v>2792</v>
      </c>
      <c r="C1935" s="8" t="s">
        <v>4020</v>
      </c>
      <c r="D1935" s="8" t="s">
        <v>4021</v>
      </c>
      <c r="E1935" s="13">
        <v>0</v>
      </c>
      <c r="F1935" s="14">
        <v>6000000</v>
      </c>
    </row>
    <row r="1936" spans="1:6" x14ac:dyDescent="0.3">
      <c r="A1936" s="8">
        <v>1934</v>
      </c>
      <c r="B1936" s="8" t="s">
        <v>2792</v>
      </c>
      <c r="C1936" s="8" t="s">
        <v>4022</v>
      </c>
      <c r="D1936" s="8" t="s">
        <v>4023</v>
      </c>
      <c r="E1936" s="13">
        <v>0</v>
      </c>
      <c r="F1936" s="14">
        <v>9500000</v>
      </c>
    </row>
    <row r="1937" spans="1:6" x14ac:dyDescent="0.3">
      <c r="A1937" s="8">
        <v>1935</v>
      </c>
      <c r="B1937" s="8" t="s">
        <v>2792</v>
      </c>
      <c r="C1937" s="8" t="s">
        <v>4024</v>
      </c>
      <c r="D1937" s="8" t="s">
        <v>4025</v>
      </c>
      <c r="E1937" s="13">
        <v>2842000</v>
      </c>
      <c r="F1937" s="14">
        <v>4750000</v>
      </c>
    </row>
    <row r="1938" spans="1:6" x14ac:dyDescent="0.3">
      <c r="A1938" s="8">
        <v>1936</v>
      </c>
      <c r="B1938" s="8" t="s">
        <v>2792</v>
      </c>
      <c r="C1938" s="8" t="s">
        <v>4026</v>
      </c>
      <c r="D1938" s="8" t="s">
        <v>4027</v>
      </c>
      <c r="E1938" s="13">
        <v>0</v>
      </c>
      <c r="F1938" s="14">
        <v>3600000</v>
      </c>
    </row>
    <row r="1939" spans="1:6" x14ac:dyDescent="0.3">
      <c r="A1939" s="8">
        <v>1937</v>
      </c>
      <c r="B1939" s="8" t="s">
        <v>2792</v>
      </c>
      <c r="C1939" s="8" t="s">
        <v>4028</v>
      </c>
      <c r="D1939" s="8" t="s">
        <v>4029</v>
      </c>
      <c r="E1939" s="13">
        <v>0</v>
      </c>
      <c r="F1939" s="14">
        <v>0</v>
      </c>
    </row>
    <row r="1940" spans="1:6" x14ac:dyDescent="0.3">
      <c r="A1940" s="8">
        <v>1938</v>
      </c>
      <c r="B1940" s="8" t="s">
        <v>2792</v>
      </c>
      <c r="C1940" s="8" t="s">
        <v>4030</v>
      </c>
      <c r="D1940" s="8" t="s">
        <v>4031</v>
      </c>
      <c r="E1940" s="13">
        <v>0</v>
      </c>
      <c r="F1940" s="14">
        <v>0</v>
      </c>
    </row>
    <row r="1941" spans="1:6" x14ac:dyDescent="0.3">
      <c r="A1941" s="8">
        <v>1939</v>
      </c>
      <c r="B1941" s="8" t="s">
        <v>2792</v>
      </c>
      <c r="C1941" s="8" t="s">
        <v>4032</v>
      </c>
      <c r="D1941" s="8" t="s">
        <v>4033</v>
      </c>
      <c r="E1941" s="13">
        <v>18787000</v>
      </c>
      <c r="F1941" s="14">
        <v>29820000</v>
      </c>
    </row>
    <row r="1942" spans="1:6" x14ac:dyDescent="0.3">
      <c r="A1942" s="8">
        <v>1940</v>
      </c>
      <c r="B1942" s="8" t="s">
        <v>2792</v>
      </c>
      <c r="C1942" s="8" t="s">
        <v>4034</v>
      </c>
      <c r="D1942" s="8" t="s">
        <v>4035</v>
      </c>
      <c r="E1942" s="13">
        <v>3049000</v>
      </c>
      <c r="F1942" s="14">
        <v>6098148</v>
      </c>
    </row>
    <row r="1943" spans="1:6" x14ac:dyDescent="0.3">
      <c r="A1943" s="8">
        <v>1941</v>
      </c>
      <c r="B1943" s="8" t="s">
        <v>2792</v>
      </c>
      <c r="C1943" s="8" t="s">
        <v>4036</v>
      </c>
      <c r="D1943" s="8" t="s">
        <v>4037</v>
      </c>
      <c r="E1943" s="13">
        <v>0</v>
      </c>
      <c r="F1943" s="14">
        <v>3000000</v>
      </c>
    </row>
    <row r="1944" spans="1:6" x14ac:dyDescent="0.3">
      <c r="A1944" s="8">
        <v>1942</v>
      </c>
      <c r="B1944" s="8" t="s">
        <v>2792</v>
      </c>
      <c r="C1944" s="8" t="s">
        <v>4038</v>
      </c>
      <c r="D1944" s="8" t="s">
        <v>4039</v>
      </c>
      <c r="E1944" s="13">
        <v>0</v>
      </c>
      <c r="F1944" s="14">
        <v>0</v>
      </c>
    </row>
    <row r="1945" spans="1:6" x14ac:dyDescent="0.3">
      <c r="A1945" s="8">
        <v>1943</v>
      </c>
      <c r="B1945" s="8" t="s">
        <v>2792</v>
      </c>
      <c r="C1945" s="8" t="s">
        <v>4040</v>
      </c>
      <c r="D1945" s="8" t="s">
        <v>4041</v>
      </c>
      <c r="E1945" s="13">
        <v>0</v>
      </c>
      <c r="F1945" s="14">
        <v>0</v>
      </c>
    </row>
    <row r="1946" spans="1:6" x14ac:dyDescent="0.3">
      <c r="A1946" s="8">
        <v>1944</v>
      </c>
      <c r="B1946" s="8" t="s">
        <v>2792</v>
      </c>
      <c r="C1946" s="8" t="s">
        <v>4042</v>
      </c>
      <c r="D1946" s="8" t="s">
        <v>4043</v>
      </c>
      <c r="E1946" s="13">
        <v>523000</v>
      </c>
      <c r="F1946" s="14">
        <v>1046296</v>
      </c>
    </row>
    <row r="1947" spans="1:6" x14ac:dyDescent="0.3">
      <c r="A1947" s="8">
        <v>1945</v>
      </c>
      <c r="B1947" s="8" t="s">
        <v>2792</v>
      </c>
      <c r="C1947" s="8" t="s">
        <v>4044</v>
      </c>
      <c r="D1947" s="8" t="s">
        <v>4045</v>
      </c>
      <c r="E1947" s="13">
        <v>0</v>
      </c>
      <c r="F1947" s="14">
        <v>0</v>
      </c>
    </row>
    <row r="1948" spans="1:6" x14ac:dyDescent="0.3">
      <c r="A1948" s="8">
        <v>1946</v>
      </c>
      <c r="B1948" s="8" t="s">
        <v>2792</v>
      </c>
      <c r="C1948" s="8" t="s">
        <v>4046</v>
      </c>
      <c r="D1948" s="8" t="s">
        <v>4047</v>
      </c>
      <c r="E1948" s="13">
        <v>0</v>
      </c>
      <c r="F1948" s="14">
        <v>0</v>
      </c>
    </row>
    <row r="1949" spans="1:6" x14ac:dyDescent="0.3">
      <c r="A1949" s="8">
        <v>1947</v>
      </c>
      <c r="B1949" s="8" t="s">
        <v>2792</v>
      </c>
      <c r="C1949" s="8" t="s">
        <v>4048</v>
      </c>
      <c r="D1949" s="8" t="s">
        <v>4049</v>
      </c>
      <c r="E1949" s="13">
        <v>0</v>
      </c>
      <c r="F1949" s="14">
        <v>3222222</v>
      </c>
    </row>
    <row r="1950" spans="1:6" x14ac:dyDescent="0.3">
      <c r="A1950" s="8">
        <v>1948</v>
      </c>
      <c r="B1950" s="8" t="s">
        <v>2792</v>
      </c>
      <c r="C1950" s="8" t="s">
        <v>4050</v>
      </c>
      <c r="D1950" s="8" t="s">
        <v>4051</v>
      </c>
      <c r="E1950" s="13">
        <v>0</v>
      </c>
      <c r="F1950" s="14">
        <v>0</v>
      </c>
    </row>
    <row r="1951" spans="1:6" x14ac:dyDescent="0.3">
      <c r="A1951" s="8">
        <v>1949</v>
      </c>
      <c r="B1951" s="8" t="s">
        <v>2792</v>
      </c>
      <c r="C1951" s="8" t="s">
        <v>4052</v>
      </c>
      <c r="D1951" s="8" t="s">
        <v>4053</v>
      </c>
      <c r="E1951" s="13">
        <v>0</v>
      </c>
      <c r="F1951" s="14">
        <v>0</v>
      </c>
    </row>
    <row r="1952" spans="1:6" x14ac:dyDescent="0.3">
      <c r="A1952" s="8">
        <v>1950</v>
      </c>
      <c r="B1952" s="8" t="s">
        <v>2792</v>
      </c>
      <c r="C1952" s="8" t="s">
        <v>4054</v>
      </c>
      <c r="D1952" s="8" t="s">
        <v>4055</v>
      </c>
      <c r="E1952" s="13">
        <v>1258000</v>
      </c>
      <c r="F1952" s="14">
        <v>2515741</v>
      </c>
    </row>
    <row r="1953" spans="1:6" x14ac:dyDescent="0.3">
      <c r="A1953" s="8">
        <v>1951</v>
      </c>
      <c r="B1953" s="8" t="s">
        <v>2792</v>
      </c>
      <c r="C1953" s="8" t="s">
        <v>4056</v>
      </c>
      <c r="D1953" s="8" t="s">
        <v>4057</v>
      </c>
      <c r="E1953" s="13">
        <v>0</v>
      </c>
      <c r="F1953" s="14">
        <v>0</v>
      </c>
    </row>
    <row r="1954" spans="1:6" x14ac:dyDescent="0.3">
      <c r="A1954" s="8">
        <v>1952</v>
      </c>
      <c r="B1954" s="8" t="s">
        <v>2229</v>
      </c>
      <c r="C1954" s="8" t="s">
        <v>4058</v>
      </c>
      <c r="D1954" s="8" t="s">
        <v>4059</v>
      </c>
      <c r="E1954" s="13">
        <v>0</v>
      </c>
      <c r="F1954" s="14">
        <v>0</v>
      </c>
    </row>
    <row r="1955" spans="1:6" x14ac:dyDescent="0.3">
      <c r="A1955" s="8">
        <v>1953</v>
      </c>
      <c r="B1955" s="8" t="s">
        <v>2229</v>
      </c>
      <c r="C1955" s="8" t="s">
        <v>4060</v>
      </c>
      <c r="D1955" s="8" t="s">
        <v>4061</v>
      </c>
      <c r="E1955" s="13">
        <v>0</v>
      </c>
      <c r="F1955" s="14">
        <v>0</v>
      </c>
    </row>
    <row r="1956" spans="1:6" x14ac:dyDescent="0.3">
      <c r="A1956" s="8">
        <v>1954</v>
      </c>
      <c r="B1956" s="8" t="s">
        <v>2229</v>
      </c>
      <c r="C1956" s="8" t="s">
        <v>4062</v>
      </c>
      <c r="D1956" s="8" t="s">
        <v>4063</v>
      </c>
      <c r="E1956" s="13">
        <v>0</v>
      </c>
      <c r="F1956" s="14">
        <v>0</v>
      </c>
    </row>
    <row r="1957" spans="1:6" x14ac:dyDescent="0.3">
      <c r="A1957" s="8">
        <v>1955</v>
      </c>
      <c r="B1957" s="8" t="s">
        <v>2229</v>
      </c>
      <c r="C1957" s="8" t="s">
        <v>4064</v>
      </c>
      <c r="D1957" s="8" t="s">
        <v>4065</v>
      </c>
      <c r="E1957" s="13">
        <v>2800600</v>
      </c>
      <c r="F1957" s="14">
        <v>6111111</v>
      </c>
    </row>
    <row r="1958" spans="1:6" x14ac:dyDescent="0.3">
      <c r="A1958" s="8">
        <v>1956</v>
      </c>
      <c r="B1958" s="8" t="s">
        <v>2303</v>
      </c>
      <c r="C1958" s="8" t="s">
        <v>4066</v>
      </c>
      <c r="D1958" s="8" t="s">
        <v>4067</v>
      </c>
      <c r="E1958" s="13">
        <v>0</v>
      </c>
      <c r="F1958" s="14">
        <v>0</v>
      </c>
    </row>
    <row r="1959" spans="1:6" x14ac:dyDescent="0.3">
      <c r="A1959" s="8">
        <v>1957</v>
      </c>
      <c r="B1959" s="8" t="s">
        <v>2303</v>
      </c>
      <c r="C1959" s="8" t="s">
        <v>4068</v>
      </c>
      <c r="D1959" s="8" t="s">
        <v>4069</v>
      </c>
      <c r="E1959" s="13">
        <v>87500</v>
      </c>
      <c r="F1959" s="14">
        <v>175000</v>
      </c>
    </row>
    <row r="1960" spans="1:6" x14ac:dyDescent="0.3">
      <c r="A1960" s="8">
        <v>1958</v>
      </c>
      <c r="B1960" s="8" t="s">
        <v>2303</v>
      </c>
      <c r="C1960" s="8" t="s">
        <v>4070</v>
      </c>
      <c r="D1960" s="8" t="s">
        <v>4071</v>
      </c>
      <c r="E1960" s="13">
        <v>26500</v>
      </c>
      <c r="F1960" s="14">
        <v>48000</v>
      </c>
    </row>
    <row r="1961" spans="1:6" x14ac:dyDescent="0.3">
      <c r="A1961" s="8">
        <v>1959</v>
      </c>
      <c r="B1961" s="8" t="s">
        <v>2303</v>
      </c>
      <c r="C1961" s="8" t="s">
        <v>4072</v>
      </c>
      <c r="D1961" s="8" t="s">
        <v>4073</v>
      </c>
      <c r="E1961" s="13">
        <v>111000</v>
      </c>
      <c r="F1961" s="14">
        <v>222222</v>
      </c>
    </row>
    <row r="1962" spans="1:6" x14ac:dyDescent="0.3">
      <c r="A1962" s="8">
        <v>1960</v>
      </c>
      <c r="B1962" s="8" t="s">
        <v>2303</v>
      </c>
      <c r="C1962" s="8" t="s">
        <v>4074</v>
      </c>
      <c r="D1962" s="8" t="s">
        <v>4075</v>
      </c>
      <c r="E1962" s="13">
        <v>248200</v>
      </c>
      <c r="F1962" s="14">
        <v>496296</v>
      </c>
    </row>
    <row r="1963" spans="1:6" x14ac:dyDescent="0.3">
      <c r="A1963" s="8">
        <v>1961</v>
      </c>
      <c r="B1963" s="8" t="s">
        <v>2303</v>
      </c>
      <c r="C1963" s="8" t="s">
        <v>4076</v>
      </c>
      <c r="D1963" s="8" t="s">
        <v>4077</v>
      </c>
      <c r="E1963" s="13">
        <v>0</v>
      </c>
      <c r="F1963" s="14">
        <v>0</v>
      </c>
    </row>
    <row r="1964" spans="1:6" x14ac:dyDescent="0.3">
      <c r="A1964" s="8">
        <v>1962</v>
      </c>
      <c r="B1964" s="8" t="s">
        <v>2303</v>
      </c>
      <c r="C1964" s="8" t="s">
        <v>4078</v>
      </c>
      <c r="D1964" s="8" t="s">
        <v>4079</v>
      </c>
      <c r="E1964" s="13">
        <v>0</v>
      </c>
      <c r="F1964" s="14">
        <v>0</v>
      </c>
    </row>
    <row r="1965" spans="1:6" x14ac:dyDescent="0.3">
      <c r="A1965" s="8">
        <v>1963</v>
      </c>
      <c r="B1965" s="8" t="s">
        <v>2303</v>
      </c>
      <c r="C1965" s="8" t="s">
        <v>4080</v>
      </c>
      <c r="D1965" s="8" t="s">
        <v>4081</v>
      </c>
      <c r="E1965" s="13">
        <v>25500</v>
      </c>
      <c r="F1965" s="14">
        <v>50926</v>
      </c>
    </row>
    <row r="1966" spans="1:6" x14ac:dyDescent="0.3">
      <c r="A1966" s="8">
        <v>1964</v>
      </c>
      <c r="B1966" s="8" t="s">
        <v>2303</v>
      </c>
      <c r="C1966" s="8" t="s">
        <v>4082</v>
      </c>
      <c r="D1966" s="8" t="s">
        <v>4083</v>
      </c>
      <c r="E1966" s="13">
        <v>53000</v>
      </c>
      <c r="F1966" s="14">
        <v>105556</v>
      </c>
    </row>
    <row r="1967" spans="1:6" x14ac:dyDescent="0.3">
      <c r="A1967" s="8">
        <v>1965</v>
      </c>
      <c r="B1967" s="8" t="s">
        <v>2303</v>
      </c>
      <c r="C1967" s="8" t="s">
        <v>4084</v>
      </c>
      <c r="D1967" s="8" t="s">
        <v>4085</v>
      </c>
      <c r="E1967" s="13">
        <v>63000</v>
      </c>
      <c r="F1967" s="14">
        <v>125926</v>
      </c>
    </row>
    <row r="1968" spans="1:6" x14ac:dyDescent="0.3">
      <c r="A1968" s="8">
        <v>1966</v>
      </c>
      <c r="B1968" s="8" t="s">
        <v>2303</v>
      </c>
      <c r="C1968" s="8" t="s">
        <v>4086</v>
      </c>
      <c r="D1968" s="8" t="s">
        <v>4087</v>
      </c>
      <c r="E1968" s="13">
        <v>0</v>
      </c>
      <c r="F1968" s="14">
        <v>0</v>
      </c>
    </row>
    <row r="1969" spans="1:6" x14ac:dyDescent="0.3">
      <c r="A1969" s="8">
        <v>1967</v>
      </c>
      <c r="B1969" s="8" t="s">
        <v>2303</v>
      </c>
      <c r="C1969" s="8" t="s">
        <v>4088</v>
      </c>
      <c r="D1969" s="8" t="s">
        <v>4089</v>
      </c>
      <c r="E1969" s="13">
        <v>0</v>
      </c>
      <c r="F1969" s="14">
        <v>0</v>
      </c>
    </row>
    <row r="1970" spans="1:6" x14ac:dyDescent="0.3">
      <c r="A1970" s="8">
        <v>1968</v>
      </c>
      <c r="B1970" s="8" t="s">
        <v>2303</v>
      </c>
      <c r="C1970" s="8" t="s">
        <v>4090</v>
      </c>
      <c r="D1970" s="8" t="s">
        <v>4091</v>
      </c>
      <c r="E1970" s="13">
        <v>51000</v>
      </c>
      <c r="F1970" s="14">
        <v>101852</v>
      </c>
    </row>
    <row r="1971" spans="1:6" x14ac:dyDescent="0.3">
      <c r="A1971" s="8">
        <v>1969</v>
      </c>
      <c r="B1971" s="8" t="s">
        <v>2303</v>
      </c>
      <c r="C1971" s="8" t="s">
        <v>4092</v>
      </c>
      <c r="D1971" s="8" t="s">
        <v>4093</v>
      </c>
      <c r="E1971" s="13">
        <v>0</v>
      </c>
      <c r="F1971" s="14">
        <v>0</v>
      </c>
    </row>
    <row r="1972" spans="1:6" x14ac:dyDescent="0.3">
      <c r="A1972" s="8">
        <v>1970</v>
      </c>
      <c r="B1972" s="8" t="s">
        <v>2303</v>
      </c>
      <c r="C1972" s="8" t="s">
        <v>4094</v>
      </c>
      <c r="D1972" s="8" t="s">
        <v>4095</v>
      </c>
      <c r="E1972" s="13">
        <v>0</v>
      </c>
      <c r="F1972" s="14">
        <v>0</v>
      </c>
    </row>
    <row r="1973" spans="1:6" x14ac:dyDescent="0.3">
      <c r="A1973" s="8">
        <v>1971</v>
      </c>
      <c r="B1973" s="8" t="s">
        <v>2792</v>
      </c>
      <c r="C1973" s="8" t="s">
        <v>4096</v>
      </c>
      <c r="D1973" s="8" t="s">
        <v>4097</v>
      </c>
      <c r="E1973" s="13">
        <v>1009000</v>
      </c>
      <c r="F1973" s="14">
        <v>1736000</v>
      </c>
    </row>
    <row r="1974" spans="1:6" x14ac:dyDescent="0.3">
      <c r="A1974" s="8">
        <v>1972</v>
      </c>
      <c r="B1974" s="8" t="s">
        <v>2792</v>
      </c>
      <c r="C1974" s="8" t="s">
        <v>4098</v>
      </c>
      <c r="D1974" s="8" t="s">
        <v>4099</v>
      </c>
      <c r="E1974" s="13">
        <v>657000</v>
      </c>
      <c r="F1974" s="14">
        <v>1146296</v>
      </c>
    </row>
    <row r="1975" spans="1:6" x14ac:dyDescent="0.3">
      <c r="A1975" s="8">
        <v>1973</v>
      </c>
      <c r="B1975" s="8" t="s">
        <v>2792</v>
      </c>
      <c r="C1975" s="8" t="s">
        <v>4100</v>
      </c>
      <c r="D1975" s="8" t="s">
        <v>4101</v>
      </c>
      <c r="E1975" s="13">
        <v>3098000</v>
      </c>
      <c r="F1975" s="14">
        <v>3239815</v>
      </c>
    </row>
    <row r="1976" spans="1:6" x14ac:dyDescent="0.3">
      <c r="A1976" s="8">
        <v>1974</v>
      </c>
      <c r="B1976" s="8" t="s">
        <v>2792</v>
      </c>
      <c r="C1976" s="8" t="s">
        <v>4102</v>
      </c>
      <c r="D1976" s="8" t="s">
        <v>4103</v>
      </c>
      <c r="E1976" s="13">
        <v>2333000</v>
      </c>
      <c r="F1976" s="14">
        <v>4665741</v>
      </c>
    </row>
    <row r="1977" spans="1:6" x14ac:dyDescent="0.3">
      <c r="A1977" s="8">
        <v>1975</v>
      </c>
      <c r="B1977" s="8" t="s">
        <v>2792</v>
      </c>
      <c r="C1977" s="8" t="s">
        <v>4104</v>
      </c>
      <c r="D1977" s="8" t="s">
        <v>4105</v>
      </c>
      <c r="E1977" s="13">
        <v>2486000</v>
      </c>
      <c r="F1977" s="14">
        <v>4476000</v>
      </c>
    </row>
    <row r="1978" spans="1:6" x14ac:dyDescent="0.3">
      <c r="A1978" s="8">
        <v>1976</v>
      </c>
      <c r="B1978" s="8" t="s">
        <v>2792</v>
      </c>
      <c r="C1978" s="8" t="s">
        <v>4106</v>
      </c>
      <c r="D1978" s="8" t="s">
        <v>4107</v>
      </c>
      <c r="E1978" s="13">
        <v>0</v>
      </c>
      <c r="F1978" s="14">
        <v>13000000</v>
      </c>
    </row>
    <row r="1979" spans="1:6" x14ac:dyDescent="0.3">
      <c r="A1979" s="8">
        <v>1977</v>
      </c>
      <c r="B1979" s="8" t="s">
        <v>2792</v>
      </c>
      <c r="C1979" s="8" t="s">
        <v>4108</v>
      </c>
      <c r="D1979" s="8" t="s">
        <v>4109</v>
      </c>
      <c r="E1979" s="13">
        <v>0</v>
      </c>
      <c r="F1979" s="14">
        <v>0</v>
      </c>
    </row>
    <row r="1980" spans="1:6" x14ac:dyDescent="0.3">
      <c r="A1980" s="8">
        <v>1978</v>
      </c>
      <c r="B1980" s="8" t="s">
        <v>2792</v>
      </c>
      <c r="C1980" s="8" t="s">
        <v>4110</v>
      </c>
      <c r="D1980" s="8" t="s">
        <v>4111</v>
      </c>
      <c r="E1980" s="13">
        <v>0</v>
      </c>
      <c r="F1980" s="14">
        <v>0</v>
      </c>
    </row>
    <row r="1981" spans="1:6" x14ac:dyDescent="0.3">
      <c r="A1981" s="8">
        <v>1979</v>
      </c>
      <c r="B1981" s="8" t="s">
        <v>2792</v>
      </c>
      <c r="C1981" s="8" t="s">
        <v>4112</v>
      </c>
      <c r="D1981" s="8" t="s">
        <v>4113</v>
      </c>
      <c r="E1981" s="13">
        <v>0</v>
      </c>
      <c r="F1981" s="14">
        <v>0</v>
      </c>
    </row>
    <row r="1982" spans="1:6" x14ac:dyDescent="0.3">
      <c r="A1982" s="8">
        <v>1980</v>
      </c>
      <c r="B1982" s="8" t="s">
        <v>2792</v>
      </c>
      <c r="C1982" s="8" t="s">
        <v>4114</v>
      </c>
      <c r="D1982" s="8" t="s">
        <v>4115</v>
      </c>
      <c r="E1982" s="13">
        <v>0</v>
      </c>
      <c r="F1982" s="14">
        <v>7354000</v>
      </c>
    </row>
    <row r="1983" spans="1:6" x14ac:dyDescent="0.3">
      <c r="A1983" s="8">
        <v>1981</v>
      </c>
      <c r="B1983" s="8" t="s">
        <v>2792</v>
      </c>
      <c r="C1983" s="8" t="s">
        <v>4116</v>
      </c>
      <c r="D1983" s="8" t="s">
        <v>4117</v>
      </c>
      <c r="E1983" s="13">
        <v>0</v>
      </c>
      <c r="F1983" s="14">
        <v>0</v>
      </c>
    </row>
    <row r="1984" spans="1:6" x14ac:dyDescent="0.3">
      <c r="A1984" s="8">
        <v>1982</v>
      </c>
      <c r="B1984" s="8" t="s">
        <v>2792</v>
      </c>
      <c r="C1984" s="8" t="s">
        <v>4118</v>
      </c>
      <c r="D1984" s="8" t="s">
        <v>4119</v>
      </c>
      <c r="E1984" s="13">
        <v>1258000</v>
      </c>
      <c r="F1984" s="14">
        <v>2515741</v>
      </c>
    </row>
    <row r="1985" spans="1:6" x14ac:dyDescent="0.3">
      <c r="A1985" s="8">
        <v>1983</v>
      </c>
      <c r="B1985" s="8" t="s">
        <v>2792</v>
      </c>
      <c r="C1985" s="8" t="s">
        <v>4120</v>
      </c>
      <c r="D1985" s="8" t="s">
        <v>4121</v>
      </c>
      <c r="E1985" s="13">
        <v>0</v>
      </c>
      <c r="F1985" s="14">
        <v>0</v>
      </c>
    </row>
    <row r="1986" spans="1:6" x14ac:dyDescent="0.3">
      <c r="A1986" s="8">
        <v>1984</v>
      </c>
      <c r="B1986" s="8" t="s">
        <v>2792</v>
      </c>
      <c r="C1986" s="8" t="s">
        <v>4122</v>
      </c>
      <c r="D1986" s="8" t="s">
        <v>4123</v>
      </c>
      <c r="E1986" s="13">
        <v>0</v>
      </c>
      <c r="F1986" s="14">
        <v>0</v>
      </c>
    </row>
    <row r="1987" spans="1:6" x14ac:dyDescent="0.3">
      <c r="A1987" s="8">
        <v>1985</v>
      </c>
      <c r="B1987" s="8" t="s">
        <v>2792</v>
      </c>
      <c r="C1987" s="8" t="s">
        <v>4124</v>
      </c>
      <c r="D1987" s="8" t="s">
        <v>4125</v>
      </c>
      <c r="E1987" s="13">
        <v>0</v>
      </c>
      <c r="F1987" s="14">
        <v>0</v>
      </c>
    </row>
    <row r="1988" spans="1:6" x14ac:dyDescent="0.3">
      <c r="A1988" s="8">
        <v>1986</v>
      </c>
      <c r="B1988" s="8" t="s">
        <v>2792</v>
      </c>
      <c r="C1988" s="8" t="s">
        <v>4126</v>
      </c>
      <c r="D1988" s="8" t="s">
        <v>4127</v>
      </c>
      <c r="E1988" s="13">
        <v>0</v>
      </c>
      <c r="F1988" s="14">
        <v>0</v>
      </c>
    </row>
    <row r="1989" spans="1:6" x14ac:dyDescent="0.3">
      <c r="A1989" s="8">
        <v>1987</v>
      </c>
      <c r="B1989" s="8" t="s">
        <v>2792</v>
      </c>
      <c r="C1989" s="8" t="s">
        <v>4128</v>
      </c>
      <c r="D1989" s="8" t="s">
        <v>4129</v>
      </c>
      <c r="E1989" s="13">
        <v>3146000</v>
      </c>
      <c r="F1989" s="14">
        <v>6291667</v>
      </c>
    </row>
    <row r="1990" spans="1:6" x14ac:dyDescent="0.3">
      <c r="A1990" s="8">
        <v>1988</v>
      </c>
      <c r="B1990" s="8" t="s">
        <v>2792</v>
      </c>
      <c r="C1990" s="8" t="s">
        <v>4130</v>
      </c>
      <c r="D1990" s="8" t="s">
        <v>4131</v>
      </c>
      <c r="E1990" s="13">
        <v>0</v>
      </c>
      <c r="F1990" s="14">
        <v>5800000</v>
      </c>
    </row>
    <row r="1991" spans="1:6" x14ac:dyDescent="0.3">
      <c r="A1991" s="8">
        <v>1989</v>
      </c>
      <c r="B1991" s="8" t="s">
        <v>2792</v>
      </c>
      <c r="C1991" s="8" t="s">
        <v>4132</v>
      </c>
      <c r="D1991" s="8" t="s">
        <v>4133</v>
      </c>
      <c r="E1991" s="13">
        <v>0</v>
      </c>
      <c r="F1991" s="14">
        <v>0</v>
      </c>
    </row>
    <row r="1992" spans="1:6" x14ac:dyDescent="0.3">
      <c r="A1992" s="8">
        <v>1990</v>
      </c>
      <c r="B1992" s="8" t="s">
        <v>2792</v>
      </c>
      <c r="C1992" s="8" t="s">
        <v>4134</v>
      </c>
      <c r="D1992" s="8" t="s">
        <v>4135</v>
      </c>
      <c r="E1992" s="13">
        <v>0</v>
      </c>
      <c r="F1992" s="14">
        <v>0</v>
      </c>
    </row>
    <row r="1993" spans="1:6" x14ac:dyDescent="0.3">
      <c r="A1993" s="8">
        <v>1991</v>
      </c>
      <c r="B1993" s="8" t="s">
        <v>2792</v>
      </c>
      <c r="C1993" s="8" t="s">
        <v>4136</v>
      </c>
      <c r="D1993" s="8" t="s">
        <v>4137</v>
      </c>
      <c r="E1993" s="13">
        <v>0</v>
      </c>
      <c r="F1993" s="14">
        <v>0</v>
      </c>
    </row>
    <row r="1994" spans="1:6" x14ac:dyDescent="0.3">
      <c r="A1994" s="8">
        <v>1992</v>
      </c>
      <c r="B1994" s="8" t="s">
        <v>2792</v>
      </c>
      <c r="C1994" s="8" t="s">
        <v>4138</v>
      </c>
      <c r="D1994" s="8" t="s">
        <v>4139</v>
      </c>
      <c r="E1994" s="13">
        <v>0</v>
      </c>
      <c r="F1994" s="14">
        <v>0</v>
      </c>
    </row>
    <row r="1995" spans="1:6" x14ac:dyDescent="0.3">
      <c r="A1995" s="8">
        <v>1993</v>
      </c>
      <c r="B1995" s="8" t="s">
        <v>2792</v>
      </c>
      <c r="C1995" s="8" t="s">
        <v>4140</v>
      </c>
      <c r="D1995" s="8" t="s">
        <v>4141</v>
      </c>
      <c r="E1995" s="13">
        <v>0</v>
      </c>
      <c r="F1995" s="14">
        <v>0</v>
      </c>
    </row>
    <row r="1996" spans="1:6" x14ac:dyDescent="0.3">
      <c r="A1996" s="8">
        <v>1994</v>
      </c>
      <c r="B1996" s="8" t="s">
        <v>2792</v>
      </c>
      <c r="C1996" s="8" t="s">
        <v>4142</v>
      </c>
      <c r="D1996" s="8" t="s">
        <v>4143</v>
      </c>
      <c r="E1996" s="13">
        <v>0</v>
      </c>
      <c r="F1996" s="14">
        <v>0</v>
      </c>
    </row>
    <row r="1997" spans="1:6" x14ac:dyDescent="0.3">
      <c r="A1997" s="8">
        <v>1995</v>
      </c>
      <c r="B1997" s="8" t="s">
        <v>2792</v>
      </c>
      <c r="C1997" s="8" t="s">
        <v>4144</v>
      </c>
      <c r="D1997" s="8" t="s">
        <v>4145</v>
      </c>
      <c r="E1997" s="13">
        <v>0</v>
      </c>
      <c r="F1997" s="14">
        <v>0</v>
      </c>
    </row>
    <row r="1998" spans="1:6" x14ac:dyDescent="0.3">
      <c r="A1998" s="8">
        <v>1996</v>
      </c>
      <c r="B1998" s="8" t="s">
        <v>2792</v>
      </c>
      <c r="C1998" s="8" t="s">
        <v>4146</v>
      </c>
      <c r="D1998" s="8" t="s">
        <v>4147</v>
      </c>
      <c r="E1998" s="13">
        <v>0</v>
      </c>
      <c r="F1998" s="14">
        <v>0</v>
      </c>
    </row>
    <row r="1999" spans="1:6" x14ac:dyDescent="0.3">
      <c r="A1999" s="8">
        <v>1997</v>
      </c>
      <c r="B1999" s="8" t="s">
        <v>4148</v>
      </c>
      <c r="C1999" s="8" t="s">
        <v>4149</v>
      </c>
      <c r="D1999" s="8" t="s">
        <v>4150</v>
      </c>
      <c r="E1999" s="13">
        <v>0</v>
      </c>
      <c r="F1999" s="14">
        <v>191000</v>
      </c>
    </row>
    <row r="2000" spans="1:6" x14ac:dyDescent="0.3">
      <c r="A2000" s="8">
        <v>1998</v>
      </c>
      <c r="B2000" s="8" t="s">
        <v>4148</v>
      </c>
      <c r="C2000" s="8" t="s">
        <v>4151</v>
      </c>
      <c r="D2000" s="8" t="s">
        <v>4152</v>
      </c>
      <c r="E2000" s="13">
        <v>147000</v>
      </c>
      <c r="F2000" s="14">
        <v>250000</v>
      </c>
    </row>
    <row r="2001" spans="1:6" x14ac:dyDescent="0.3">
      <c r="A2001" s="8">
        <v>1999</v>
      </c>
      <c r="B2001" s="8" t="s">
        <v>1296</v>
      </c>
      <c r="C2001" s="8" t="s">
        <v>4153</v>
      </c>
      <c r="D2001" s="8" t="s">
        <v>4154</v>
      </c>
      <c r="E2001" s="13">
        <v>0</v>
      </c>
      <c r="F2001" s="14">
        <v>132407</v>
      </c>
    </row>
    <row r="2002" spans="1:6" x14ac:dyDescent="0.3">
      <c r="A2002" s="8">
        <v>2000</v>
      </c>
      <c r="B2002" s="8" t="s">
        <v>2229</v>
      </c>
      <c r="C2002" s="8" t="s">
        <v>4155</v>
      </c>
      <c r="D2002" s="8" t="s">
        <v>4156</v>
      </c>
      <c r="E2002" s="13">
        <v>4308890</v>
      </c>
      <c r="F2002" s="14">
        <v>8381481</v>
      </c>
    </row>
    <row r="2003" spans="1:6" x14ac:dyDescent="0.3">
      <c r="A2003" s="8">
        <v>2001</v>
      </c>
      <c r="B2003" s="8" t="s">
        <v>2229</v>
      </c>
      <c r="C2003" s="8" t="s">
        <v>4157</v>
      </c>
      <c r="D2003" s="8" t="s">
        <v>4158</v>
      </c>
      <c r="E2003" s="13">
        <v>5685200</v>
      </c>
      <c r="F2003" s="14">
        <v>9289815</v>
      </c>
    </row>
    <row r="2004" spans="1:6" x14ac:dyDescent="0.3">
      <c r="A2004" s="8">
        <v>2002</v>
      </c>
      <c r="B2004" s="8" t="s">
        <v>2229</v>
      </c>
      <c r="C2004" s="8" t="s">
        <v>4159</v>
      </c>
      <c r="D2004" s="8" t="s">
        <v>4160</v>
      </c>
      <c r="E2004" s="13">
        <v>4347780</v>
      </c>
      <c r="F2004" s="14">
        <v>8457407</v>
      </c>
    </row>
    <row r="2005" spans="1:6" x14ac:dyDescent="0.3">
      <c r="A2005" s="8">
        <v>2003</v>
      </c>
      <c r="B2005" s="8" t="s">
        <v>2229</v>
      </c>
      <c r="C2005" s="8" t="s">
        <v>4161</v>
      </c>
      <c r="D2005" s="8" t="s">
        <v>4162</v>
      </c>
      <c r="E2005" s="13">
        <v>2800600</v>
      </c>
      <c r="F2005" s="14">
        <v>6111111</v>
      </c>
    </row>
    <row r="2006" spans="1:6" x14ac:dyDescent="0.3">
      <c r="A2006" s="8">
        <v>2004</v>
      </c>
      <c r="B2006" s="8" t="s">
        <v>2229</v>
      </c>
      <c r="C2006" s="8" t="s">
        <v>4163</v>
      </c>
      <c r="D2006" s="8" t="s">
        <v>4164</v>
      </c>
      <c r="E2006" s="13">
        <v>0</v>
      </c>
      <c r="F2006" s="14">
        <v>0</v>
      </c>
    </row>
    <row r="2007" spans="1:6" x14ac:dyDescent="0.3">
      <c r="A2007" s="8">
        <v>2005</v>
      </c>
      <c r="B2007" s="8" t="s">
        <v>2229</v>
      </c>
      <c r="C2007" s="8" t="s">
        <v>4165</v>
      </c>
      <c r="D2007" s="8" t="s">
        <v>4166</v>
      </c>
      <c r="E2007" s="13">
        <v>0</v>
      </c>
      <c r="F2007" s="14">
        <v>0</v>
      </c>
    </row>
    <row r="2008" spans="1:6" x14ac:dyDescent="0.3">
      <c r="A2008" s="8">
        <v>2006</v>
      </c>
      <c r="B2008" s="8" t="s">
        <v>2300</v>
      </c>
      <c r="C2008" s="8" t="s">
        <v>4167</v>
      </c>
      <c r="D2008" s="8" t="s">
        <v>4168</v>
      </c>
      <c r="E2008" s="13">
        <v>0</v>
      </c>
      <c r="F2008" s="14">
        <v>0</v>
      </c>
    </row>
    <row r="2009" spans="1:6" x14ac:dyDescent="0.3">
      <c r="A2009" s="8">
        <v>2007</v>
      </c>
      <c r="B2009" s="8" t="s">
        <v>2300</v>
      </c>
      <c r="C2009" s="8" t="s">
        <v>4169</v>
      </c>
      <c r="D2009" s="8" t="s">
        <v>4170</v>
      </c>
      <c r="E2009" s="13">
        <v>62000</v>
      </c>
      <c r="F2009" s="14">
        <v>124074</v>
      </c>
    </row>
    <row r="2010" spans="1:6" x14ac:dyDescent="0.3">
      <c r="A2010" s="8">
        <v>2008</v>
      </c>
      <c r="B2010" s="8" t="s">
        <v>2303</v>
      </c>
      <c r="C2010" s="8" t="s">
        <v>4171</v>
      </c>
      <c r="D2010" s="8" t="s">
        <v>4172</v>
      </c>
      <c r="E2010" s="13">
        <v>17300</v>
      </c>
      <c r="F2010" s="14">
        <v>35000</v>
      </c>
    </row>
    <row r="2011" spans="1:6" x14ac:dyDescent="0.3">
      <c r="A2011" s="8">
        <v>2009</v>
      </c>
      <c r="B2011" s="8" t="s">
        <v>2303</v>
      </c>
      <c r="C2011" s="8" t="s">
        <v>4173</v>
      </c>
      <c r="D2011" s="8" t="s">
        <v>4174</v>
      </c>
      <c r="E2011" s="13">
        <v>23000</v>
      </c>
      <c r="F2011" s="14">
        <v>46019</v>
      </c>
    </row>
    <row r="2012" spans="1:6" x14ac:dyDescent="0.3">
      <c r="A2012" s="8">
        <v>2010</v>
      </c>
      <c r="B2012" s="8" t="s">
        <v>2303</v>
      </c>
      <c r="C2012" s="8" t="s">
        <v>4175</v>
      </c>
      <c r="D2012" s="8" t="s">
        <v>4176</v>
      </c>
      <c r="E2012" s="13">
        <v>27600</v>
      </c>
      <c r="F2012" s="14">
        <v>55185</v>
      </c>
    </row>
    <row r="2013" spans="1:6" x14ac:dyDescent="0.3">
      <c r="A2013" s="8">
        <v>2011</v>
      </c>
      <c r="B2013" s="8" t="s">
        <v>2303</v>
      </c>
      <c r="C2013" s="8" t="s">
        <v>4177</v>
      </c>
      <c r="D2013" s="8" t="s">
        <v>4178</v>
      </c>
      <c r="E2013" s="13">
        <v>36600</v>
      </c>
      <c r="F2013" s="14">
        <v>63000</v>
      </c>
    </row>
    <row r="2014" spans="1:6" x14ac:dyDescent="0.3">
      <c r="A2014" s="8">
        <v>2012</v>
      </c>
      <c r="B2014" s="8" t="s">
        <v>2303</v>
      </c>
      <c r="C2014" s="8" t="s">
        <v>4179</v>
      </c>
      <c r="D2014" s="8" t="s">
        <v>4180</v>
      </c>
      <c r="E2014" s="13">
        <v>0</v>
      </c>
      <c r="F2014" s="14">
        <v>0</v>
      </c>
    </row>
    <row r="2015" spans="1:6" x14ac:dyDescent="0.3">
      <c r="A2015" s="8">
        <v>2013</v>
      </c>
      <c r="B2015" s="8" t="s">
        <v>2303</v>
      </c>
      <c r="C2015" s="8" t="s">
        <v>4181</v>
      </c>
      <c r="D2015" s="8" t="s">
        <v>4182</v>
      </c>
      <c r="E2015" s="13">
        <v>59400</v>
      </c>
      <c r="F2015" s="14">
        <v>114000</v>
      </c>
    </row>
    <row r="2016" spans="1:6" x14ac:dyDescent="0.3">
      <c r="A2016" s="8">
        <v>2014</v>
      </c>
      <c r="B2016" s="8" t="s">
        <v>2303</v>
      </c>
      <c r="C2016" s="8" t="s">
        <v>4183</v>
      </c>
      <c r="D2016" s="8" t="s">
        <v>4184</v>
      </c>
      <c r="E2016" s="13">
        <v>0</v>
      </c>
      <c r="F2016" s="14">
        <v>0</v>
      </c>
    </row>
    <row r="2017" spans="1:6" x14ac:dyDescent="0.3">
      <c r="A2017" s="8">
        <v>2015</v>
      </c>
      <c r="B2017" s="8" t="s">
        <v>2303</v>
      </c>
      <c r="C2017" s="8" t="s">
        <v>4185</v>
      </c>
      <c r="D2017" s="8" t="s">
        <v>4186</v>
      </c>
      <c r="E2017" s="13">
        <v>0</v>
      </c>
      <c r="F2017" s="14">
        <v>0</v>
      </c>
    </row>
    <row r="2018" spans="1:6" x14ac:dyDescent="0.3">
      <c r="A2018" s="8">
        <v>2016</v>
      </c>
      <c r="B2018" s="8" t="s">
        <v>2303</v>
      </c>
      <c r="C2018" s="8" t="s">
        <v>4187</v>
      </c>
      <c r="D2018" s="8" t="s">
        <v>4188</v>
      </c>
      <c r="E2018" s="13">
        <v>0</v>
      </c>
      <c r="F2018" s="14">
        <v>0</v>
      </c>
    </row>
    <row r="2019" spans="1:6" x14ac:dyDescent="0.3">
      <c r="A2019" s="8">
        <v>2017</v>
      </c>
      <c r="B2019" s="8" t="s">
        <v>2303</v>
      </c>
      <c r="C2019" s="8" t="s">
        <v>4189</v>
      </c>
      <c r="D2019" s="8" t="s">
        <v>4190</v>
      </c>
      <c r="E2019" s="13">
        <v>0</v>
      </c>
      <c r="F2019" s="14">
        <v>0</v>
      </c>
    </row>
    <row r="2020" spans="1:6" x14ac:dyDescent="0.3">
      <c r="A2020" s="8">
        <v>2018</v>
      </c>
      <c r="B2020" s="8" t="s">
        <v>2303</v>
      </c>
      <c r="C2020" s="8" t="s">
        <v>4191</v>
      </c>
      <c r="D2020" s="8" t="s">
        <v>4192</v>
      </c>
      <c r="E2020" s="13">
        <v>0</v>
      </c>
      <c r="F2020" s="14">
        <v>0</v>
      </c>
    </row>
    <row r="2021" spans="1:6" x14ac:dyDescent="0.3">
      <c r="A2021" s="8">
        <v>2019</v>
      </c>
      <c r="B2021" s="8" t="s">
        <v>2303</v>
      </c>
      <c r="C2021" s="8" t="s">
        <v>4193</v>
      </c>
      <c r="D2021" s="8" t="s">
        <v>4194</v>
      </c>
      <c r="E2021" s="13">
        <v>0</v>
      </c>
      <c r="F2021" s="14">
        <v>0</v>
      </c>
    </row>
    <row r="2022" spans="1:6" x14ac:dyDescent="0.3">
      <c r="A2022" s="8">
        <v>2020</v>
      </c>
      <c r="B2022" s="8" t="s">
        <v>2303</v>
      </c>
      <c r="C2022" s="8" t="s">
        <v>4195</v>
      </c>
      <c r="D2022" s="8" t="s">
        <v>4196</v>
      </c>
      <c r="E2022" s="13">
        <v>20000</v>
      </c>
      <c r="F2022" s="14">
        <v>39815</v>
      </c>
    </row>
    <row r="2023" spans="1:6" x14ac:dyDescent="0.3">
      <c r="A2023" s="8">
        <v>2021</v>
      </c>
      <c r="B2023" s="8" t="s">
        <v>2303</v>
      </c>
      <c r="C2023" s="8" t="s">
        <v>4197</v>
      </c>
      <c r="D2023" s="8" t="s">
        <v>4198</v>
      </c>
      <c r="E2023" s="13">
        <v>54000</v>
      </c>
      <c r="F2023" s="14">
        <v>108333</v>
      </c>
    </row>
    <row r="2024" spans="1:6" x14ac:dyDescent="0.3">
      <c r="A2024" s="8">
        <v>2022</v>
      </c>
      <c r="B2024" s="8" t="s">
        <v>2303</v>
      </c>
      <c r="C2024" s="8" t="s">
        <v>4199</v>
      </c>
      <c r="D2024" s="8" t="s">
        <v>4200</v>
      </c>
      <c r="E2024" s="13">
        <v>0</v>
      </c>
      <c r="F2024" s="14">
        <v>0</v>
      </c>
    </row>
    <row r="2025" spans="1:6" x14ac:dyDescent="0.3">
      <c r="A2025" s="8">
        <v>2023</v>
      </c>
      <c r="B2025" s="8" t="s">
        <v>2792</v>
      </c>
      <c r="C2025" s="8" t="s">
        <v>4201</v>
      </c>
      <c r="D2025" s="8" t="s">
        <v>4202</v>
      </c>
      <c r="E2025" s="13">
        <v>0</v>
      </c>
      <c r="F2025" s="14">
        <v>0</v>
      </c>
    </row>
    <row r="2026" spans="1:6" x14ac:dyDescent="0.3">
      <c r="A2026" s="8">
        <v>2024</v>
      </c>
      <c r="B2026" s="8" t="s">
        <v>2792</v>
      </c>
      <c r="C2026" s="8" t="s">
        <v>4203</v>
      </c>
      <c r="D2026" s="8" t="s">
        <v>4204</v>
      </c>
      <c r="E2026" s="13">
        <v>1644000</v>
      </c>
      <c r="F2026" s="14">
        <v>2610000</v>
      </c>
    </row>
    <row r="2027" spans="1:6" x14ac:dyDescent="0.3">
      <c r="A2027" s="8">
        <v>2025</v>
      </c>
      <c r="B2027" s="8" t="s">
        <v>2792</v>
      </c>
      <c r="C2027" s="8" t="s">
        <v>4205</v>
      </c>
      <c r="D2027" s="8" t="s">
        <v>4206</v>
      </c>
      <c r="E2027" s="13">
        <v>0</v>
      </c>
      <c r="F2027" s="14">
        <v>16600000</v>
      </c>
    </row>
    <row r="2028" spans="1:6" x14ac:dyDescent="0.3">
      <c r="A2028" s="8">
        <v>2026</v>
      </c>
      <c r="B2028" s="8" t="s">
        <v>2792</v>
      </c>
      <c r="C2028" s="8" t="s">
        <v>4207</v>
      </c>
      <c r="D2028" s="8" t="s">
        <v>4208</v>
      </c>
      <c r="E2028" s="13">
        <v>2383400</v>
      </c>
      <c r="F2028" s="14">
        <v>3981481</v>
      </c>
    </row>
    <row r="2029" spans="1:6" x14ac:dyDescent="0.3">
      <c r="A2029" s="8">
        <v>2027</v>
      </c>
      <c r="B2029" s="8" t="s">
        <v>2792</v>
      </c>
      <c r="C2029" s="8" t="s">
        <v>4209</v>
      </c>
      <c r="D2029" s="8" t="s">
        <v>4210</v>
      </c>
      <c r="E2029" s="13">
        <v>0</v>
      </c>
      <c r="F2029" s="14">
        <v>4000000</v>
      </c>
    </row>
    <row r="2030" spans="1:6" x14ac:dyDescent="0.3">
      <c r="A2030" s="8">
        <v>2028</v>
      </c>
      <c r="B2030" s="8" t="s">
        <v>2792</v>
      </c>
      <c r="C2030" s="8" t="s">
        <v>4211</v>
      </c>
      <c r="D2030" s="8" t="s">
        <v>4212</v>
      </c>
      <c r="E2030" s="13">
        <v>0</v>
      </c>
      <c r="F2030" s="14">
        <v>0</v>
      </c>
    </row>
    <row r="2031" spans="1:6" x14ac:dyDescent="0.3">
      <c r="A2031" s="8">
        <v>2029</v>
      </c>
      <c r="B2031" s="8" t="s">
        <v>2792</v>
      </c>
      <c r="C2031" s="8" t="s">
        <v>4213</v>
      </c>
      <c r="D2031" s="8" t="s">
        <v>4214</v>
      </c>
      <c r="E2031" s="13">
        <v>0</v>
      </c>
      <c r="F2031" s="14">
        <v>2000000</v>
      </c>
    </row>
    <row r="2032" spans="1:6" x14ac:dyDescent="0.3">
      <c r="A2032" s="8">
        <v>2030</v>
      </c>
      <c r="B2032" s="8" t="s">
        <v>2792</v>
      </c>
      <c r="C2032" s="8" t="s">
        <v>4215</v>
      </c>
      <c r="D2032" s="8" t="s">
        <v>4216</v>
      </c>
      <c r="E2032" s="13">
        <v>0</v>
      </c>
      <c r="F2032" s="14">
        <v>0</v>
      </c>
    </row>
    <row r="2033" spans="1:6" x14ac:dyDescent="0.3">
      <c r="A2033" s="8">
        <v>2031</v>
      </c>
      <c r="B2033" s="8" t="s">
        <v>2792</v>
      </c>
      <c r="C2033" s="8" t="s">
        <v>4217</v>
      </c>
      <c r="D2033" s="8" t="s">
        <v>4218</v>
      </c>
      <c r="E2033" s="13">
        <v>0</v>
      </c>
      <c r="F2033" s="14">
        <v>0</v>
      </c>
    </row>
    <row r="2034" spans="1:6" x14ac:dyDescent="0.3">
      <c r="A2034" s="8">
        <v>2032</v>
      </c>
      <c r="B2034" s="8" t="s">
        <v>2792</v>
      </c>
      <c r="C2034" s="8" t="s">
        <v>4219</v>
      </c>
      <c r="D2034" s="8" t="s">
        <v>4220</v>
      </c>
      <c r="E2034" s="13">
        <v>0</v>
      </c>
      <c r="F2034" s="14">
        <v>0</v>
      </c>
    </row>
    <row r="2035" spans="1:6" x14ac:dyDescent="0.3">
      <c r="A2035" s="8">
        <v>2033</v>
      </c>
      <c r="B2035" s="8" t="s">
        <v>2792</v>
      </c>
      <c r="C2035" s="8" t="s">
        <v>4221</v>
      </c>
      <c r="D2035" s="8" t="s">
        <v>4222</v>
      </c>
      <c r="E2035" s="13">
        <v>0</v>
      </c>
      <c r="F2035" s="14">
        <v>1537037</v>
      </c>
    </row>
    <row r="2036" spans="1:6" x14ac:dyDescent="0.3">
      <c r="A2036" s="8">
        <v>2034</v>
      </c>
      <c r="B2036" s="8" t="s">
        <v>2792</v>
      </c>
      <c r="C2036" s="8" t="s">
        <v>4223</v>
      </c>
      <c r="D2036" s="8" t="s">
        <v>4224</v>
      </c>
      <c r="E2036" s="13">
        <v>0</v>
      </c>
      <c r="F2036" s="14">
        <v>0</v>
      </c>
    </row>
    <row r="2037" spans="1:6" x14ac:dyDescent="0.3">
      <c r="A2037" s="8">
        <v>2035</v>
      </c>
      <c r="B2037" s="8" t="s">
        <v>2792</v>
      </c>
      <c r="C2037" s="8" t="s">
        <v>4225</v>
      </c>
      <c r="D2037" s="8" t="s">
        <v>4226</v>
      </c>
      <c r="E2037" s="13">
        <v>0</v>
      </c>
      <c r="F2037" s="14">
        <v>0</v>
      </c>
    </row>
    <row r="2038" spans="1:6" x14ac:dyDescent="0.3">
      <c r="A2038" s="8">
        <v>2036</v>
      </c>
      <c r="B2038" s="8" t="s">
        <v>2792</v>
      </c>
      <c r="C2038" s="8" t="s">
        <v>4227</v>
      </c>
      <c r="D2038" s="8" t="s">
        <v>4228</v>
      </c>
      <c r="E2038" s="13">
        <v>0</v>
      </c>
      <c r="F2038" s="14">
        <v>0</v>
      </c>
    </row>
    <row r="2039" spans="1:6" x14ac:dyDescent="0.3">
      <c r="A2039" s="8">
        <v>2037</v>
      </c>
      <c r="B2039" s="8" t="s">
        <v>2792</v>
      </c>
      <c r="C2039" s="8" t="s">
        <v>4229</v>
      </c>
      <c r="D2039" s="8" t="s">
        <v>4230</v>
      </c>
      <c r="E2039" s="13">
        <v>1820000</v>
      </c>
      <c r="F2039" s="14">
        <v>3639815</v>
      </c>
    </row>
    <row r="2040" spans="1:6" x14ac:dyDescent="0.3">
      <c r="A2040" s="8">
        <v>2038</v>
      </c>
      <c r="B2040" s="8" t="s">
        <v>2792</v>
      </c>
      <c r="C2040" s="8" t="s">
        <v>4231</v>
      </c>
      <c r="D2040" s="8" t="s">
        <v>4232</v>
      </c>
      <c r="E2040" s="13">
        <v>0</v>
      </c>
      <c r="F2040" s="14">
        <v>0</v>
      </c>
    </row>
    <row r="2041" spans="1:6" x14ac:dyDescent="0.3">
      <c r="A2041" s="8">
        <v>2039</v>
      </c>
      <c r="B2041" s="8" t="s">
        <v>2792</v>
      </c>
      <c r="C2041" s="8" t="s">
        <v>4233</v>
      </c>
      <c r="D2041" s="8" t="s">
        <v>4234</v>
      </c>
      <c r="E2041" s="13">
        <v>0</v>
      </c>
      <c r="F2041" s="14">
        <v>0</v>
      </c>
    </row>
    <row r="2042" spans="1:6" x14ac:dyDescent="0.3">
      <c r="A2042" s="8">
        <v>2040</v>
      </c>
      <c r="B2042" s="8" t="s">
        <v>2792</v>
      </c>
      <c r="C2042" s="8" t="s">
        <v>4235</v>
      </c>
      <c r="D2042" s="8" t="s">
        <v>4236</v>
      </c>
      <c r="E2042" s="13">
        <v>0</v>
      </c>
      <c r="F2042" s="14">
        <v>0</v>
      </c>
    </row>
    <row r="2043" spans="1:6" x14ac:dyDescent="0.3">
      <c r="A2043" s="8">
        <v>2041</v>
      </c>
      <c r="B2043" s="8" t="s">
        <v>2792</v>
      </c>
      <c r="C2043" s="8" t="s">
        <v>4237</v>
      </c>
      <c r="D2043" s="8" t="s">
        <v>4238</v>
      </c>
      <c r="E2043" s="13">
        <v>0</v>
      </c>
      <c r="F2043" s="14">
        <v>0</v>
      </c>
    </row>
    <row r="2044" spans="1:6" x14ac:dyDescent="0.3">
      <c r="A2044" s="8">
        <v>2042</v>
      </c>
      <c r="B2044" s="8" t="s">
        <v>2792</v>
      </c>
      <c r="C2044" s="8" t="s">
        <v>4239</v>
      </c>
      <c r="D2044" s="8" t="s">
        <v>4240</v>
      </c>
      <c r="E2044" s="13">
        <v>0</v>
      </c>
      <c r="F2044" s="14">
        <v>0</v>
      </c>
    </row>
    <row r="2045" spans="1:6" x14ac:dyDescent="0.3">
      <c r="A2045" s="8">
        <v>2043</v>
      </c>
      <c r="B2045" s="8" t="s">
        <v>2792</v>
      </c>
      <c r="C2045" s="8" t="s">
        <v>4241</v>
      </c>
      <c r="D2045" s="8" t="s">
        <v>4242</v>
      </c>
      <c r="E2045" s="13">
        <v>0</v>
      </c>
      <c r="F2045" s="14">
        <v>0</v>
      </c>
    </row>
    <row r="2046" spans="1:6" x14ac:dyDescent="0.3">
      <c r="A2046" s="8">
        <v>2044</v>
      </c>
      <c r="B2046" s="8" t="s">
        <v>2792</v>
      </c>
      <c r="C2046" s="8" t="s">
        <v>4243</v>
      </c>
      <c r="D2046" s="8" t="s">
        <v>4244</v>
      </c>
      <c r="E2046" s="13">
        <v>0</v>
      </c>
      <c r="F2046" s="14">
        <v>0</v>
      </c>
    </row>
    <row r="2047" spans="1:6" x14ac:dyDescent="0.3">
      <c r="A2047" s="8">
        <v>2045</v>
      </c>
      <c r="B2047" s="8" t="s">
        <v>2792</v>
      </c>
      <c r="C2047" s="8" t="s">
        <v>4245</v>
      </c>
      <c r="D2047" s="8" t="s">
        <v>4246</v>
      </c>
      <c r="E2047" s="13">
        <v>213000</v>
      </c>
      <c r="F2047" s="14">
        <v>425926</v>
      </c>
    </row>
    <row r="2048" spans="1:6" x14ac:dyDescent="0.3">
      <c r="A2048" s="8">
        <v>2046</v>
      </c>
      <c r="B2048" s="8" t="s">
        <v>2792</v>
      </c>
      <c r="C2048" s="8" t="s">
        <v>4247</v>
      </c>
      <c r="D2048" s="8" t="s">
        <v>4248</v>
      </c>
      <c r="E2048" s="13">
        <v>0</v>
      </c>
      <c r="F2048" s="14">
        <v>4100000</v>
      </c>
    </row>
    <row r="2049" spans="1:6" x14ac:dyDescent="0.3">
      <c r="A2049" s="8">
        <v>2047</v>
      </c>
      <c r="B2049" s="8" t="s">
        <v>2792</v>
      </c>
      <c r="C2049" s="8" t="s">
        <v>4249</v>
      </c>
      <c r="D2049" s="8" t="s">
        <v>4250</v>
      </c>
      <c r="E2049" s="13">
        <v>0</v>
      </c>
      <c r="F2049" s="14">
        <v>6710185</v>
      </c>
    </row>
    <row r="2050" spans="1:6" x14ac:dyDescent="0.3">
      <c r="A2050" s="8">
        <v>2048</v>
      </c>
      <c r="B2050" s="8" t="s">
        <v>2792</v>
      </c>
      <c r="C2050" s="8" t="s">
        <v>4251</v>
      </c>
      <c r="D2050" s="8" t="s">
        <v>4252</v>
      </c>
      <c r="E2050" s="13">
        <v>0</v>
      </c>
      <c r="F2050" s="14">
        <v>0</v>
      </c>
    </row>
    <row r="2051" spans="1:6" x14ac:dyDescent="0.3">
      <c r="A2051" s="8">
        <v>2049</v>
      </c>
      <c r="B2051" s="8" t="s">
        <v>2792</v>
      </c>
      <c r="C2051" s="8" t="s">
        <v>4253</v>
      </c>
      <c r="D2051" s="8" t="s">
        <v>4254</v>
      </c>
      <c r="E2051" s="13">
        <v>2371000</v>
      </c>
      <c r="F2051" s="14">
        <v>4741667</v>
      </c>
    </row>
    <row r="2052" spans="1:6" x14ac:dyDescent="0.3">
      <c r="A2052" s="8">
        <v>2050</v>
      </c>
      <c r="B2052" s="8" t="s">
        <v>2792</v>
      </c>
      <c r="C2052" s="8" t="s">
        <v>4255</v>
      </c>
      <c r="D2052" s="8" t="s">
        <v>4256</v>
      </c>
      <c r="E2052" s="13">
        <v>2952000</v>
      </c>
      <c r="F2052" s="14">
        <v>5903704</v>
      </c>
    </row>
    <row r="2053" spans="1:6" x14ac:dyDescent="0.3">
      <c r="A2053" s="8">
        <v>2051</v>
      </c>
      <c r="B2053" s="8" t="s">
        <v>2792</v>
      </c>
      <c r="C2053" s="8" t="s">
        <v>4257</v>
      </c>
      <c r="D2053" s="8" t="s">
        <v>4258</v>
      </c>
      <c r="E2053" s="13">
        <v>0</v>
      </c>
      <c r="F2053" s="14">
        <v>2730000</v>
      </c>
    </row>
    <row r="2054" spans="1:6" x14ac:dyDescent="0.3">
      <c r="A2054" s="8">
        <v>2052</v>
      </c>
      <c r="B2054" s="8" t="s">
        <v>2792</v>
      </c>
      <c r="C2054" s="8" t="s">
        <v>4259</v>
      </c>
      <c r="D2054" s="8" t="s">
        <v>4260</v>
      </c>
      <c r="E2054" s="13">
        <v>0</v>
      </c>
      <c r="F2054" s="14">
        <v>0</v>
      </c>
    </row>
    <row r="2055" spans="1:6" x14ac:dyDescent="0.3">
      <c r="A2055" s="8">
        <v>2053</v>
      </c>
      <c r="B2055" s="8" t="s">
        <v>2792</v>
      </c>
      <c r="C2055" s="8" t="s">
        <v>4261</v>
      </c>
      <c r="D2055" s="8" t="s">
        <v>4262</v>
      </c>
      <c r="E2055" s="13">
        <v>0</v>
      </c>
      <c r="F2055" s="14">
        <v>0</v>
      </c>
    </row>
    <row r="2056" spans="1:6" x14ac:dyDescent="0.3">
      <c r="A2056" s="8">
        <v>2054</v>
      </c>
      <c r="B2056" s="8" t="s">
        <v>2792</v>
      </c>
      <c r="C2056" s="8" t="s">
        <v>4263</v>
      </c>
      <c r="D2056" s="8" t="s">
        <v>4264</v>
      </c>
      <c r="E2056" s="13">
        <v>181000</v>
      </c>
      <c r="F2056" s="14">
        <v>362037</v>
      </c>
    </row>
    <row r="2057" spans="1:6" x14ac:dyDescent="0.3">
      <c r="A2057" s="8">
        <v>2055</v>
      </c>
      <c r="B2057" s="8" t="s">
        <v>2792</v>
      </c>
      <c r="C2057" s="8" t="s">
        <v>4265</v>
      </c>
      <c r="D2057" s="8" t="s">
        <v>4266</v>
      </c>
      <c r="E2057" s="13">
        <v>0</v>
      </c>
      <c r="F2057" s="14">
        <v>0</v>
      </c>
    </row>
    <row r="2058" spans="1:6" x14ac:dyDescent="0.3">
      <c r="A2058" s="8">
        <v>2056</v>
      </c>
      <c r="B2058" s="8" t="s">
        <v>2792</v>
      </c>
      <c r="C2058" s="8" t="s">
        <v>4267</v>
      </c>
      <c r="D2058" s="8" t="s">
        <v>4268</v>
      </c>
      <c r="E2058" s="13">
        <v>1644000</v>
      </c>
      <c r="F2058" s="14">
        <v>2610000</v>
      </c>
    </row>
    <row r="2059" spans="1:6" x14ac:dyDescent="0.3">
      <c r="A2059" s="8">
        <v>2057</v>
      </c>
      <c r="B2059" s="8" t="s">
        <v>2792</v>
      </c>
      <c r="C2059" s="8" t="s">
        <v>4269</v>
      </c>
      <c r="D2059" s="8" t="s">
        <v>4270</v>
      </c>
      <c r="E2059" s="13">
        <v>0</v>
      </c>
      <c r="F2059" s="14">
        <v>0</v>
      </c>
    </row>
    <row r="2060" spans="1:6" x14ac:dyDescent="0.3">
      <c r="A2060" s="8">
        <v>2058</v>
      </c>
      <c r="B2060" s="8" t="s">
        <v>2792</v>
      </c>
      <c r="C2060" s="8" t="s">
        <v>4271</v>
      </c>
      <c r="D2060" s="8" t="s">
        <v>4272</v>
      </c>
      <c r="E2060" s="13">
        <v>3047300</v>
      </c>
      <c r="F2060" s="14">
        <v>5092593</v>
      </c>
    </row>
    <row r="2061" spans="1:6" x14ac:dyDescent="0.3">
      <c r="A2061" s="8">
        <v>2059</v>
      </c>
      <c r="B2061" s="8" t="s">
        <v>2792</v>
      </c>
      <c r="C2061" s="8" t="s">
        <v>4273</v>
      </c>
      <c r="D2061" s="8" t="s">
        <v>4274</v>
      </c>
      <c r="E2061" s="13">
        <v>0</v>
      </c>
      <c r="F2061" s="14">
        <v>0</v>
      </c>
    </row>
    <row r="2062" spans="1:6" x14ac:dyDescent="0.3">
      <c r="A2062" s="8">
        <v>2060</v>
      </c>
      <c r="B2062" s="8" t="s">
        <v>2792</v>
      </c>
      <c r="C2062" s="8" t="s">
        <v>4275</v>
      </c>
      <c r="D2062" s="8" t="s">
        <v>4276</v>
      </c>
      <c r="E2062" s="13">
        <v>3146000</v>
      </c>
      <c r="F2062" s="14">
        <v>6291667</v>
      </c>
    </row>
    <row r="2063" spans="1:6" x14ac:dyDescent="0.3">
      <c r="A2063" s="8">
        <v>2061</v>
      </c>
      <c r="B2063" s="8" t="s">
        <v>2792</v>
      </c>
      <c r="C2063" s="8" t="s">
        <v>4277</v>
      </c>
      <c r="D2063" s="8" t="s">
        <v>4278</v>
      </c>
      <c r="E2063" s="13">
        <v>620000</v>
      </c>
      <c r="F2063" s="14">
        <v>1239815</v>
      </c>
    </row>
    <row r="2064" spans="1:6" x14ac:dyDescent="0.3">
      <c r="A2064" s="8">
        <v>2062</v>
      </c>
      <c r="B2064" s="8" t="s">
        <v>2792</v>
      </c>
      <c r="C2064" s="8" t="s">
        <v>4279</v>
      </c>
      <c r="D2064" s="8" t="s">
        <v>4280</v>
      </c>
      <c r="E2064" s="13">
        <v>0</v>
      </c>
      <c r="F2064" s="14">
        <v>0</v>
      </c>
    </row>
    <row r="2065" spans="1:6" x14ac:dyDescent="0.3">
      <c r="A2065" s="8">
        <v>2063</v>
      </c>
      <c r="B2065" s="8" t="s">
        <v>2792</v>
      </c>
      <c r="C2065" s="8" t="s">
        <v>4281</v>
      </c>
      <c r="D2065" s="8" t="s">
        <v>4282</v>
      </c>
      <c r="E2065" s="13">
        <v>0</v>
      </c>
      <c r="F2065" s="14">
        <v>0</v>
      </c>
    </row>
    <row r="2066" spans="1:6" x14ac:dyDescent="0.3">
      <c r="A2066" s="8">
        <v>2064</v>
      </c>
      <c r="B2066" s="8" t="s">
        <v>2792</v>
      </c>
      <c r="C2066" s="8" t="s">
        <v>4283</v>
      </c>
      <c r="D2066" s="8" t="s">
        <v>4284</v>
      </c>
      <c r="E2066" s="13">
        <v>0</v>
      </c>
      <c r="F2066" s="14">
        <v>0</v>
      </c>
    </row>
    <row r="2067" spans="1:6" x14ac:dyDescent="0.3">
      <c r="A2067" s="8">
        <v>2065</v>
      </c>
      <c r="B2067" s="8" t="s">
        <v>2792</v>
      </c>
      <c r="C2067" s="8" t="s">
        <v>4285</v>
      </c>
      <c r="D2067" s="8" t="s">
        <v>4286</v>
      </c>
      <c r="E2067" s="13">
        <v>0</v>
      </c>
      <c r="F2067" s="14">
        <v>0</v>
      </c>
    </row>
    <row r="2068" spans="1:6" x14ac:dyDescent="0.3">
      <c r="A2068" s="8">
        <v>2066</v>
      </c>
      <c r="B2068" s="8" t="s">
        <v>2792</v>
      </c>
      <c r="C2068" s="8" t="s">
        <v>4287</v>
      </c>
      <c r="D2068" s="8" t="s">
        <v>4288</v>
      </c>
      <c r="E2068" s="13">
        <v>0</v>
      </c>
      <c r="F2068" s="14">
        <v>0</v>
      </c>
    </row>
    <row r="2069" spans="1:6" x14ac:dyDescent="0.3">
      <c r="A2069" s="8">
        <v>2067</v>
      </c>
      <c r="B2069" s="8" t="s">
        <v>2792</v>
      </c>
      <c r="C2069" s="8" t="s">
        <v>4289</v>
      </c>
      <c r="D2069" s="8" t="s">
        <v>4290</v>
      </c>
      <c r="E2069" s="13">
        <v>2371000</v>
      </c>
      <c r="F2069" s="14">
        <v>4741667</v>
      </c>
    </row>
    <row r="2070" spans="1:6" x14ac:dyDescent="0.3">
      <c r="A2070" s="8">
        <v>2068</v>
      </c>
      <c r="B2070" s="8" t="s">
        <v>2792</v>
      </c>
      <c r="C2070" s="8" t="s">
        <v>4291</v>
      </c>
      <c r="D2070" s="8" t="s">
        <v>4292</v>
      </c>
      <c r="E2070" s="13">
        <v>2464000</v>
      </c>
      <c r="F2070" s="14">
        <v>4927778</v>
      </c>
    </row>
    <row r="2071" spans="1:6" x14ac:dyDescent="0.3">
      <c r="A2071" s="8">
        <v>2069</v>
      </c>
      <c r="B2071" s="8" t="s">
        <v>2303</v>
      </c>
      <c r="C2071" s="8" t="s">
        <v>4293</v>
      </c>
      <c r="D2071" s="8" t="s">
        <v>4294</v>
      </c>
      <c r="E2071" s="13">
        <v>28000</v>
      </c>
      <c r="F2071" s="14">
        <v>48200</v>
      </c>
    </row>
    <row r="2072" spans="1:6" x14ac:dyDescent="0.3">
      <c r="A2072" s="8">
        <v>2070</v>
      </c>
      <c r="B2072" s="8" t="s">
        <v>2303</v>
      </c>
      <c r="C2072" s="8" t="s">
        <v>4295</v>
      </c>
      <c r="D2072" s="8" t="s">
        <v>4296</v>
      </c>
      <c r="E2072" s="13">
        <v>0</v>
      </c>
      <c r="F2072" s="14">
        <v>0</v>
      </c>
    </row>
    <row r="2073" spans="1:6" x14ac:dyDescent="0.3">
      <c r="A2073" s="8">
        <v>2071</v>
      </c>
      <c r="B2073" s="8" t="s">
        <v>2303</v>
      </c>
      <c r="C2073" s="8" t="s">
        <v>4297</v>
      </c>
      <c r="D2073" s="8" t="s">
        <v>4298</v>
      </c>
      <c r="E2073" s="13">
        <v>31000</v>
      </c>
      <c r="F2073" s="14">
        <v>62037</v>
      </c>
    </row>
    <row r="2074" spans="1:6" x14ac:dyDescent="0.3">
      <c r="A2074" s="8">
        <v>2072</v>
      </c>
      <c r="B2074" s="8" t="s">
        <v>2303</v>
      </c>
      <c r="C2074" s="8" t="s">
        <v>4299</v>
      </c>
      <c r="D2074" s="8" t="s">
        <v>4300</v>
      </c>
      <c r="E2074" s="13">
        <v>31000</v>
      </c>
      <c r="F2074" s="14">
        <v>62037</v>
      </c>
    </row>
    <row r="2075" spans="1:6" x14ac:dyDescent="0.3">
      <c r="A2075" s="8">
        <v>2073</v>
      </c>
      <c r="B2075" s="8" t="s">
        <v>2303</v>
      </c>
      <c r="C2075" s="8" t="s">
        <v>4301</v>
      </c>
      <c r="D2075" s="8" t="s">
        <v>4302</v>
      </c>
      <c r="E2075" s="13">
        <v>29500</v>
      </c>
      <c r="F2075" s="14">
        <v>59000</v>
      </c>
    </row>
    <row r="2076" spans="1:6" x14ac:dyDescent="0.3">
      <c r="A2076" s="8">
        <v>2074</v>
      </c>
      <c r="B2076" s="8" t="s">
        <v>2303</v>
      </c>
      <c r="C2076" s="8" t="s">
        <v>4303</v>
      </c>
      <c r="D2076" s="8" t="s">
        <v>4304</v>
      </c>
      <c r="E2076" s="13">
        <v>84600</v>
      </c>
      <c r="F2076" s="14">
        <v>169444</v>
      </c>
    </row>
    <row r="2077" spans="1:6" x14ac:dyDescent="0.3">
      <c r="A2077" s="8">
        <v>2075</v>
      </c>
      <c r="B2077" s="8" t="s">
        <v>2303</v>
      </c>
      <c r="C2077" s="8" t="s">
        <v>4305</v>
      </c>
      <c r="D2077" s="8" t="s">
        <v>4306</v>
      </c>
      <c r="E2077" s="13">
        <v>72000</v>
      </c>
      <c r="F2077" s="14">
        <v>144000</v>
      </c>
    </row>
    <row r="2078" spans="1:6" x14ac:dyDescent="0.3">
      <c r="A2078" s="8">
        <v>2076</v>
      </c>
      <c r="B2078" s="8" t="s">
        <v>2303</v>
      </c>
      <c r="C2078" s="8" t="s">
        <v>4307</v>
      </c>
      <c r="D2078" s="8" t="s">
        <v>4308</v>
      </c>
      <c r="E2078" s="13">
        <v>46400</v>
      </c>
      <c r="F2078" s="14">
        <v>92778</v>
      </c>
    </row>
    <row r="2079" spans="1:6" x14ac:dyDescent="0.3">
      <c r="A2079" s="8">
        <v>2077</v>
      </c>
      <c r="B2079" s="8" t="s">
        <v>2303</v>
      </c>
      <c r="C2079" s="8" t="s">
        <v>4309</v>
      </c>
      <c r="D2079" s="8" t="s">
        <v>4310</v>
      </c>
      <c r="E2079" s="13">
        <v>0</v>
      </c>
      <c r="F2079" s="14">
        <v>0</v>
      </c>
    </row>
    <row r="2080" spans="1:6" x14ac:dyDescent="0.3">
      <c r="A2080" s="8">
        <v>2078</v>
      </c>
      <c r="B2080" s="8" t="s">
        <v>2303</v>
      </c>
      <c r="C2080" s="8" t="s">
        <v>4311</v>
      </c>
      <c r="D2080" s="8" t="s">
        <v>4312</v>
      </c>
      <c r="E2080" s="13">
        <v>53000</v>
      </c>
      <c r="F2080" s="14">
        <v>105556</v>
      </c>
    </row>
    <row r="2081" spans="1:6" x14ac:dyDescent="0.3">
      <c r="A2081" s="8">
        <v>2079</v>
      </c>
      <c r="B2081" s="8" t="s">
        <v>2303</v>
      </c>
      <c r="C2081" s="8" t="s">
        <v>4313</v>
      </c>
      <c r="D2081" s="8" t="s">
        <v>4314</v>
      </c>
      <c r="E2081" s="13">
        <v>192000</v>
      </c>
      <c r="F2081" s="14">
        <v>384259</v>
      </c>
    </row>
    <row r="2082" spans="1:6" x14ac:dyDescent="0.3">
      <c r="A2082" s="8">
        <v>2080</v>
      </c>
      <c r="B2082" s="8" t="s">
        <v>2303</v>
      </c>
      <c r="C2082" s="8" t="s">
        <v>4315</v>
      </c>
      <c r="D2082" s="8" t="s">
        <v>4316</v>
      </c>
      <c r="E2082" s="13">
        <v>20000</v>
      </c>
      <c r="F2082" s="14">
        <v>39815</v>
      </c>
    </row>
    <row r="2083" spans="1:6" x14ac:dyDescent="0.3">
      <c r="A2083" s="8">
        <v>2081</v>
      </c>
      <c r="B2083" s="8" t="s">
        <v>2303</v>
      </c>
      <c r="C2083" s="8" t="s">
        <v>4317</v>
      </c>
      <c r="D2083" s="8" t="s">
        <v>4318</v>
      </c>
      <c r="E2083" s="13">
        <v>26500</v>
      </c>
      <c r="F2083" s="14">
        <v>52963</v>
      </c>
    </row>
    <row r="2084" spans="1:6" x14ac:dyDescent="0.3">
      <c r="A2084" s="8">
        <v>2082</v>
      </c>
      <c r="B2084" s="8" t="s">
        <v>2303</v>
      </c>
      <c r="C2084" s="8" t="s">
        <v>4319</v>
      </c>
      <c r="D2084" s="8" t="s">
        <v>4320</v>
      </c>
      <c r="E2084" s="13">
        <v>0</v>
      </c>
      <c r="F2084" s="14">
        <v>0</v>
      </c>
    </row>
    <row r="2085" spans="1:6" x14ac:dyDescent="0.3">
      <c r="A2085" s="8">
        <v>2083</v>
      </c>
      <c r="B2085" s="8" t="s">
        <v>2303</v>
      </c>
      <c r="C2085" s="8" t="s">
        <v>4321</v>
      </c>
      <c r="D2085" s="8" t="s">
        <v>4322</v>
      </c>
      <c r="E2085" s="13">
        <v>0</v>
      </c>
      <c r="F2085" s="14">
        <v>479630</v>
      </c>
    </row>
    <row r="2086" spans="1:6" x14ac:dyDescent="0.3">
      <c r="A2086" s="8">
        <v>2084</v>
      </c>
      <c r="B2086" s="8" t="s">
        <v>2303</v>
      </c>
      <c r="C2086" s="8" t="s">
        <v>4323</v>
      </c>
      <c r="D2086" s="8" t="s">
        <v>4324</v>
      </c>
      <c r="E2086" s="13">
        <v>18000</v>
      </c>
      <c r="F2086" s="14">
        <v>36019</v>
      </c>
    </row>
    <row r="2087" spans="1:6" x14ac:dyDescent="0.3">
      <c r="A2087" s="8">
        <v>2085</v>
      </c>
      <c r="B2087" s="8" t="s">
        <v>2303</v>
      </c>
      <c r="C2087" s="8" t="s">
        <v>4325</v>
      </c>
      <c r="D2087" s="8" t="s">
        <v>4326</v>
      </c>
      <c r="E2087" s="13">
        <v>31000</v>
      </c>
      <c r="F2087" s="14">
        <v>62037</v>
      </c>
    </row>
    <row r="2088" spans="1:6" x14ac:dyDescent="0.3">
      <c r="A2088" s="8">
        <v>2086</v>
      </c>
      <c r="B2088" s="8" t="s">
        <v>2303</v>
      </c>
      <c r="C2088" s="8" t="s">
        <v>4327</v>
      </c>
      <c r="D2088" s="8" t="s">
        <v>4328</v>
      </c>
      <c r="E2088" s="13">
        <v>0</v>
      </c>
      <c r="F2088" s="14">
        <v>0</v>
      </c>
    </row>
    <row r="2089" spans="1:6" x14ac:dyDescent="0.3">
      <c r="A2089" s="8">
        <v>2087</v>
      </c>
      <c r="B2089" s="8" t="s">
        <v>2303</v>
      </c>
      <c r="C2089" s="8" t="s">
        <v>4329</v>
      </c>
      <c r="D2089" s="8" t="s">
        <v>4330</v>
      </c>
      <c r="E2089" s="13">
        <v>0</v>
      </c>
      <c r="F2089" s="14">
        <v>0</v>
      </c>
    </row>
    <row r="2090" spans="1:6" x14ac:dyDescent="0.3">
      <c r="A2090" s="8">
        <v>2088</v>
      </c>
      <c r="B2090" s="8" t="s">
        <v>2303</v>
      </c>
      <c r="C2090" s="8" t="s">
        <v>4331</v>
      </c>
      <c r="D2090" s="8" t="s">
        <v>4332</v>
      </c>
      <c r="E2090" s="13">
        <v>84600</v>
      </c>
      <c r="F2090" s="14">
        <v>169444</v>
      </c>
    </row>
    <row r="2091" spans="1:6" x14ac:dyDescent="0.3">
      <c r="A2091" s="8">
        <v>2089</v>
      </c>
      <c r="B2091" s="8" t="s">
        <v>2303</v>
      </c>
      <c r="C2091" s="8" t="s">
        <v>4333</v>
      </c>
      <c r="D2091" s="8" t="s">
        <v>4334</v>
      </c>
      <c r="E2091" s="13">
        <v>42300</v>
      </c>
      <c r="F2091" s="14">
        <v>84545</v>
      </c>
    </row>
    <row r="2092" spans="1:6" x14ac:dyDescent="0.3">
      <c r="A2092" s="8">
        <v>2090</v>
      </c>
      <c r="B2092" s="8" t="s">
        <v>2303</v>
      </c>
      <c r="C2092" s="8" t="s">
        <v>4335</v>
      </c>
      <c r="D2092" s="8" t="s">
        <v>4336</v>
      </c>
      <c r="E2092" s="13">
        <v>38000</v>
      </c>
      <c r="F2092" s="14">
        <v>76019</v>
      </c>
    </row>
    <row r="2093" spans="1:6" x14ac:dyDescent="0.3">
      <c r="A2093" s="8">
        <v>2091</v>
      </c>
      <c r="B2093" s="8" t="s">
        <v>2303</v>
      </c>
      <c r="C2093" s="8" t="s">
        <v>4337</v>
      </c>
      <c r="D2093" s="8" t="s">
        <v>4338</v>
      </c>
      <c r="E2093" s="13">
        <v>111000</v>
      </c>
      <c r="F2093" s="14">
        <v>222222</v>
      </c>
    </row>
    <row r="2094" spans="1:6" x14ac:dyDescent="0.3">
      <c r="A2094" s="8">
        <v>2092</v>
      </c>
      <c r="B2094" s="8" t="s">
        <v>2303</v>
      </c>
      <c r="C2094" s="8" t="s">
        <v>4339</v>
      </c>
      <c r="D2094" s="8" t="s">
        <v>4340</v>
      </c>
      <c r="E2094" s="13">
        <v>133000</v>
      </c>
      <c r="F2094" s="14">
        <v>265741</v>
      </c>
    </row>
    <row r="2095" spans="1:6" x14ac:dyDescent="0.3">
      <c r="A2095" s="8">
        <v>2093</v>
      </c>
      <c r="B2095" s="8" t="s">
        <v>2303</v>
      </c>
      <c r="C2095" s="8" t="s">
        <v>4341</v>
      </c>
      <c r="D2095" s="8" t="s">
        <v>4342</v>
      </c>
      <c r="E2095" s="13">
        <v>111000</v>
      </c>
      <c r="F2095" s="14">
        <v>222222</v>
      </c>
    </row>
    <row r="2096" spans="1:6" x14ac:dyDescent="0.3">
      <c r="A2096" s="8">
        <v>2094</v>
      </c>
      <c r="B2096" s="8" t="s">
        <v>2792</v>
      </c>
      <c r="C2096" s="8" t="s">
        <v>4343</v>
      </c>
      <c r="D2096" s="8" t="s">
        <v>4344</v>
      </c>
      <c r="E2096" s="13">
        <v>0</v>
      </c>
      <c r="F2096" s="14">
        <v>6700000</v>
      </c>
    </row>
    <row r="2097" spans="1:6" x14ac:dyDescent="0.3">
      <c r="A2097" s="8">
        <v>2095</v>
      </c>
      <c r="B2097" s="8" t="s">
        <v>2792</v>
      </c>
      <c r="C2097" s="8" t="s">
        <v>4345</v>
      </c>
      <c r="D2097" s="8" t="s">
        <v>4346</v>
      </c>
      <c r="E2097" s="13">
        <v>0</v>
      </c>
      <c r="F2097" s="14">
        <v>0</v>
      </c>
    </row>
    <row r="2098" spans="1:6" x14ac:dyDescent="0.3">
      <c r="A2098" s="8">
        <v>2096</v>
      </c>
      <c r="B2098" s="8" t="s">
        <v>2792</v>
      </c>
      <c r="C2098" s="8" t="s">
        <v>4347</v>
      </c>
      <c r="D2098" s="8" t="s">
        <v>4348</v>
      </c>
      <c r="E2098" s="13">
        <v>0</v>
      </c>
      <c r="F2098" s="14">
        <v>0</v>
      </c>
    </row>
    <row r="2099" spans="1:6" x14ac:dyDescent="0.3">
      <c r="A2099" s="8">
        <v>2097</v>
      </c>
      <c r="B2099" s="8" t="s">
        <v>2792</v>
      </c>
      <c r="C2099" s="8" t="s">
        <v>4349</v>
      </c>
      <c r="D2099" s="8" t="s">
        <v>4350</v>
      </c>
      <c r="E2099" s="13">
        <v>2370000</v>
      </c>
      <c r="F2099" s="14">
        <v>3960185</v>
      </c>
    </row>
    <row r="2100" spans="1:6" x14ac:dyDescent="0.3">
      <c r="A2100" s="8">
        <v>2098</v>
      </c>
      <c r="B2100" s="8" t="s">
        <v>2792</v>
      </c>
      <c r="C2100" s="8" t="s">
        <v>4351</v>
      </c>
      <c r="D2100" s="8" t="s">
        <v>4352</v>
      </c>
      <c r="E2100" s="13">
        <v>874000</v>
      </c>
      <c r="F2100" s="14">
        <v>1748148</v>
      </c>
    </row>
    <row r="2101" spans="1:6" x14ac:dyDescent="0.3">
      <c r="A2101" s="8">
        <v>2099</v>
      </c>
      <c r="B2101" s="8" t="s">
        <v>2792</v>
      </c>
      <c r="C2101" s="8" t="s">
        <v>4353</v>
      </c>
      <c r="D2101" s="8" t="s">
        <v>4354</v>
      </c>
      <c r="E2101" s="13">
        <v>7304000</v>
      </c>
      <c r="F2101" s="14">
        <v>14608000</v>
      </c>
    </row>
    <row r="2102" spans="1:6" x14ac:dyDescent="0.3">
      <c r="A2102" s="8">
        <v>2100</v>
      </c>
      <c r="B2102" s="8" t="s">
        <v>2792</v>
      </c>
      <c r="C2102" s="8" t="s">
        <v>4355</v>
      </c>
      <c r="D2102" s="8" t="s">
        <v>4356</v>
      </c>
      <c r="E2102" s="13">
        <v>0</v>
      </c>
      <c r="F2102" s="14">
        <v>1100000</v>
      </c>
    </row>
    <row r="2103" spans="1:6" x14ac:dyDescent="0.3">
      <c r="A2103" s="8">
        <v>2101</v>
      </c>
      <c r="B2103" s="8" t="s">
        <v>2792</v>
      </c>
      <c r="C2103" s="8" t="s">
        <v>4357</v>
      </c>
      <c r="D2103" s="8" t="s">
        <v>4358</v>
      </c>
      <c r="E2103" s="13">
        <v>0</v>
      </c>
      <c r="F2103" s="14">
        <v>0</v>
      </c>
    </row>
    <row r="2104" spans="1:6" x14ac:dyDescent="0.3">
      <c r="A2104" s="8">
        <v>2102</v>
      </c>
      <c r="B2104" s="8" t="s">
        <v>2792</v>
      </c>
      <c r="C2104" s="8" t="s">
        <v>4359</v>
      </c>
      <c r="D2104" s="8" t="s">
        <v>4360</v>
      </c>
      <c r="E2104" s="13">
        <v>0</v>
      </c>
      <c r="F2104" s="14">
        <v>0</v>
      </c>
    </row>
    <row r="2105" spans="1:6" x14ac:dyDescent="0.3">
      <c r="A2105" s="8">
        <v>2103</v>
      </c>
      <c r="B2105" s="8" t="s">
        <v>2792</v>
      </c>
      <c r="C2105" s="8" t="s">
        <v>4361</v>
      </c>
      <c r="D2105" s="8" t="s">
        <v>4362</v>
      </c>
      <c r="E2105" s="13">
        <v>0</v>
      </c>
      <c r="F2105" s="14">
        <v>0</v>
      </c>
    </row>
    <row r="2106" spans="1:6" x14ac:dyDescent="0.3">
      <c r="A2106" s="8">
        <v>2104</v>
      </c>
      <c r="B2106" s="8" t="s">
        <v>2792</v>
      </c>
      <c r="C2106" s="8" t="s">
        <v>4363</v>
      </c>
      <c r="D2106" s="8" t="s">
        <v>4364</v>
      </c>
      <c r="E2106" s="13">
        <v>0</v>
      </c>
      <c r="F2106" s="14">
        <v>0</v>
      </c>
    </row>
    <row r="2107" spans="1:6" x14ac:dyDescent="0.3">
      <c r="A2107" s="8">
        <v>2105</v>
      </c>
      <c r="B2107" s="8" t="s">
        <v>2792</v>
      </c>
      <c r="C2107" s="8" t="s">
        <v>4365</v>
      </c>
      <c r="D2107" s="8" t="s">
        <v>4366</v>
      </c>
      <c r="E2107" s="13">
        <v>0</v>
      </c>
      <c r="F2107" s="14">
        <v>0</v>
      </c>
    </row>
    <row r="2108" spans="1:6" x14ac:dyDescent="0.3">
      <c r="A2108" s="8">
        <v>2106</v>
      </c>
      <c r="B2108" s="8" t="s">
        <v>2792</v>
      </c>
      <c r="C2108" s="8" t="s">
        <v>4367</v>
      </c>
      <c r="D2108" s="8" t="s">
        <v>4368</v>
      </c>
      <c r="E2108" s="13">
        <v>0</v>
      </c>
      <c r="F2108" s="14">
        <v>0</v>
      </c>
    </row>
    <row r="2109" spans="1:6" x14ac:dyDescent="0.3">
      <c r="A2109" s="8">
        <v>2107</v>
      </c>
      <c r="B2109" s="8" t="s">
        <v>2792</v>
      </c>
      <c r="C2109" s="8" t="s">
        <v>4369</v>
      </c>
      <c r="D2109" s="8" t="s">
        <v>4370</v>
      </c>
      <c r="E2109" s="13">
        <v>4736700</v>
      </c>
      <c r="F2109" s="14">
        <v>9213889</v>
      </c>
    </row>
    <row r="2110" spans="1:6" x14ac:dyDescent="0.3">
      <c r="A2110" s="8">
        <v>2108</v>
      </c>
      <c r="B2110" s="8" t="s">
        <v>2792</v>
      </c>
      <c r="C2110" s="8" t="s">
        <v>4371</v>
      </c>
      <c r="D2110" s="8" t="s">
        <v>4372</v>
      </c>
      <c r="E2110" s="13">
        <v>0</v>
      </c>
      <c r="F2110" s="14">
        <v>0</v>
      </c>
    </row>
    <row r="2111" spans="1:6" x14ac:dyDescent="0.3">
      <c r="A2111" s="8">
        <v>2109</v>
      </c>
      <c r="B2111" s="8" t="s">
        <v>2792</v>
      </c>
      <c r="C2111" s="8" t="s">
        <v>4373</v>
      </c>
      <c r="D2111" s="8" t="s">
        <v>4374</v>
      </c>
      <c r="E2111" s="13">
        <v>2094000</v>
      </c>
      <c r="F2111" s="14">
        <v>3500000</v>
      </c>
    </row>
    <row r="2112" spans="1:6" x14ac:dyDescent="0.3">
      <c r="A2112" s="8">
        <v>2110</v>
      </c>
      <c r="B2112" s="8" t="s">
        <v>2792</v>
      </c>
      <c r="C2112" s="8" t="s">
        <v>4375</v>
      </c>
      <c r="D2112" s="8" t="s">
        <v>4376</v>
      </c>
      <c r="E2112" s="13">
        <v>3200000</v>
      </c>
      <c r="F2112" s="14">
        <v>5080000</v>
      </c>
    </row>
    <row r="2113" spans="1:6" x14ac:dyDescent="0.3">
      <c r="A2113" s="8">
        <v>2111</v>
      </c>
      <c r="B2113" s="8" t="s">
        <v>2792</v>
      </c>
      <c r="C2113" s="8" t="s">
        <v>4377</v>
      </c>
      <c r="D2113" s="8" t="s">
        <v>4378</v>
      </c>
      <c r="E2113" s="13">
        <v>1644000</v>
      </c>
      <c r="F2113" s="14">
        <v>2610000</v>
      </c>
    </row>
    <row r="2114" spans="1:6" x14ac:dyDescent="0.3">
      <c r="A2114" s="8">
        <v>2112</v>
      </c>
      <c r="B2114" s="8" t="s">
        <v>2792</v>
      </c>
      <c r="C2114" s="8" t="s">
        <v>4379</v>
      </c>
      <c r="D2114" s="8" t="s">
        <v>4380</v>
      </c>
      <c r="E2114" s="13">
        <v>3146000</v>
      </c>
      <c r="F2114" s="14">
        <v>6291667</v>
      </c>
    </row>
    <row r="2115" spans="1:6" x14ac:dyDescent="0.3">
      <c r="A2115" s="8">
        <v>2113</v>
      </c>
      <c r="B2115" s="8" t="s">
        <v>2792</v>
      </c>
      <c r="C2115" s="8" t="s">
        <v>4381</v>
      </c>
      <c r="D2115" s="8" t="s">
        <v>4382</v>
      </c>
      <c r="E2115" s="13">
        <v>2371000</v>
      </c>
      <c r="F2115" s="14">
        <v>4741667</v>
      </c>
    </row>
    <row r="2116" spans="1:6" x14ac:dyDescent="0.3">
      <c r="A2116" s="8">
        <v>2114</v>
      </c>
      <c r="B2116" s="8" t="s">
        <v>2792</v>
      </c>
      <c r="C2116" s="8" t="s">
        <v>4383</v>
      </c>
      <c r="D2116" s="8" t="s">
        <v>4384</v>
      </c>
      <c r="E2116" s="13">
        <v>0</v>
      </c>
      <c r="F2116" s="14">
        <v>0</v>
      </c>
    </row>
    <row r="2117" spans="1:6" x14ac:dyDescent="0.3">
      <c r="A2117" s="8">
        <v>2115</v>
      </c>
      <c r="B2117" s="8" t="s">
        <v>2792</v>
      </c>
      <c r="C2117" s="8" t="s">
        <v>4385</v>
      </c>
      <c r="D2117" s="8" t="s">
        <v>4386</v>
      </c>
      <c r="E2117" s="13">
        <v>0</v>
      </c>
      <c r="F2117" s="14">
        <v>0</v>
      </c>
    </row>
    <row r="2118" spans="1:6" x14ac:dyDescent="0.3">
      <c r="A2118" s="8">
        <v>2116</v>
      </c>
      <c r="B2118" s="8" t="s">
        <v>2792</v>
      </c>
      <c r="C2118" s="8" t="s">
        <v>4387</v>
      </c>
      <c r="D2118" s="8" t="s">
        <v>4388</v>
      </c>
      <c r="E2118" s="13">
        <v>0</v>
      </c>
      <c r="F2118" s="14">
        <v>0</v>
      </c>
    </row>
    <row r="2119" spans="1:6" x14ac:dyDescent="0.3">
      <c r="A2119" s="8">
        <v>2117</v>
      </c>
      <c r="B2119" s="8" t="s">
        <v>2792</v>
      </c>
      <c r="C2119" s="8" t="s">
        <v>4389</v>
      </c>
      <c r="D2119" s="8" t="s">
        <v>4390</v>
      </c>
      <c r="E2119" s="13">
        <v>0</v>
      </c>
      <c r="F2119" s="14">
        <v>0</v>
      </c>
    </row>
    <row r="2120" spans="1:6" x14ac:dyDescent="0.3">
      <c r="A2120" s="8">
        <v>2118</v>
      </c>
      <c r="B2120" s="8" t="s">
        <v>2792</v>
      </c>
      <c r="C2120" s="8" t="s">
        <v>4391</v>
      </c>
      <c r="D2120" s="8" t="s">
        <v>4392</v>
      </c>
      <c r="E2120" s="13">
        <v>1009000</v>
      </c>
      <c r="F2120" s="14">
        <v>1736000</v>
      </c>
    </row>
    <row r="2121" spans="1:6" x14ac:dyDescent="0.3">
      <c r="A2121" s="8">
        <v>2119</v>
      </c>
      <c r="B2121" s="8" t="s">
        <v>2792</v>
      </c>
      <c r="C2121" s="8" t="s">
        <v>4393</v>
      </c>
      <c r="D2121" s="8" t="s">
        <v>4394</v>
      </c>
      <c r="E2121" s="13">
        <v>564000</v>
      </c>
      <c r="F2121" s="14">
        <v>971000</v>
      </c>
    </row>
    <row r="2122" spans="1:6" x14ac:dyDescent="0.3">
      <c r="A2122" s="8">
        <v>2120</v>
      </c>
      <c r="B2122" s="8" t="s">
        <v>2792</v>
      </c>
      <c r="C2122" s="8" t="s">
        <v>4395</v>
      </c>
      <c r="D2122" s="8" t="s">
        <v>4396</v>
      </c>
      <c r="E2122" s="13">
        <v>202000</v>
      </c>
      <c r="F2122" s="14">
        <v>378000</v>
      </c>
    </row>
    <row r="2123" spans="1:6" x14ac:dyDescent="0.3">
      <c r="A2123" s="8">
        <v>2121</v>
      </c>
      <c r="B2123" s="8" t="s">
        <v>2792</v>
      </c>
      <c r="C2123" s="8" t="s">
        <v>4397</v>
      </c>
      <c r="D2123" s="8" t="s">
        <v>4398</v>
      </c>
      <c r="E2123" s="13">
        <v>2398000</v>
      </c>
      <c r="F2123" s="14">
        <v>2508333</v>
      </c>
    </row>
    <row r="2124" spans="1:6" x14ac:dyDescent="0.3">
      <c r="A2124" s="8">
        <v>2122</v>
      </c>
      <c r="B2124" s="8" t="s">
        <v>2792</v>
      </c>
      <c r="C2124" s="8" t="s">
        <v>4399</v>
      </c>
      <c r="D2124" s="8" t="s">
        <v>4400</v>
      </c>
      <c r="E2124" s="13">
        <v>645000</v>
      </c>
      <c r="F2124" s="14">
        <v>1289815</v>
      </c>
    </row>
    <row r="2125" spans="1:6" x14ac:dyDescent="0.3">
      <c r="A2125" s="8">
        <v>2123</v>
      </c>
      <c r="B2125" s="8" t="s">
        <v>2792</v>
      </c>
      <c r="C2125" s="8" t="s">
        <v>4401</v>
      </c>
      <c r="D2125" s="8" t="s">
        <v>4402</v>
      </c>
      <c r="E2125" s="13">
        <v>137500</v>
      </c>
      <c r="F2125" s="14">
        <v>248000</v>
      </c>
    </row>
    <row r="2126" spans="1:6" x14ac:dyDescent="0.3">
      <c r="A2126" s="8">
        <v>2124</v>
      </c>
      <c r="B2126" s="8" t="s">
        <v>2792</v>
      </c>
      <c r="C2126" s="8" t="s">
        <v>4403</v>
      </c>
      <c r="D2126" s="8" t="s">
        <v>4404</v>
      </c>
      <c r="E2126" s="13">
        <v>0</v>
      </c>
      <c r="F2126" s="14">
        <v>0</v>
      </c>
    </row>
    <row r="2127" spans="1:6" x14ac:dyDescent="0.3">
      <c r="A2127" s="8">
        <v>2125</v>
      </c>
      <c r="B2127" s="8" t="s">
        <v>2792</v>
      </c>
      <c r="C2127" s="8" t="s">
        <v>4405</v>
      </c>
      <c r="D2127" s="8" t="s">
        <v>4406</v>
      </c>
      <c r="E2127" s="13">
        <v>630000</v>
      </c>
      <c r="F2127" s="14">
        <v>1260185</v>
      </c>
    </row>
    <row r="2128" spans="1:6" x14ac:dyDescent="0.3">
      <c r="A2128" s="8">
        <v>2126</v>
      </c>
      <c r="B2128" s="8" t="s">
        <v>2792</v>
      </c>
      <c r="C2128" s="8" t="s">
        <v>4407</v>
      </c>
      <c r="D2128" s="8" t="s">
        <v>4408</v>
      </c>
      <c r="E2128" s="13">
        <v>0</v>
      </c>
      <c r="F2128" s="14">
        <v>6800000</v>
      </c>
    </row>
    <row r="2129" spans="1:6" x14ac:dyDescent="0.3">
      <c r="A2129" s="8">
        <v>2127</v>
      </c>
      <c r="B2129" s="8" t="s">
        <v>2792</v>
      </c>
      <c r="C2129" s="8" t="s">
        <v>4409</v>
      </c>
      <c r="D2129" s="8" t="s">
        <v>4410</v>
      </c>
      <c r="E2129" s="13">
        <v>0</v>
      </c>
      <c r="F2129" s="14">
        <v>2970000</v>
      </c>
    </row>
    <row r="2130" spans="1:6" x14ac:dyDescent="0.3">
      <c r="A2130" s="8">
        <v>2128</v>
      </c>
      <c r="B2130" s="8" t="s">
        <v>2792</v>
      </c>
      <c r="C2130" s="8" t="s">
        <v>4411</v>
      </c>
      <c r="D2130" s="8" t="s">
        <v>4412</v>
      </c>
      <c r="E2130" s="13">
        <v>2200000</v>
      </c>
      <c r="F2130" s="14">
        <v>4400000</v>
      </c>
    </row>
    <row r="2131" spans="1:6" x14ac:dyDescent="0.3">
      <c r="A2131" s="8">
        <v>2129</v>
      </c>
      <c r="B2131" s="8" t="s">
        <v>2792</v>
      </c>
      <c r="C2131" s="8" t="s">
        <v>4413</v>
      </c>
      <c r="D2131" s="8" t="s">
        <v>4414</v>
      </c>
      <c r="E2131" s="13">
        <v>0</v>
      </c>
      <c r="F2131" s="14">
        <v>0</v>
      </c>
    </row>
    <row r="2132" spans="1:6" x14ac:dyDescent="0.3">
      <c r="A2132" s="8">
        <v>2130</v>
      </c>
      <c r="B2132" s="8" t="s">
        <v>2792</v>
      </c>
      <c r="C2132" s="8" t="s">
        <v>4415</v>
      </c>
      <c r="D2132" s="8" t="s">
        <v>4416</v>
      </c>
      <c r="E2132" s="13">
        <v>0</v>
      </c>
      <c r="F2132" s="14">
        <v>0</v>
      </c>
    </row>
    <row r="2133" spans="1:6" x14ac:dyDescent="0.3">
      <c r="A2133" s="8">
        <v>2131</v>
      </c>
      <c r="B2133" s="8" t="s">
        <v>2792</v>
      </c>
      <c r="C2133" s="8" t="s">
        <v>4417</v>
      </c>
      <c r="D2133" s="8" t="s">
        <v>4418</v>
      </c>
      <c r="E2133" s="13">
        <v>1949000</v>
      </c>
      <c r="F2133" s="14">
        <v>3898148</v>
      </c>
    </row>
    <row r="2134" spans="1:6" x14ac:dyDescent="0.3">
      <c r="A2134" s="8">
        <v>2132</v>
      </c>
      <c r="B2134" s="8" t="s">
        <v>2792</v>
      </c>
      <c r="C2134" s="8" t="s">
        <v>4419</v>
      </c>
      <c r="D2134" s="8" t="s">
        <v>4420</v>
      </c>
      <c r="E2134" s="13">
        <v>181000</v>
      </c>
      <c r="F2134" s="14">
        <v>362037</v>
      </c>
    </row>
    <row r="2135" spans="1:6" x14ac:dyDescent="0.3">
      <c r="A2135" s="8">
        <v>2133</v>
      </c>
      <c r="B2135" s="8" t="s">
        <v>2792</v>
      </c>
      <c r="C2135" s="8" t="s">
        <v>4421</v>
      </c>
      <c r="D2135" s="8" t="s">
        <v>4422</v>
      </c>
      <c r="E2135" s="13">
        <v>1240000</v>
      </c>
      <c r="F2135" s="14">
        <v>2479630</v>
      </c>
    </row>
    <row r="2136" spans="1:6" x14ac:dyDescent="0.3">
      <c r="A2136" s="8">
        <v>2134</v>
      </c>
      <c r="B2136" s="8" t="s">
        <v>2792</v>
      </c>
      <c r="C2136" s="8" t="s">
        <v>4423</v>
      </c>
      <c r="D2136" s="8" t="s">
        <v>4424</v>
      </c>
      <c r="E2136" s="13">
        <v>12497000</v>
      </c>
      <c r="F2136" s="14">
        <v>24994444</v>
      </c>
    </row>
    <row r="2137" spans="1:6" x14ac:dyDescent="0.3">
      <c r="A2137" s="8">
        <v>2135</v>
      </c>
      <c r="B2137" s="8" t="s">
        <v>2792</v>
      </c>
      <c r="C2137" s="8" t="s">
        <v>4425</v>
      </c>
      <c r="D2137" s="8" t="s">
        <v>4426</v>
      </c>
      <c r="E2137" s="13">
        <v>0</v>
      </c>
      <c r="F2137" s="14">
        <v>3190000</v>
      </c>
    </row>
    <row r="2138" spans="1:6" x14ac:dyDescent="0.3">
      <c r="A2138" s="8">
        <v>2136</v>
      </c>
      <c r="B2138" s="8" t="s">
        <v>2792</v>
      </c>
      <c r="C2138" s="8" t="s">
        <v>4427</v>
      </c>
      <c r="D2138" s="8" t="s">
        <v>4428</v>
      </c>
      <c r="E2138" s="13">
        <v>3049000</v>
      </c>
      <c r="F2138" s="14">
        <v>6098148</v>
      </c>
    </row>
    <row r="2139" spans="1:6" x14ac:dyDescent="0.3">
      <c r="A2139" s="8">
        <v>2137</v>
      </c>
      <c r="B2139" s="8" t="s">
        <v>2792</v>
      </c>
      <c r="C2139" s="8" t="s">
        <v>4429</v>
      </c>
      <c r="D2139" s="8" t="s">
        <v>4430</v>
      </c>
      <c r="E2139" s="13">
        <v>0</v>
      </c>
      <c r="F2139" s="14">
        <v>0</v>
      </c>
    </row>
    <row r="2140" spans="1:6" x14ac:dyDescent="0.3">
      <c r="A2140" s="8">
        <v>2138</v>
      </c>
      <c r="B2140" s="8" t="s">
        <v>2792</v>
      </c>
      <c r="C2140" s="8" t="s">
        <v>4431</v>
      </c>
      <c r="D2140" s="8" t="s">
        <v>4432</v>
      </c>
      <c r="E2140" s="13">
        <v>46000</v>
      </c>
      <c r="F2140" s="14">
        <v>91667</v>
      </c>
    </row>
    <row r="2141" spans="1:6" x14ac:dyDescent="0.3">
      <c r="A2141" s="8">
        <v>2139</v>
      </c>
      <c r="B2141" s="8" t="s">
        <v>2792</v>
      </c>
      <c r="C2141" s="8" t="s">
        <v>4433</v>
      </c>
      <c r="D2141" s="8" t="s">
        <v>4434</v>
      </c>
      <c r="E2141" s="13">
        <v>0</v>
      </c>
      <c r="F2141" s="14">
        <v>1129630</v>
      </c>
    </row>
    <row r="2142" spans="1:6" x14ac:dyDescent="0.3">
      <c r="A2142" s="8">
        <v>2140</v>
      </c>
      <c r="B2142" s="8" t="s">
        <v>2792</v>
      </c>
      <c r="C2142" s="8" t="s">
        <v>4435</v>
      </c>
      <c r="D2142" s="8" t="s">
        <v>4436</v>
      </c>
      <c r="E2142" s="13">
        <v>0</v>
      </c>
      <c r="F2142" s="14">
        <v>0</v>
      </c>
    </row>
    <row r="2143" spans="1:6" x14ac:dyDescent="0.3">
      <c r="A2143" s="8">
        <v>2141</v>
      </c>
      <c r="B2143" s="8" t="s">
        <v>2792</v>
      </c>
      <c r="C2143" s="8" t="s">
        <v>4437</v>
      </c>
      <c r="D2143" s="8" t="s">
        <v>4438</v>
      </c>
      <c r="E2143" s="13">
        <v>2383400</v>
      </c>
      <c r="F2143" s="14">
        <v>3981481</v>
      </c>
    </row>
    <row r="2144" spans="1:6" x14ac:dyDescent="0.3">
      <c r="A2144" s="8">
        <v>2142</v>
      </c>
      <c r="B2144" s="8" t="s">
        <v>2792</v>
      </c>
      <c r="C2144" s="8" t="s">
        <v>4439</v>
      </c>
      <c r="D2144" s="8" t="s">
        <v>4440</v>
      </c>
      <c r="E2144" s="13">
        <v>2952000</v>
      </c>
      <c r="F2144" s="14">
        <v>5903704</v>
      </c>
    </row>
    <row r="2145" spans="1:6" x14ac:dyDescent="0.3">
      <c r="A2145" s="8">
        <v>2143</v>
      </c>
      <c r="B2145" s="8" t="s">
        <v>2229</v>
      </c>
      <c r="C2145" s="8" t="s">
        <v>4441</v>
      </c>
      <c r="D2145" s="8" t="s">
        <v>4442</v>
      </c>
      <c r="E2145" s="13">
        <v>5685200</v>
      </c>
      <c r="F2145" s="14">
        <v>9289815</v>
      </c>
    </row>
    <row r="2146" spans="1:6" x14ac:dyDescent="0.3">
      <c r="A2146" s="8">
        <v>2144</v>
      </c>
      <c r="B2146" s="8" t="s">
        <v>2229</v>
      </c>
      <c r="C2146" s="8" t="s">
        <v>4443</v>
      </c>
      <c r="D2146" s="8" t="s">
        <v>4444</v>
      </c>
      <c r="E2146" s="13">
        <v>0</v>
      </c>
      <c r="F2146" s="14">
        <v>0</v>
      </c>
    </row>
    <row r="2147" spans="1:6" x14ac:dyDescent="0.3">
      <c r="A2147" s="8">
        <v>2145</v>
      </c>
      <c r="B2147" s="8" t="s">
        <v>2229</v>
      </c>
      <c r="C2147" s="8" t="s">
        <v>4445</v>
      </c>
      <c r="D2147" s="8" t="s">
        <v>4446</v>
      </c>
      <c r="E2147" s="13">
        <v>0</v>
      </c>
      <c r="F2147" s="14">
        <v>0</v>
      </c>
    </row>
    <row r="2148" spans="1:6" x14ac:dyDescent="0.3">
      <c r="A2148" s="8">
        <v>2146</v>
      </c>
      <c r="B2148" s="8" t="s">
        <v>2229</v>
      </c>
      <c r="C2148" s="8" t="s">
        <v>4447</v>
      </c>
      <c r="D2148" s="8" t="s">
        <v>4448</v>
      </c>
      <c r="E2148" s="13">
        <v>2800600</v>
      </c>
      <c r="F2148" s="14">
        <v>6111111</v>
      </c>
    </row>
    <row r="2149" spans="1:6" x14ac:dyDescent="0.3">
      <c r="A2149" s="8">
        <v>2147</v>
      </c>
      <c r="B2149" s="8" t="s">
        <v>2229</v>
      </c>
      <c r="C2149" s="8" t="s">
        <v>4449</v>
      </c>
      <c r="D2149" s="8" t="s">
        <v>4450</v>
      </c>
      <c r="E2149" s="13">
        <v>0</v>
      </c>
      <c r="F2149" s="14">
        <v>0</v>
      </c>
    </row>
    <row r="2150" spans="1:6" x14ac:dyDescent="0.3">
      <c r="A2150" s="8">
        <v>2148</v>
      </c>
      <c r="B2150" s="8" t="s">
        <v>2229</v>
      </c>
      <c r="C2150" s="8" t="s">
        <v>4451</v>
      </c>
      <c r="D2150" s="8" t="s">
        <v>4452</v>
      </c>
      <c r="E2150" s="13">
        <v>0</v>
      </c>
      <c r="F2150" s="14">
        <v>0</v>
      </c>
    </row>
    <row r="2151" spans="1:6" x14ac:dyDescent="0.3">
      <c r="A2151" s="8">
        <v>2149</v>
      </c>
      <c r="B2151" s="8" t="s">
        <v>2229</v>
      </c>
      <c r="C2151" s="8" t="s">
        <v>4453</v>
      </c>
      <c r="D2151" s="8" t="s">
        <v>4454</v>
      </c>
      <c r="E2151" s="13">
        <v>0</v>
      </c>
      <c r="F2151" s="14">
        <v>0</v>
      </c>
    </row>
    <row r="2152" spans="1:6" x14ac:dyDescent="0.3">
      <c r="A2152" s="8">
        <v>2150</v>
      </c>
      <c r="B2152" s="8" t="s">
        <v>2229</v>
      </c>
      <c r="C2152" s="8" t="s">
        <v>4455</v>
      </c>
      <c r="D2152" s="8" t="s">
        <v>4456</v>
      </c>
      <c r="E2152" s="13">
        <v>0</v>
      </c>
      <c r="F2152" s="14">
        <v>0</v>
      </c>
    </row>
    <row r="2153" spans="1:6" x14ac:dyDescent="0.3">
      <c r="A2153" s="8">
        <v>2151</v>
      </c>
      <c r="B2153" s="8" t="s">
        <v>2229</v>
      </c>
      <c r="C2153" s="8" t="s">
        <v>4457</v>
      </c>
      <c r="D2153" s="8" t="s">
        <v>4458</v>
      </c>
      <c r="E2153" s="13">
        <v>0</v>
      </c>
      <c r="F2153" s="14">
        <v>0</v>
      </c>
    </row>
    <row r="2154" spans="1:6" x14ac:dyDescent="0.3">
      <c r="A2154" s="8">
        <v>2152</v>
      </c>
      <c r="B2154" s="8" t="s">
        <v>2229</v>
      </c>
      <c r="C2154" s="8" t="s">
        <v>4459</v>
      </c>
      <c r="D2154" s="8" t="s">
        <v>4460</v>
      </c>
      <c r="E2154" s="13">
        <v>0</v>
      </c>
      <c r="F2154" s="14">
        <v>0</v>
      </c>
    </row>
    <row r="2155" spans="1:6" x14ac:dyDescent="0.3">
      <c r="A2155" s="8">
        <v>2153</v>
      </c>
      <c r="B2155" s="8" t="s">
        <v>2303</v>
      </c>
      <c r="C2155" s="8" t="s">
        <v>4461</v>
      </c>
      <c r="D2155" s="8" t="s">
        <v>4462</v>
      </c>
      <c r="E2155" s="13">
        <v>0</v>
      </c>
      <c r="F2155" s="14">
        <v>0</v>
      </c>
    </row>
    <row r="2156" spans="1:6" x14ac:dyDescent="0.3">
      <c r="A2156" s="8">
        <v>2154</v>
      </c>
      <c r="B2156" s="8" t="s">
        <v>2303</v>
      </c>
      <c r="C2156" s="8" t="s">
        <v>4463</v>
      </c>
      <c r="D2156" s="8" t="s">
        <v>4464</v>
      </c>
      <c r="E2156" s="13">
        <v>111000</v>
      </c>
      <c r="F2156" s="14">
        <v>222222</v>
      </c>
    </row>
    <row r="2157" spans="1:6" x14ac:dyDescent="0.3">
      <c r="A2157" s="8">
        <v>2155</v>
      </c>
      <c r="B2157" s="8" t="s">
        <v>2303</v>
      </c>
      <c r="C2157" s="8" t="s">
        <v>4465</v>
      </c>
      <c r="D2157" s="8" t="s">
        <v>4466</v>
      </c>
      <c r="E2157" s="13">
        <v>248200</v>
      </c>
      <c r="F2157" s="14">
        <v>496296</v>
      </c>
    </row>
    <row r="2158" spans="1:6" x14ac:dyDescent="0.3">
      <c r="A2158" s="8">
        <v>2156</v>
      </c>
      <c r="B2158" s="8" t="s">
        <v>2303</v>
      </c>
      <c r="C2158" s="8" t="s">
        <v>4467</v>
      </c>
      <c r="D2158" s="8" t="s">
        <v>4468</v>
      </c>
      <c r="E2158" s="13">
        <v>0</v>
      </c>
      <c r="F2158" s="14">
        <v>0</v>
      </c>
    </row>
    <row r="2159" spans="1:6" x14ac:dyDescent="0.3">
      <c r="A2159" s="8">
        <v>2157</v>
      </c>
      <c r="B2159" s="8" t="s">
        <v>2303</v>
      </c>
      <c r="C2159" s="8" t="s">
        <v>4469</v>
      </c>
      <c r="D2159" s="8" t="s">
        <v>4470</v>
      </c>
      <c r="E2159" s="13">
        <v>30000</v>
      </c>
      <c r="F2159" s="14">
        <v>60000</v>
      </c>
    </row>
    <row r="2160" spans="1:6" x14ac:dyDescent="0.3">
      <c r="A2160" s="8">
        <v>2158</v>
      </c>
      <c r="B2160" s="8" t="s">
        <v>2303</v>
      </c>
      <c r="C2160" s="8" t="s">
        <v>4471</v>
      </c>
      <c r="D2160" s="8" t="s">
        <v>4472</v>
      </c>
      <c r="E2160" s="13">
        <v>61300</v>
      </c>
      <c r="F2160" s="14">
        <v>122222</v>
      </c>
    </row>
    <row r="2161" spans="1:6" x14ac:dyDescent="0.3">
      <c r="A2161" s="8">
        <v>2159</v>
      </c>
      <c r="B2161" s="8" t="s">
        <v>2303</v>
      </c>
      <c r="C2161" s="8" t="s">
        <v>4473</v>
      </c>
      <c r="D2161" s="8" t="s">
        <v>4474</v>
      </c>
      <c r="E2161" s="13">
        <v>0</v>
      </c>
      <c r="F2161" s="14">
        <v>0</v>
      </c>
    </row>
    <row r="2162" spans="1:6" x14ac:dyDescent="0.3">
      <c r="A2162" s="8">
        <v>2160</v>
      </c>
      <c r="B2162" s="8" t="s">
        <v>2303</v>
      </c>
      <c r="C2162" s="8" t="s">
        <v>4475</v>
      </c>
      <c r="D2162" s="8" t="s">
        <v>4476</v>
      </c>
      <c r="E2162" s="13">
        <v>0</v>
      </c>
      <c r="F2162" s="14">
        <v>0</v>
      </c>
    </row>
    <row r="2163" spans="1:6" x14ac:dyDescent="0.3">
      <c r="A2163" s="8">
        <v>2161</v>
      </c>
      <c r="B2163" s="8" t="s">
        <v>2303</v>
      </c>
      <c r="C2163" s="8" t="s">
        <v>4477</v>
      </c>
      <c r="D2163" s="8" t="s">
        <v>4478</v>
      </c>
      <c r="E2163" s="13">
        <v>0</v>
      </c>
      <c r="F2163" s="14">
        <v>0</v>
      </c>
    </row>
    <row r="2164" spans="1:6" x14ac:dyDescent="0.3">
      <c r="A2164" s="8">
        <v>2162</v>
      </c>
      <c r="B2164" s="8" t="s">
        <v>2303</v>
      </c>
      <c r="C2164" s="8" t="s">
        <v>4479</v>
      </c>
      <c r="D2164" s="8" t="s">
        <v>4480</v>
      </c>
      <c r="E2164" s="13">
        <v>0</v>
      </c>
      <c r="F2164" s="14">
        <v>0</v>
      </c>
    </row>
    <row r="2165" spans="1:6" x14ac:dyDescent="0.3">
      <c r="A2165" s="8">
        <v>2163</v>
      </c>
      <c r="B2165" s="8" t="s">
        <v>2303</v>
      </c>
      <c r="C2165" s="8" t="s">
        <v>4481</v>
      </c>
      <c r="D2165" s="8" t="s">
        <v>4482</v>
      </c>
      <c r="E2165" s="13">
        <v>104000</v>
      </c>
      <c r="F2165" s="14">
        <v>213889</v>
      </c>
    </row>
    <row r="2166" spans="1:6" x14ac:dyDescent="0.3">
      <c r="A2166" s="8">
        <v>2164</v>
      </c>
      <c r="B2166" s="8" t="s">
        <v>2303</v>
      </c>
      <c r="C2166" s="8" t="s">
        <v>4483</v>
      </c>
      <c r="D2166" s="8" t="s">
        <v>4484</v>
      </c>
      <c r="E2166" s="13">
        <v>0</v>
      </c>
      <c r="F2166" s="14">
        <v>0</v>
      </c>
    </row>
    <row r="2167" spans="1:6" x14ac:dyDescent="0.3">
      <c r="A2167" s="8">
        <v>2165</v>
      </c>
      <c r="B2167" s="8" t="s">
        <v>2303</v>
      </c>
      <c r="C2167" s="8" t="s">
        <v>4485</v>
      </c>
      <c r="D2167" s="8" t="s">
        <v>4486</v>
      </c>
      <c r="E2167" s="13">
        <v>70400</v>
      </c>
      <c r="F2167" s="14">
        <v>140741</v>
      </c>
    </row>
    <row r="2168" spans="1:6" x14ac:dyDescent="0.3">
      <c r="A2168" s="8">
        <v>2166</v>
      </c>
      <c r="B2168" s="8" t="s">
        <v>2303</v>
      </c>
      <c r="C2168" s="8" t="s">
        <v>4487</v>
      </c>
      <c r="D2168" s="8" t="s">
        <v>4488</v>
      </c>
      <c r="E2168" s="13">
        <v>33800</v>
      </c>
      <c r="F2168" s="14">
        <v>67593</v>
      </c>
    </row>
    <row r="2169" spans="1:6" x14ac:dyDescent="0.3">
      <c r="A2169" s="8">
        <v>2167</v>
      </c>
      <c r="B2169" s="8" t="s">
        <v>2792</v>
      </c>
      <c r="C2169" s="8" t="s">
        <v>4489</v>
      </c>
      <c r="D2169" s="8" t="s">
        <v>4490</v>
      </c>
      <c r="E2169" s="13">
        <v>0</v>
      </c>
      <c r="F2169" s="14">
        <v>0</v>
      </c>
    </row>
    <row r="2170" spans="1:6" x14ac:dyDescent="0.3">
      <c r="A2170" s="8">
        <v>2168</v>
      </c>
      <c r="B2170" s="8" t="s">
        <v>2792</v>
      </c>
      <c r="C2170" s="8" t="s">
        <v>4491</v>
      </c>
      <c r="D2170" s="8" t="s">
        <v>4492</v>
      </c>
      <c r="E2170" s="13">
        <v>1602000</v>
      </c>
      <c r="F2170" s="14">
        <v>3203704</v>
      </c>
    </row>
    <row r="2171" spans="1:6" x14ac:dyDescent="0.3">
      <c r="A2171" s="8">
        <v>2169</v>
      </c>
      <c r="B2171" s="8" t="s">
        <v>2792</v>
      </c>
      <c r="C2171" s="8" t="s">
        <v>4493</v>
      </c>
      <c r="D2171" s="8" t="s">
        <v>4494</v>
      </c>
      <c r="E2171" s="13">
        <v>0</v>
      </c>
      <c r="F2171" s="14">
        <v>0</v>
      </c>
    </row>
    <row r="2172" spans="1:6" x14ac:dyDescent="0.3">
      <c r="A2172" s="8">
        <v>2170</v>
      </c>
      <c r="B2172" s="8" t="s">
        <v>2792</v>
      </c>
      <c r="C2172" s="8" t="s">
        <v>4495</v>
      </c>
      <c r="D2172" s="8" t="s">
        <v>4496</v>
      </c>
      <c r="E2172" s="13">
        <v>0</v>
      </c>
      <c r="F2172" s="14">
        <v>0</v>
      </c>
    </row>
    <row r="2173" spans="1:6" x14ac:dyDescent="0.3">
      <c r="A2173" s="8">
        <v>2171</v>
      </c>
      <c r="B2173" s="8" t="s">
        <v>2792</v>
      </c>
      <c r="C2173" s="8" t="s">
        <v>4497</v>
      </c>
      <c r="D2173" s="8" t="s">
        <v>4498</v>
      </c>
      <c r="E2173" s="13">
        <v>0</v>
      </c>
      <c r="F2173" s="14">
        <v>0</v>
      </c>
    </row>
    <row r="2174" spans="1:6" x14ac:dyDescent="0.3">
      <c r="A2174" s="8">
        <v>2172</v>
      </c>
      <c r="B2174" s="8" t="s">
        <v>4148</v>
      </c>
      <c r="C2174" s="8" t="s">
        <v>4499</v>
      </c>
      <c r="D2174" s="8" t="s">
        <v>4500</v>
      </c>
      <c r="E2174" s="13">
        <v>41667</v>
      </c>
      <c r="F2174" s="14">
        <v>41667</v>
      </c>
    </row>
    <row r="2175" spans="1:6" x14ac:dyDescent="0.3">
      <c r="A2175" s="8">
        <v>2173</v>
      </c>
      <c r="B2175" s="8" t="s">
        <v>4148</v>
      </c>
      <c r="C2175" s="8" t="s">
        <v>4501</v>
      </c>
      <c r="D2175" s="8" t="s">
        <v>4502</v>
      </c>
      <c r="E2175" s="13">
        <v>0</v>
      </c>
      <c r="F2175" s="14">
        <v>973000</v>
      </c>
    </row>
    <row r="2176" spans="1:6" x14ac:dyDescent="0.3">
      <c r="A2176" s="8">
        <v>2174</v>
      </c>
      <c r="B2176" s="8" t="s">
        <v>4148</v>
      </c>
      <c r="C2176" s="8" t="s">
        <v>4503</v>
      </c>
      <c r="D2176" s="8" t="s">
        <v>4504</v>
      </c>
      <c r="E2176" s="13">
        <v>172000</v>
      </c>
      <c r="F2176" s="14">
        <v>296000</v>
      </c>
    </row>
    <row r="2177" spans="1:6" x14ac:dyDescent="0.3">
      <c r="A2177" s="8">
        <v>2175</v>
      </c>
      <c r="B2177" s="8" t="s">
        <v>4148</v>
      </c>
      <c r="C2177" s="8" t="s">
        <v>4505</v>
      </c>
      <c r="D2177" s="8" t="s">
        <v>4506</v>
      </c>
      <c r="E2177" s="13">
        <v>48500</v>
      </c>
      <c r="F2177" s="14">
        <v>97037</v>
      </c>
    </row>
    <row r="2178" spans="1:6" x14ac:dyDescent="0.3">
      <c r="A2178" s="8">
        <v>2176</v>
      </c>
      <c r="B2178" s="8" t="s">
        <v>4148</v>
      </c>
      <c r="C2178" s="8" t="s">
        <v>4507</v>
      </c>
      <c r="D2178" s="8" t="s">
        <v>4508</v>
      </c>
      <c r="E2178" s="13">
        <v>0</v>
      </c>
      <c r="F2178" s="14">
        <v>0</v>
      </c>
    </row>
    <row r="2179" spans="1:6" x14ac:dyDescent="0.3">
      <c r="A2179" s="8">
        <v>2177</v>
      </c>
      <c r="B2179" s="8" t="s">
        <v>4148</v>
      </c>
      <c r="C2179" s="8" t="s">
        <v>4509</v>
      </c>
      <c r="D2179" s="8" t="s">
        <v>4510</v>
      </c>
      <c r="E2179" s="13">
        <v>0</v>
      </c>
      <c r="F2179" s="14">
        <v>0</v>
      </c>
    </row>
    <row r="2180" spans="1:6" x14ac:dyDescent="0.3">
      <c r="A2180" s="8">
        <v>2178</v>
      </c>
      <c r="B2180" s="8" t="s">
        <v>4148</v>
      </c>
      <c r="C2180" s="8" t="s">
        <v>4511</v>
      </c>
      <c r="D2180" s="8" t="s">
        <v>4512</v>
      </c>
      <c r="E2180" s="13">
        <v>0</v>
      </c>
      <c r="F2180" s="14">
        <v>146000</v>
      </c>
    </row>
    <row r="2181" spans="1:6" x14ac:dyDescent="0.3">
      <c r="A2181" s="8">
        <v>2179</v>
      </c>
      <c r="B2181" s="8" t="s">
        <v>4148</v>
      </c>
      <c r="C2181" s="8" t="s">
        <v>4513</v>
      </c>
      <c r="D2181" s="8" t="s">
        <v>4514</v>
      </c>
      <c r="E2181" s="13">
        <v>0</v>
      </c>
      <c r="F2181" s="14">
        <v>162000</v>
      </c>
    </row>
    <row r="2182" spans="1:6" x14ac:dyDescent="0.3">
      <c r="A2182" s="8">
        <v>2180</v>
      </c>
      <c r="B2182" s="8" t="s">
        <v>4148</v>
      </c>
      <c r="C2182" s="8" t="s">
        <v>4515</v>
      </c>
      <c r="D2182" s="8" t="s">
        <v>4516</v>
      </c>
      <c r="E2182" s="13">
        <v>0</v>
      </c>
      <c r="F2182" s="14">
        <v>386000</v>
      </c>
    </row>
    <row r="2183" spans="1:6" x14ac:dyDescent="0.3">
      <c r="A2183" s="8">
        <v>2181</v>
      </c>
      <c r="B2183" s="8" t="s">
        <v>4148</v>
      </c>
      <c r="C2183" s="8" t="s">
        <v>4517</v>
      </c>
      <c r="D2183" s="8" t="s">
        <v>4518</v>
      </c>
      <c r="E2183" s="13">
        <v>82400</v>
      </c>
      <c r="F2183" s="14">
        <v>185185</v>
      </c>
    </row>
    <row r="2184" spans="1:6" x14ac:dyDescent="0.3">
      <c r="A2184" s="8">
        <v>2182</v>
      </c>
      <c r="B2184" s="8" t="s">
        <v>4148</v>
      </c>
      <c r="C2184" s="8" t="s">
        <v>4519</v>
      </c>
      <c r="D2184" s="8" t="s">
        <v>4520</v>
      </c>
      <c r="E2184" s="13">
        <v>66900</v>
      </c>
      <c r="F2184" s="14">
        <v>146000</v>
      </c>
    </row>
    <row r="2185" spans="1:6" x14ac:dyDescent="0.3">
      <c r="A2185" s="8">
        <v>2183</v>
      </c>
      <c r="B2185" s="8" t="s">
        <v>4148</v>
      </c>
      <c r="C2185" s="8" t="s">
        <v>4521</v>
      </c>
      <c r="D2185" s="8" t="s">
        <v>4522</v>
      </c>
      <c r="E2185" s="13">
        <v>77500</v>
      </c>
      <c r="F2185" s="14">
        <v>154630</v>
      </c>
    </row>
    <row r="2186" spans="1:6" x14ac:dyDescent="0.3">
      <c r="A2186" s="8">
        <v>2184</v>
      </c>
      <c r="B2186" s="8" t="s">
        <v>4148</v>
      </c>
      <c r="C2186" s="8" t="s">
        <v>4523</v>
      </c>
      <c r="D2186" s="8" t="s">
        <v>4524</v>
      </c>
      <c r="E2186" s="13">
        <v>77500</v>
      </c>
      <c r="F2186" s="14">
        <v>154630</v>
      </c>
    </row>
    <row r="2187" spans="1:6" x14ac:dyDescent="0.3">
      <c r="A2187" s="8">
        <v>2185</v>
      </c>
      <c r="B2187" s="8" t="s">
        <v>4148</v>
      </c>
      <c r="C2187" s="8" t="s">
        <v>4525</v>
      </c>
      <c r="D2187" s="8" t="s">
        <v>4526</v>
      </c>
      <c r="E2187" s="13">
        <v>0</v>
      </c>
      <c r="F2187" s="14">
        <v>0</v>
      </c>
    </row>
    <row r="2188" spans="1:6" x14ac:dyDescent="0.3">
      <c r="A2188" s="8">
        <v>2186</v>
      </c>
      <c r="B2188" s="8" t="s">
        <v>4148</v>
      </c>
      <c r="C2188" s="8" t="s">
        <v>4527</v>
      </c>
      <c r="D2188" s="8" t="s">
        <v>4528</v>
      </c>
      <c r="E2188" s="13">
        <v>0</v>
      </c>
      <c r="F2188" s="14">
        <v>0</v>
      </c>
    </row>
    <row r="2189" spans="1:6" x14ac:dyDescent="0.3">
      <c r="A2189" s="8">
        <v>2187</v>
      </c>
      <c r="B2189" s="8" t="s">
        <v>4148</v>
      </c>
      <c r="C2189" s="8" t="s">
        <v>4529</v>
      </c>
      <c r="D2189" s="8" t="s">
        <v>4530</v>
      </c>
      <c r="E2189" s="13">
        <v>0</v>
      </c>
      <c r="F2189" s="14">
        <v>0</v>
      </c>
    </row>
    <row r="2190" spans="1:6" x14ac:dyDescent="0.3">
      <c r="A2190" s="8">
        <v>2188</v>
      </c>
      <c r="B2190" s="8" t="s">
        <v>4148</v>
      </c>
      <c r="C2190" s="8" t="s">
        <v>4531</v>
      </c>
      <c r="D2190" s="8" t="s">
        <v>4532</v>
      </c>
      <c r="E2190" s="13">
        <v>83800</v>
      </c>
      <c r="F2190" s="14">
        <v>167593</v>
      </c>
    </row>
    <row r="2191" spans="1:6" x14ac:dyDescent="0.3">
      <c r="A2191" s="8">
        <v>2189</v>
      </c>
      <c r="B2191" s="8" t="s">
        <v>4148</v>
      </c>
      <c r="C2191" s="8" t="s">
        <v>4533</v>
      </c>
      <c r="D2191" s="8" t="s">
        <v>4534</v>
      </c>
      <c r="E2191" s="13">
        <v>485000</v>
      </c>
      <c r="F2191" s="14">
        <v>970370</v>
      </c>
    </row>
    <row r="2192" spans="1:6" x14ac:dyDescent="0.3">
      <c r="A2192" s="8">
        <v>2190</v>
      </c>
      <c r="B2192" s="8" t="s">
        <v>2792</v>
      </c>
      <c r="C2192" s="8" t="s">
        <v>4535</v>
      </c>
      <c r="D2192" s="8" t="s">
        <v>4536</v>
      </c>
      <c r="E2192" s="13">
        <v>0</v>
      </c>
      <c r="F2192" s="14">
        <v>0</v>
      </c>
    </row>
    <row r="2193" spans="1:6" x14ac:dyDescent="0.3">
      <c r="A2193" s="8">
        <v>2191</v>
      </c>
      <c r="B2193" s="8" t="s">
        <v>2792</v>
      </c>
      <c r="C2193" s="8" t="s">
        <v>4537</v>
      </c>
      <c r="D2193" s="8" t="s">
        <v>4538</v>
      </c>
      <c r="E2193" s="13">
        <v>0</v>
      </c>
      <c r="F2193" s="14">
        <v>2970000</v>
      </c>
    </row>
    <row r="2194" spans="1:6" x14ac:dyDescent="0.3">
      <c r="A2194" s="8">
        <v>2192</v>
      </c>
      <c r="B2194" s="8" t="s">
        <v>2792</v>
      </c>
      <c r="C2194" s="8" t="s">
        <v>4539</v>
      </c>
      <c r="D2194" s="8" t="s">
        <v>4540</v>
      </c>
      <c r="E2194" s="13">
        <v>0</v>
      </c>
      <c r="F2194" s="14">
        <v>3300000</v>
      </c>
    </row>
    <row r="2195" spans="1:6" x14ac:dyDescent="0.3">
      <c r="A2195" s="8">
        <v>2193</v>
      </c>
      <c r="B2195" s="8" t="s">
        <v>2792</v>
      </c>
      <c r="C2195" s="8" t="s">
        <v>4541</v>
      </c>
      <c r="D2195" s="8" t="s">
        <v>4542</v>
      </c>
      <c r="E2195" s="13">
        <v>0</v>
      </c>
      <c r="F2195" s="14">
        <v>0</v>
      </c>
    </row>
    <row r="2196" spans="1:6" x14ac:dyDescent="0.3">
      <c r="A2196" s="8">
        <v>2194</v>
      </c>
      <c r="B2196" s="8" t="s">
        <v>2792</v>
      </c>
      <c r="C2196" s="8" t="s">
        <v>4543</v>
      </c>
      <c r="D2196" s="8" t="s">
        <v>4544</v>
      </c>
      <c r="E2196" s="13">
        <v>0</v>
      </c>
      <c r="F2196" s="14">
        <v>0</v>
      </c>
    </row>
    <row r="2197" spans="1:6" x14ac:dyDescent="0.3">
      <c r="A2197" s="8">
        <v>2195</v>
      </c>
      <c r="B2197" s="8" t="s">
        <v>2792</v>
      </c>
      <c r="C2197" s="8" t="s">
        <v>4545</v>
      </c>
      <c r="D2197" s="8" t="s">
        <v>4546</v>
      </c>
      <c r="E2197" s="13">
        <v>0</v>
      </c>
      <c r="F2197" s="14">
        <v>2840000</v>
      </c>
    </row>
    <row r="2198" spans="1:6" x14ac:dyDescent="0.3">
      <c r="A2198" s="8">
        <v>2196</v>
      </c>
      <c r="B2198" s="8" t="s">
        <v>2792</v>
      </c>
      <c r="C2198" s="8" t="s">
        <v>4547</v>
      </c>
      <c r="D2198" s="8" t="s">
        <v>4548</v>
      </c>
      <c r="E2198" s="13">
        <v>630000</v>
      </c>
      <c r="F2198" s="14">
        <v>1260185</v>
      </c>
    </row>
    <row r="2199" spans="1:6" x14ac:dyDescent="0.3">
      <c r="A2199" s="8">
        <v>2197</v>
      </c>
      <c r="B2199" s="8" t="s">
        <v>2792</v>
      </c>
      <c r="C2199" s="8" t="s">
        <v>4549</v>
      </c>
      <c r="D2199" s="8" t="s">
        <v>4550</v>
      </c>
      <c r="E2199" s="13">
        <v>0</v>
      </c>
      <c r="F2199" s="14">
        <v>0</v>
      </c>
    </row>
    <row r="2200" spans="1:6" x14ac:dyDescent="0.3">
      <c r="A2200" s="8">
        <v>2198</v>
      </c>
      <c r="B2200" s="8" t="s">
        <v>2792</v>
      </c>
      <c r="C2200" s="8" t="s">
        <v>4551</v>
      </c>
      <c r="D2200" s="8" t="s">
        <v>4552</v>
      </c>
      <c r="E2200" s="13">
        <v>0</v>
      </c>
      <c r="F2200" s="14">
        <v>0</v>
      </c>
    </row>
    <row r="2201" spans="1:6" x14ac:dyDescent="0.3">
      <c r="A2201" s="8">
        <v>2199</v>
      </c>
      <c r="B2201" s="8" t="s">
        <v>2792</v>
      </c>
      <c r="C2201" s="8" t="s">
        <v>4553</v>
      </c>
      <c r="D2201" s="8" t="s">
        <v>4554</v>
      </c>
      <c r="E2201" s="13">
        <v>1980000</v>
      </c>
      <c r="F2201" s="14">
        <v>3960000</v>
      </c>
    </row>
    <row r="2202" spans="1:6" x14ac:dyDescent="0.3">
      <c r="A2202" s="8">
        <v>2200</v>
      </c>
      <c r="B2202" s="8" t="s">
        <v>2792</v>
      </c>
      <c r="C2202" s="8" t="s">
        <v>4555</v>
      </c>
      <c r="D2202" s="8" t="s">
        <v>4556</v>
      </c>
      <c r="E2202" s="13">
        <v>0</v>
      </c>
      <c r="F2202" s="14">
        <v>0</v>
      </c>
    </row>
    <row r="2203" spans="1:6" x14ac:dyDescent="0.3">
      <c r="A2203" s="8">
        <v>2201</v>
      </c>
      <c r="B2203" s="8" t="s">
        <v>2792</v>
      </c>
      <c r="C2203" s="8" t="s">
        <v>4557</v>
      </c>
      <c r="D2203" s="8" t="s">
        <v>4558</v>
      </c>
      <c r="E2203" s="13">
        <v>0</v>
      </c>
      <c r="F2203" s="14">
        <v>7000000</v>
      </c>
    </row>
    <row r="2204" spans="1:6" x14ac:dyDescent="0.3">
      <c r="A2204" s="8">
        <v>2202</v>
      </c>
      <c r="B2204" s="8" t="s">
        <v>2792</v>
      </c>
      <c r="C2204" s="8" t="s">
        <v>4559</v>
      </c>
      <c r="D2204" s="8" t="s">
        <v>4560</v>
      </c>
      <c r="E2204" s="13">
        <v>0</v>
      </c>
      <c r="F2204" s="14">
        <v>6800000</v>
      </c>
    </row>
    <row r="2205" spans="1:6" x14ac:dyDescent="0.3">
      <c r="A2205" s="8">
        <v>2203</v>
      </c>
      <c r="B2205" s="8" t="s">
        <v>2792</v>
      </c>
      <c r="C2205" s="8" t="s">
        <v>4561</v>
      </c>
      <c r="D2205" s="8" t="s">
        <v>4562</v>
      </c>
      <c r="E2205" s="13">
        <v>0</v>
      </c>
      <c r="F2205" s="14">
        <v>0</v>
      </c>
    </row>
    <row r="2206" spans="1:6" x14ac:dyDescent="0.3">
      <c r="A2206" s="8">
        <v>2204</v>
      </c>
      <c r="B2206" s="8" t="s">
        <v>2792</v>
      </c>
      <c r="C2206" s="8" t="s">
        <v>4563</v>
      </c>
      <c r="D2206" s="8" t="s">
        <v>4564</v>
      </c>
      <c r="E2206" s="13">
        <v>0</v>
      </c>
      <c r="F2206" s="14">
        <v>9500000</v>
      </c>
    </row>
    <row r="2207" spans="1:6" x14ac:dyDescent="0.3">
      <c r="A2207" s="8">
        <v>2205</v>
      </c>
      <c r="B2207" s="8" t="s">
        <v>2792</v>
      </c>
      <c r="C2207" s="8" t="s">
        <v>4565</v>
      </c>
      <c r="D2207" s="8" t="s">
        <v>4566</v>
      </c>
      <c r="E2207" s="13">
        <v>0</v>
      </c>
      <c r="F2207" s="14">
        <v>1800000</v>
      </c>
    </row>
    <row r="2208" spans="1:6" x14ac:dyDescent="0.3">
      <c r="A2208" s="8">
        <v>2206</v>
      </c>
      <c r="B2208" s="8" t="s">
        <v>2792</v>
      </c>
      <c r="C2208" s="8" t="s">
        <v>4567</v>
      </c>
      <c r="D2208" s="8" t="s">
        <v>4568</v>
      </c>
      <c r="E2208" s="13">
        <v>2371000</v>
      </c>
      <c r="F2208" s="14">
        <v>4741667</v>
      </c>
    </row>
    <row r="2209" spans="1:6" x14ac:dyDescent="0.3">
      <c r="A2209" s="8">
        <v>2207</v>
      </c>
      <c r="B2209" s="8" t="s">
        <v>2792</v>
      </c>
      <c r="C2209" s="8" t="s">
        <v>4569</v>
      </c>
      <c r="D2209" s="8" t="s">
        <v>4570</v>
      </c>
      <c r="E2209" s="13">
        <v>4983000</v>
      </c>
      <c r="F2209" s="14">
        <v>7910000</v>
      </c>
    </row>
    <row r="2210" spans="1:6" x14ac:dyDescent="0.3">
      <c r="A2210" s="8">
        <v>2208</v>
      </c>
      <c r="B2210" s="8" t="s">
        <v>2792</v>
      </c>
      <c r="C2210" s="8" t="s">
        <v>4571</v>
      </c>
      <c r="D2210" s="8" t="s">
        <v>4572</v>
      </c>
      <c r="E2210" s="13">
        <v>0</v>
      </c>
      <c r="F2210" s="14">
        <v>0</v>
      </c>
    </row>
    <row r="2211" spans="1:6" x14ac:dyDescent="0.3">
      <c r="A2211" s="8">
        <v>2209</v>
      </c>
      <c r="B2211" s="8" t="s">
        <v>2792</v>
      </c>
      <c r="C2211" s="8" t="s">
        <v>4573</v>
      </c>
      <c r="D2211" s="8" t="s">
        <v>4574</v>
      </c>
      <c r="E2211" s="13">
        <v>1236000</v>
      </c>
      <c r="F2211" s="14">
        <v>2472222</v>
      </c>
    </row>
    <row r="2212" spans="1:6" x14ac:dyDescent="0.3">
      <c r="A2212" s="8">
        <v>2210</v>
      </c>
      <c r="B2212" s="8" t="s">
        <v>2792</v>
      </c>
      <c r="C2212" s="8" t="s">
        <v>4575</v>
      </c>
      <c r="D2212" s="8" t="s">
        <v>4576</v>
      </c>
      <c r="E2212" s="13">
        <v>1008400</v>
      </c>
      <c r="F2212" s="14">
        <v>1685185</v>
      </c>
    </row>
    <row r="2213" spans="1:6" x14ac:dyDescent="0.3">
      <c r="A2213" s="8">
        <v>2211</v>
      </c>
      <c r="B2213" s="8" t="s">
        <v>2792</v>
      </c>
      <c r="C2213" s="8" t="s">
        <v>4577</v>
      </c>
      <c r="D2213" s="8" t="s">
        <v>4578</v>
      </c>
      <c r="E2213" s="13">
        <v>0</v>
      </c>
      <c r="F2213" s="14">
        <v>0</v>
      </c>
    </row>
    <row r="2214" spans="1:6" x14ac:dyDescent="0.3">
      <c r="A2214" s="8">
        <v>2212</v>
      </c>
      <c r="B2214" s="8" t="s">
        <v>2792</v>
      </c>
      <c r="C2214" s="8" t="s">
        <v>4579</v>
      </c>
      <c r="D2214" s="8" t="s">
        <v>4580</v>
      </c>
      <c r="E2214" s="13">
        <v>678000</v>
      </c>
      <c r="F2214" s="14">
        <v>1355556</v>
      </c>
    </row>
    <row r="2215" spans="1:6" x14ac:dyDescent="0.3">
      <c r="A2215" s="8">
        <v>2213</v>
      </c>
      <c r="B2215" s="8" t="s">
        <v>2792</v>
      </c>
      <c r="C2215" s="8" t="s">
        <v>4581</v>
      </c>
      <c r="D2215" s="8" t="s">
        <v>4582</v>
      </c>
      <c r="E2215" s="13">
        <v>0</v>
      </c>
      <c r="F2215" s="14">
        <v>0</v>
      </c>
    </row>
    <row r="2216" spans="1:6" x14ac:dyDescent="0.3">
      <c r="A2216" s="8">
        <v>2214</v>
      </c>
      <c r="B2216" s="8" t="s">
        <v>2792</v>
      </c>
      <c r="C2216" s="8" t="s">
        <v>4583</v>
      </c>
      <c r="D2216" s="8" t="s">
        <v>4584</v>
      </c>
      <c r="E2216" s="13">
        <v>0</v>
      </c>
      <c r="F2216" s="14">
        <v>3740000</v>
      </c>
    </row>
    <row r="2217" spans="1:6" x14ac:dyDescent="0.3">
      <c r="A2217" s="8">
        <v>2215</v>
      </c>
      <c r="B2217" s="8" t="s">
        <v>2792</v>
      </c>
      <c r="C2217" s="8" t="s">
        <v>4585</v>
      </c>
      <c r="D2217" s="8" t="s">
        <v>4586</v>
      </c>
      <c r="E2217" s="13">
        <v>0</v>
      </c>
      <c r="F2217" s="14">
        <v>2970000</v>
      </c>
    </row>
    <row r="2218" spans="1:6" x14ac:dyDescent="0.3">
      <c r="A2218" s="8">
        <v>2216</v>
      </c>
      <c r="B2218" s="8" t="s">
        <v>2792</v>
      </c>
      <c r="C2218" s="8" t="s">
        <v>4587</v>
      </c>
      <c r="D2218" s="8" t="s">
        <v>4588</v>
      </c>
      <c r="E2218" s="13">
        <v>0</v>
      </c>
      <c r="F2218" s="14">
        <v>0</v>
      </c>
    </row>
    <row r="2219" spans="1:6" x14ac:dyDescent="0.3">
      <c r="A2219" s="8">
        <v>2217</v>
      </c>
      <c r="B2219" s="8" t="s">
        <v>2792</v>
      </c>
      <c r="C2219" s="8" t="s">
        <v>4589</v>
      </c>
      <c r="D2219" s="8" t="s">
        <v>4590</v>
      </c>
      <c r="E2219" s="13">
        <v>0</v>
      </c>
      <c r="F2219" s="14">
        <v>0</v>
      </c>
    </row>
    <row r="2220" spans="1:6" x14ac:dyDescent="0.3">
      <c r="A2220" s="8">
        <v>2218</v>
      </c>
      <c r="B2220" s="8" t="s">
        <v>2792</v>
      </c>
      <c r="C2220" s="8" t="s">
        <v>4591</v>
      </c>
      <c r="D2220" s="8" t="s">
        <v>4592</v>
      </c>
      <c r="E2220" s="13">
        <v>2333000</v>
      </c>
      <c r="F2220" s="14">
        <v>4665741</v>
      </c>
    </row>
    <row r="2221" spans="1:6" x14ac:dyDescent="0.3">
      <c r="A2221" s="8">
        <v>2219</v>
      </c>
      <c r="B2221" s="8" t="s">
        <v>2792</v>
      </c>
      <c r="C2221" s="8" t="s">
        <v>4593</v>
      </c>
      <c r="D2221" s="8" t="s">
        <v>4594</v>
      </c>
      <c r="E2221" s="13">
        <v>0</v>
      </c>
      <c r="F2221" s="14">
        <v>0</v>
      </c>
    </row>
    <row r="2222" spans="1:6" x14ac:dyDescent="0.3">
      <c r="A2222" s="8">
        <v>2220</v>
      </c>
      <c r="B2222" s="8" t="s">
        <v>2792</v>
      </c>
      <c r="C2222" s="8" t="s">
        <v>4595</v>
      </c>
      <c r="D2222" s="8" t="s">
        <v>4596</v>
      </c>
      <c r="E2222" s="13">
        <v>0</v>
      </c>
      <c r="F2222" s="14">
        <v>4600000</v>
      </c>
    </row>
    <row r="2223" spans="1:6" x14ac:dyDescent="0.3">
      <c r="A2223" s="8">
        <v>2221</v>
      </c>
      <c r="B2223" s="8" t="s">
        <v>2792</v>
      </c>
      <c r="C2223" s="8" t="s">
        <v>4597</v>
      </c>
      <c r="D2223" s="8" t="s">
        <v>4598</v>
      </c>
      <c r="E2223" s="13">
        <v>0</v>
      </c>
      <c r="F2223" s="14">
        <v>6000000</v>
      </c>
    </row>
    <row r="2224" spans="1:6" x14ac:dyDescent="0.3">
      <c r="A2224" s="8">
        <v>2222</v>
      </c>
      <c r="B2224" s="8" t="s">
        <v>2792</v>
      </c>
      <c r="C2224" s="8" t="s">
        <v>4599</v>
      </c>
      <c r="D2224" s="8" t="s">
        <v>4600</v>
      </c>
      <c r="E2224" s="13">
        <v>0</v>
      </c>
      <c r="F2224" s="14">
        <v>8000000</v>
      </c>
    </row>
    <row r="2225" spans="1:6" x14ac:dyDescent="0.3">
      <c r="A2225" s="8">
        <v>2223</v>
      </c>
      <c r="B2225" s="8" t="s">
        <v>2792</v>
      </c>
      <c r="C2225" s="8" t="s">
        <v>4601</v>
      </c>
      <c r="D2225" s="8" t="s">
        <v>4602</v>
      </c>
      <c r="E2225" s="13">
        <v>1385200</v>
      </c>
      <c r="F2225" s="14">
        <v>2314545</v>
      </c>
    </row>
    <row r="2226" spans="1:6" x14ac:dyDescent="0.3">
      <c r="A2226" s="8">
        <v>2224</v>
      </c>
      <c r="B2226" s="8" t="s">
        <v>2792</v>
      </c>
      <c r="C2226" s="8" t="s">
        <v>4603</v>
      </c>
      <c r="D2226" s="8" t="s">
        <v>4604</v>
      </c>
      <c r="E2226" s="13">
        <v>1723000</v>
      </c>
      <c r="F2226" s="14">
        <v>2880000</v>
      </c>
    </row>
    <row r="2227" spans="1:6" x14ac:dyDescent="0.3">
      <c r="A2227" s="8">
        <v>2225</v>
      </c>
      <c r="B2227" s="8" t="s">
        <v>2792</v>
      </c>
      <c r="C2227" s="8" t="s">
        <v>4605</v>
      </c>
      <c r="D2227" s="8" t="s">
        <v>4606</v>
      </c>
      <c r="E2227" s="13">
        <v>0</v>
      </c>
      <c r="F2227" s="14">
        <v>0</v>
      </c>
    </row>
    <row r="2228" spans="1:6" x14ac:dyDescent="0.3">
      <c r="A2228" s="8">
        <v>2226</v>
      </c>
      <c r="B2228" s="8" t="s">
        <v>2792</v>
      </c>
      <c r="C2228" s="8" t="s">
        <v>4607</v>
      </c>
      <c r="D2228" s="8" t="s">
        <v>4608</v>
      </c>
      <c r="E2228" s="13">
        <v>1949000</v>
      </c>
      <c r="F2228" s="14">
        <v>3898148</v>
      </c>
    </row>
    <row r="2229" spans="1:6" x14ac:dyDescent="0.3">
      <c r="A2229" s="8">
        <v>2227</v>
      </c>
      <c r="B2229" s="8" t="s">
        <v>2792</v>
      </c>
      <c r="C2229" s="8" t="s">
        <v>4609</v>
      </c>
      <c r="D2229" s="8" t="s">
        <v>4610</v>
      </c>
      <c r="E2229" s="13">
        <v>0</v>
      </c>
      <c r="F2229" s="14">
        <v>0</v>
      </c>
    </row>
    <row r="2230" spans="1:6" x14ac:dyDescent="0.3">
      <c r="A2230" s="8">
        <v>2228</v>
      </c>
      <c r="B2230" s="8" t="s">
        <v>2792</v>
      </c>
      <c r="C2230" s="8" t="s">
        <v>4611</v>
      </c>
      <c r="D2230" s="8" t="s">
        <v>4612</v>
      </c>
      <c r="E2230" s="13">
        <v>0</v>
      </c>
      <c r="F2230" s="14">
        <v>0</v>
      </c>
    </row>
    <row r="2231" spans="1:6" x14ac:dyDescent="0.3">
      <c r="A2231" s="8">
        <v>2229</v>
      </c>
      <c r="B2231" s="8" t="s">
        <v>2792</v>
      </c>
      <c r="C2231" s="8" t="s">
        <v>4613</v>
      </c>
      <c r="D2231" s="8" t="s">
        <v>4614</v>
      </c>
      <c r="E2231" s="13">
        <v>0</v>
      </c>
      <c r="F2231" s="14">
        <v>0</v>
      </c>
    </row>
    <row r="2232" spans="1:6" x14ac:dyDescent="0.3">
      <c r="A2232" s="8">
        <v>2230</v>
      </c>
      <c r="B2232" s="8" t="s">
        <v>2792</v>
      </c>
      <c r="C2232" s="8" t="s">
        <v>4615</v>
      </c>
      <c r="D2232" s="8" t="s">
        <v>4616</v>
      </c>
      <c r="E2232" s="13">
        <v>0</v>
      </c>
      <c r="F2232" s="14">
        <v>0</v>
      </c>
    </row>
    <row r="2233" spans="1:6" x14ac:dyDescent="0.3">
      <c r="A2233" s="8">
        <v>2231</v>
      </c>
      <c r="B2233" s="8" t="s">
        <v>2792</v>
      </c>
      <c r="C2233" s="8" t="s">
        <v>4617</v>
      </c>
      <c r="D2233" s="8" t="s">
        <v>4618</v>
      </c>
      <c r="E2233" s="13">
        <v>0</v>
      </c>
      <c r="F2233" s="14">
        <v>0</v>
      </c>
    </row>
    <row r="2234" spans="1:6" x14ac:dyDescent="0.3">
      <c r="A2234" s="8">
        <v>2232</v>
      </c>
      <c r="B2234" s="8" t="s">
        <v>2792</v>
      </c>
      <c r="C2234" s="8" t="s">
        <v>4619</v>
      </c>
      <c r="D2234" s="8" t="s">
        <v>4620</v>
      </c>
      <c r="E2234" s="13">
        <v>0</v>
      </c>
      <c r="F2234" s="14">
        <v>0</v>
      </c>
    </row>
    <row r="2235" spans="1:6" x14ac:dyDescent="0.3">
      <c r="A2235" s="8">
        <v>2233</v>
      </c>
      <c r="B2235" s="8" t="s">
        <v>2792</v>
      </c>
      <c r="C2235" s="8" t="s">
        <v>4621</v>
      </c>
      <c r="D2235" s="8" t="s">
        <v>4622</v>
      </c>
      <c r="E2235" s="13">
        <v>0</v>
      </c>
      <c r="F2235" s="14">
        <v>0</v>
      </c>
    </row>
    <row r="2236" spans="1:6" x14ac:dyDescent="0.3">
      <c r="A2236" s="8">
        <v>2234</v>
      </c>
      <c r="B2236" s="8" t="s">
        <v>2792</v>
      </c>
      <c r="C2236" s="8" t="s">
        <v>4623</v>
      </c>
      <c r="D2236" s="8" t="s">
        <v>4624</v>
      </c>
      <c r="E2236" s="13">
        <v>0</v>
      </c>
      <c r="F2236" s="14">
        <v>0</v>
      </c>
    </row>
    <row r="2237" spans="1:6" x14ac:dyDescent="0.3">
      <c r="A2237" s="8">
        <v>2235</v>
      </c>
      <c r="B2237" s="8" t="s">
        <v>2792</v>
      </c>
      <c r="C2237" s="8" t="s">
        <v>4625</v>
      </c>
      <c r="D2237" s="8" t="s">
        <v>4626</v>
      </c>
      <c r="E2237" s="13">
        <v>0</v>
      </c>
      <c r="F2237" s="14">
        <v>1657407</v>
      </c>
    </row>
    <row r="2238" spans="1:6" x14ac:dyDescent="0.3">
      <c r="A2238" s="8">
        <v>2236</v>
      </c>
      <c r="B2238" s="8" t="s">
        <v>2792</v>
      </c>
      <c r="C2238" s="8" t="s">
        <v>4627</v>
      </c>
      <c r="D2238" s="8" t="s">
        <v>4628</v>
      </c>
      <c r="E2238" s="13">
        <v>0</v>
      </c>
      <c r="F2238" s="14">
        <v>5500000</v>
      </c>
    </row>
    <row r="2239" spans="1:6" x14ac:dyDescent="0.3">
      <c r="A2239" s="8">
        <v>2237</v>
      </c>
      <c r="B2239" s="8" t="s">
        <v>2792</v>
      </c>
      <c r="C2239" s="8" t="s">
        <v>4629</v>
      </c>
      <c r="D2239" s="8" t="s">
        <v>4630</v>
      </c>
      <c r="E2239" s="13">
        <v>0</v>
      </c>
      <c r="F2239" s="14">
        <v>0</v>
      </c>
    </row>
    <row r="2240" spans="1:6" x14ac:dyDescent="0.3">
      <c r="A2240" s="8">
        <v>2238</v>
      </c>
      <c r="B2240" s="8" t="s">
        <v>2792</v>
      </c>
      <c r="C2240" s="8" t="s">
        <v>4631</v>
      </c>
      <c r="D2240" s="8" t="s">
        <v>4632</v>
      </c>
      <c r="E2240" s="13">
        <v>0</v>
      </c>
      <c r="F2240" s="14">
        <v>0</v>
      </c>
    </row>
    <row r="2241" spans="1:6" x14ac:dyDescent="0.3">
      <c r="A2241" s="8">
        <v>2239</v>
      </c>
      <c r="B2241" s="8" t="s">
        <v>2792</v>
      </c>
      <c r="C2241" s="8" t="s">
        <v>4633</v>
      </c>
      <c r="D2241" s="8" t="s">
        <v>4634</v>
      </c>
      <c r="E2241" s="13">
        <v>0</v>
      </c>
      <c r="F2241" s="14">
        <v>0</v>
      </c>
    </row>
    <row r="2242" spans="1:6" x14ac:dyDescent="0.3">
      <c r="A2242" s="8">
        <v>2240</v>
      </c>
      <c r="B2242" s="8" t="s">
        <v>2792</v>
      </c>
      <c r="C2242" s="8" t="s">
        <v>4635</v>
      </c>
      <c r="D2242" s="8" t="s">
        <v>4636</v>
      </c>
      <c r="E2242" s="13">
        <v>0</v>
      </c>
      <c r="F2242" s="14">
        <v>0</v>
      </c>
    </row>
    <row r="2243" spans="1:6" x14ac:dyDescent="0.3">
      <c r="A2243" s="8">
        <v>2241</v>
      </c>
      <c r="B2243" s="8" t="s">
        <v>2792</v>
      </c>
      <c r="C2243" s="8" t="s">
        <v>4637</v>
      </c>
      <c r="D2243" s="8" t="s">
        <v>4638</v>
      </c>
      <c r="E2243" s="13">
        <v>0</v>
      </c>
      <c r="F2243" s="14">
        <v>0</v>
      </c>
    </row>
    <row r="2244" spans="1:6" x14ac:dyDescent="0.3">
      <c r="A2244" s="8">
        <v>2242</v>
      </c>
      <c r="B2244" s="8" t="s">
        <v>2792</v>
      </c>
      <c r="C2244" s="8" t="s">
        <v>4639</v>
      </c>
      <c r="D2244" s="8" t="s">
        <v>4640</v>
      </c>
      <c r="E2244" s="13">
        <v>0</v>
      </c>
      <c r="F2244" s="14">
        <v>0</v>
      </c>
    </row>
    <row r="2245" spans="1:6" x14ac:dyDescent="0.3">
      <c r="A2245" s="8">
        <v>2243</v>
      </c>
      <c r="B2245" s="8" t="s">
        <v>2792</v>
      </c>
      <c r="C2245" s="8" t="s">
        <v>4641</v>
      </c>
      <c r="D2245" s="8" t="s">
        <v>4642</v>
      </c>
      <c r="E2245" s="13">
        <v>0</v>
      </c>
      <c r="F2245" s="14">
        <v>0</v>
      </c>
    </row>
    <row r="2246" spans="1:6" x14ac:dyDescent="0.3">
      <c r="A2246" s="8">
        <v>2244</v>
      </c>
      <c r="B2246" s="8" t="s">
        <v>2792</v>
      </c>
      <c r="C2246" s="8" t="s">
        <v>4643</v>
      </c>
      <c r="D2246" s="8" t="s">
        <v>4644</v>
      </c>
      <c r="E2246" s="13">
        <v>155000</v>
      </c>
      <c r="F2246" s="14">
        <v>310185</v>
      </c>
    </row>
    <row r="2247" spans="1:6" x14ac:dyDescent="0.3">
      <c r="A2247" s="8">
        <v>2245</v>
      </c>
      <c r="B2247" s="8" t="s">
        <v>2792</v>
      </c>
      <c r="C2247" s="8" t="s">
        <v>4645</v>
      </c>
      <c r="D2247" s="8" t="s">
        <v>4646</v>
      </c>
      <c r="E2247" s="13">
        <v>0</v>
      </c>
      <c r="F2247" s="14">
        <v>0</v>
      </c>
    </row>
    <row r="2248" spans="1:6" x14ac:dyDescent="0.3">
      <c r="A2248" s="8">
        <v>2246</v>
      </c>
      <c r="B2248" s="8" t="s">
        <v>2792</v>
      </c>
      <c r="C2248" s="8" t="s">
        <v>4647</v>
      </c>
      <c r="D2248" s="8" t="s">
        <v>4648</v>
      </c>
      <c r="E2248" s="13">
        <v>0</v>
      </c>
      <c r="F2248" s="14">
        <v>0</v>
      </c>
    </row>
    <row r="2249" spans="1:6" x14ac:dyDescent="0.3">
      <c r="A2249" s="8">
        <v>2247</v>
      </c>
      <c r="B2249" s="8" t="s">
        <v>2792</v>
      </c>
      <c r="C2249" s="8" t="s">
        <v>4649</v>
      </c>
      <c r="D2249" s="8" t="s">
        <v>4650</v>
      </c>
      <c r="E2249" s="13">
        <v>0</v>
      </c>
      <c r="F2249" s="14">
        <v>0</v>
      </c>
    </row>
    <row r="2250" spans="1:6" x14ac:dyDescent="0.3">
      <c r="A2250" s="8">
        <v>2248</v>
      </c>
      <c r="B2250" s="8" t="s">
        <v>2792</v>
      </c>
      <c r="C2250" s="8" t="s">
        <v>4651</v>
      </c>
      <c r="D2250" s="8" t="s">
        <v>4652</v>
      </c>
      <c r="E2250" s="13">
        <v>0</v>
      </c>
      <c r="F2250" s="14">
        <v>0</v>
      </c>
    </row>
    <row r="2251" spans="1:6" x14ac:dyDescent="0.3">
      <c r="A2251" s="8">
        <v>2249</v>
      </c>
      <c r="B2251" s="8" t="s">
        <v>2792</v>
      </c>
      <c r="C2251" s="8" t="s">
        <v>4653</v>
      </c>
      <c r="D2251" s="8" t="s">
        <v>4654</v>
      </c>
      <c r="E2251" s="13">
        <v>0</v>
      </c>
      <c r="F2251" s="14">
        <v>0</v>
      </c>
    </row>
    <row r="2252" spans="1:6" x14ac:dyDescent="0.3">
      <c r="A2252" s="8">
        <v>2250</v>
      </c>
      <c r="B2252" s="8" t="s">
        <v>2792</v>
      </c>
      <c r="C2252" s="8" t="s">
        <v>4655</v>
      </c>
      <c r="D2252" s="8" t="s">
        <v>4656</v>
      </c>
      <c r="E2252" s="13">
        <v>0</v>
      </c>
      <c r="F2252" s="14">
        <v>0</v>
      </c>
    </row>
    <row r="2253" spans="1:6" x14ac:dyDescent="0.3">
      <c r="A2253" s="8">
        <v>2251</v>
      </c>
      <c r="B2253" s="8" t="s">
        <v>2792</v>
      </c>
      <c r="C2253" s="8" t="s">
        <v>4657</v>
      </c>
      <c r="D2253" s="8" t="s">
        <v>4658</v>
      </c>
      <c r="E2253" s="13">
        <v>0</v>
      </c>
      <c r="F2253" s="14">
        <v>0</v>
      </c>
    </row>
    <row r="2254" spans="1:6" x14ac:dyDescent="0.3">
      <c r="A2254" s="8">
        <v>2252</v>
      </c>
      <c r="B2254" s="8" t="s">
        <v>2792</v>
      </c>
      <c r="C2254" s="8" t="s">
        <v>4659</v>
      </c>
      <c r="D2254" s="8" t="s">
        <v>4660</v>
      </c>
      <c r="E2254" s="13">
        <v>0</v>
      </c>
      <c r="F2254" s="14">
        <v>0</v>
      </c>
    </row>
    <row r="2255" spans="1:6" x14ac:dyDescent="0.3">
      <c r="A2255" s="8">
        <v>2253</v>
      </c>
      <c r="B2255" s="8" t="s">
        <v>2792</v>
      </c>
      <c r="C2255" s="8" t="s">
        <v>4661</v>
      </c>
      <c r="D2255" s="8" t="s">
        <v>4662</v>
      </c>
      <c r="E2255" s="13">
        <v>0</v>
      </c>
      <c r="F2255" s="14">
        <v>0</v>
      </c>
    </row>
    <row r="2256" spans="1:6" x14ac:dyDescent="0.3">
      <c r="A2256" s="8">
        <v>2254</v>
      </c>
      <c r="B2256" s="8" t="s">
        <v>2792</v>
      </c>
      <c r="C2256" s="8" t="s">
        <v>4663</v>
      </c>
      <c r="D2256" s="8" t="s">
        <v>4664</v>
      </c>
      <c r="E2256" s="13">
        <v>0</v>
      </c>
      <c r="F2256" s="14">
        <v>0</v>
      </c>
    </row>
    <row r="2257" spans="1:6" x14ac:dyDescent="0.3">
      <c r="A2257" s="8">
        <v>2255</v>
      </c>
      <c r="B2257" s="8" t="s">
        <v>2792</v>
      </c>
      <c r="C2257" s="8" t="s">
        <v>4665</v>
      </c>
      <c r="D2257" s="8" t="s">
        <v>4666</v>
      </c>
      <c r="E2257" s="13">
        <v>0</v>
      </c>
      <c r="F2257" s="14">
        <v>0</v>
      </c>
    </row>
    <row r="2258" spans="1:6" x14ac:dyDescent="0.3">
      <c r="A2258" s="8">
        <v>2256</v>
      </c>
      <c r="B2258" s="8" t="s">
        <v>2792</v>
      </c>
      <c r="C2258" s="8" t="s">
        <v>4667</v>
      </c>
      <c r="D2258" s="8" t="s">
        <v>4668</v>
      </c>
      <c r="E2258" s="13">
        <v>0</v>
      </c>
      <c r="F2258" s="14">
        <v>0</v>
      </c>
    </row>
    <row r="2259" spans="1:6" x14ac:dyDescent="0.3">
      <c r="A2259" s="8">
        <v>2257</v>
      </c>
      <c r="B2259" s="8" t="s">
        <v>2792</v>
      </c>
      <c r="C2259" s="8" t="s">
        <v>4669</v>
      </c>
      <c r="D2259" s="8" t="s">
        <v>4670</v>
      </c>
      <c r="E2259" s="13">
        <v>0</v>
      </c>
      <c r="F2259" s="14">
        <v>0</v>
      </c>
    </row>
    <row r="2260" spans="1:6" x14ac:dyDescent="0.3">
      <c r="A2260" s="8">
        <v>2258</v>
      </c>
      <c r="B2260" s="8" t="s">
        <v>2792</v>
      </c>
      <c r="C2260" s="8" t="s">
        <v>4671</v>
      </c>
      <c r="D2260" s="8" t="s">
        <v>4672</v>
      </c>
      <c r="E2260" s="13">
        <v>0</v>
      </c>
      <c r="F2260" s="14">
        <v>0</v>
      </c>
    </row>
    <row r="2261" spans="1:6" x14ac:dyDescent="0.3">
      <c r="A2261" s="8">
        <v>2259</v>
      </c>
      <c r="B2261" s="8" t="s">
        <v>2792</v>
      </c>
      <c r="C2261" s="8" t="s">
        <v>4673</v>
      </c>
      <c r="D2261" s="8" t="s">
        <v>4674</v>
      </c>
      <c r="E2261" s="13">
        <v>0</v>
      </c>
      <c r="F2261" s="14">
        <v>0</v>
      </c>
    </row>
    <row r="2262" spans="1:6" x14ac:dyDescent="0.3">
      <c r="A2262" s="8">
        <v>2260</v>
      </c>
      <c r="B2262" s="8" t="s">
        <v>2792</v>
      </c>
      <c r="C2262" s="8" t="s">
        <v>4675</v>
      </c>
      <c r="D2262" s="8" t="s">
        <v>4676</v>
      </c>
      <c r="E2262" s="13">
        <v>0</v>
      </c>
      <c r="F2262" s="14">
        <v>6200000</v>
      </c>
    </row>
    <row r="2263" spans="1:6" x14ac:dyDescent="0.3">
      <c r="A2263" s="8">
        <v>2261</v>
      </c>
      <c r="B2263" s="8" t="s">
        <v>2792</v>
      </c>
      <c r="C2263" s="8" t="s">
        <v>4677</v>
      </c>
      <c r="D2263" s="8" t="s">
        <v>4678</v>
      </c>
      <c r="E2263" s="13">
        <v>645000</v>
      </c>
      <c r="F2263" s="14">
        <v>1289815</v>
      </c>
    </row>
    <row r="2264" spans="1:6" x14ac:dyDescent="0.3">
      <c r="A2264" s="8">
        <v>2262</v>
      </c>
      <c r="B2264" s="8" t="s">
        <v>2792</v>
      </c>
      <c r="C2264" s="8" t="s">
        <v>4679</v>
      </c>
      <c r="D2264" s="8" t="s">
        <v>4680</v>
      </c>
      <c r="E2264" s="13">
        <v>0</v>
      </c>
      <c r="F2264" s="14">
        <v>6040741</v>
      </c>
    </row>
    <row r="2265" spans="1:6" x14ac:dyDescent="0.3">
      <c r="A2265" s="8">
        <v>2263</v>
      </c>
      <c r="B2265" s="8" t="s">
        <v>2792</v>
      </c>
      <c r="C2265" s="8" t="s">
        <v>4681</v>
      </c>
      <c r="D2265" s="8" t="s">
        <v>4682</v>
      </c>
      <c r="E2265" s="13">
        <v>0</v>
      </c>
      <c r="F2265" s="14">
        <v>0</v>
      </c>
    </row>
    <row r="2266" spans="1:6" x14ac:dyDescent="0.3">
      <c r="A2266" s="8">
        <v>2264</v>
      </c>
      <c r="B2266" s="8" t="s">
        <v>2792</v>
      </c>
      <c r="C2266" s="8" t="s">
        <v>4683</v>
      </c>
      <c r="D2266" s="8" t="s">
        <v>4684</v>
      </c>
      <c r="E2266" s="13">
        <v>0</v>
      </c>
      <c r="F2266" s="14">
        <v>0</v>
      </c>
    </row>
    <row r="2267" spans="1:6" x14ac:dyDescent="0.3">
      <c r="A2267" s="8">
        <v>2265</v>
      </c>
      <c r="B2267" s="8" t="s">
        <v>2792</v>
      </c>
      <c r="C2267" s="8" t="s">
        <v>4685</v>
      </c>
      <c r="D2267" s="8" t="s">
        <v>4686</v>
      </c>
      <c r="E2267" s="13">
        <v>0</v>
      </c>
      <c r="F2267" s="14">
        <v>0</v>
      </c>
    </row>
    <row r="2268" spans="1:6" x14ac:dyDescent="0.3">
      <c r="A2268" s="8">
        <v>2266</v>
      </c>
      <c r="B2268" s="8" t="s">
        <v>2792</v>
      </c>
      <c r="C2268" s="8" t="s">
        <v>4687</v>
      </c>
      <c r="D2268" s="8" t="s">
        <v>4688</v>
      </c>
      <c r="E2268" s="13">
        <v>0</v>
      </c>
      <c r="F2268" s="14">
        <v>0</v>
      </c>
    </row>
    <row r="2269" spans="1:6" x14ac:dyDescent="0.3">
      <c r="A2269" s="8">
        <v>2267</v>
      </c>
      <c r="B2269" s="8" t="s">
        <v>2792</v>
      </c>
      <c r="C2269" s="8" t="s">
        <v>4689</v>
      </c>
      <c r="D2269" s="8" t="s">
        <v>4690</v>
      </c>
      <c r="E2269" s="13">
        <v>3146000</v>
      </c>
      <c r="F2269" s="14">
        <v>6291667</v>
      </c>
    </row>
    <row r="2270" spans="1:6" x14ac:dyDescent="0.3">
      <c r="A2270" s="8">
        <v>2268</v>
      </c>
      <c r="B2270" s="8" t="s">
        <v>2792</v>
      </c>
      <c r="C2270" s="8" t="s">
        <v>4691</v>
      </c>
      <c r="D2270" s="8" t="s">
        <v>4692</v>
      </c>
      <c r="E2270" s="13">
        <v>0</v>
      </c>
      <c r="F2270" s="14">
        <v>6040741</v>
      </c>
    </row>
    <row r="2271" spans="1:6" x14ac:dyDescent="0.3">
      <c r="A2271" s="8">
        <v>2269</v>
      </c>
      <c r="B2271" s="8" t="s">
        <v>2792</v>
      </c>
      <c r="C2271" s="8" t="s">
        <v>4693</v>
      </c>
      <c r="D2271" s="8" t="s">
        <v>4694</v>
      </c>
      <c r="E2271" s="13">
        <v>0</v>
      </c>
      <c r="F2271" s="14">
        <v>6000000</v>
      </c>
    </row>
    <row r="2272" spans="1:6" x14ac:dyDescent="0.3">
      <c r="A2272" s="8">
        <v>2270</v>
      </c>
      <c r="B2272" s="8" t="s">
        <v>2792</v>
      </c>
      <c r="C2272" s="8" t="s">
        <v>4695</v>
      </c>
      <c r="D2272" s="8" t="s">
        <v>4696</v>
      </c>
      <c r="E2272" s="13">
        <v>0</v>
      </c>
      <c r="F2272" s="14">
        <v>2730000</v>
      </c>
    </row>
    <row r="2273" spans="1:6" x14ac:dyDescent="0.3">
      <c r="A2273" s="8">
        <v>2271</v>
      </c>
      <c r="B2273" s="8" t="s">
        <v>2792</v>
      </c>
      <c r="C2273" s="8" t="s">
        <v>4697</v>
      </c>
      <c r="D2273" s="8" t="s">
        <v>4698</v>
      </c>
      <c r="E2273" s="13">
        <v>0</v>
      </c>
      <c r="F2273" s="14">
        <v>0</v>
      </c>
    </row>
    <row r="2274" spans="1:6" x14ac:dyDescent="0.3">
      <c r="A2274" s="8">
        <v>2272</v>
      </c>
      <c r="B2274" s="8" t="s">
        <v>2792</v>
      </c>
      <c r="C2274" s="8" t="s">
        <v>4699</v>
      </c>
      <c r="D2274" s="8" t="s">
        <v>4700</v>
      </c>
      <c r="E2274" s="13">
        <v>0</v>
      </c>
      <c r="F2274" s="14">
        <v>11000000</v>
      </c>
    </row>
    <row r="2275" spans="1:6" x14ac:dyDescent="0.3">
      <c r="A2275" s="8">
        <v>2273</v>
      </c>
      <c r="B2275" s="8" t="s">
        <v>2792</v>
      </c>
      <c r="C2275" s="8" t="s">
        <v>4701</v>
      </c>
      <c r="D2275" s="8" t="s">
        <v>4702</v>
      </c>
      <c r="E2275" s="13">
        <v>6313000</v>
      </c>
      <c r="F2275" s="14">
        <v>10020000</v>
      </c>
    </row>
    <row r="2276" spans="1:6" x14ac:dyDescent="0.3">
      <c r="A2276" s="8">
        <v>2274</v>
      </c>
      <c r="B2276" s="8" t="s">
        <v>2792</v>
      </c>
      <c r="C2276" s="8" t="s">
        <v>4703</v>
      </c>
      <c r="D2276" s="8" t="s">
        <v>4704</v>
      </c>
      <c r="E2276" s="13">
        <v>0</v>
      </c>
      <c r="F2276" s="14">
        <v>0</v>
      </c>
    </row>
    <row r="2277" spans="1:6" x14ac:dyDescent="0.3">
      <c r="A2277" s="8">
        <v>2275</v>
      </c>
      <c r="B2277" s="8" t="s">
        <v>2792</v>
      </c>
      <c r="C2277" s="8" t="s">
        <v>4705</v>
      </c>
      <c r="D2277" s="8" t="s">
        <v>4706</v>
      </c>
      <c r="E2277" s="13">
        <v>436000</v>
      </c>
      <c r="F2277" s="14">
        <v>872222</v>
      </c>
    </row>
    <row r="2278" spans="1:6" x14ac:dyDescent="0.3">
      <c r="A2278" s="8">
        <v>2276</v>
      </c>
      <c r="B2278" s="8" t="s">
        <v>2792</v>
      </c>
      <c r="C2278" s="8" t="s">
        <v>4707</v>
      </c>
      <c r="D2278" s="8" t="s">
        <v>4708</v>
      </c>
      <c r="E2278" s="13">
        <v>0</v>
      </c>
      <c r="F2278" s="14">
        <v>0</v>
      </c>
    </row>
    <row r="2279" spans="1:6" x14ac:dyDescent="0.3">
      <c r="A2279" s="8">
        <v>2277</v>
      </c>
      <c r="B2279" s="8" t="s">
        <v>2792</v>
      </c>
      <c r="C2279" s="8" t="s">
        <v>4709</v>
      </c>
      <c r="D2279" s="8" t="s">
        <v>4710</v>
      </c>
      <c r="E2279" s="13">
        <v>0</v>
      </c>
      <c r="F2279" s="14">
        <v>0</v>
      </c>
    </row>
    <row r="2280" spans="1:6" x14ac:dyDescent="0.3">
      <c r="A2280" s="8">
        <v>2278</v>
      </c>
      <c r="B2280" s="8" t="s">
        <v>2792</v>
      </c>
      <c r="C2280" s="8" t="s">
        <v>4711</v>
      </c>
      <c r="D2280" s="8" t="s">
        <v>4712</v>
      </c>
      <c r="E2280" s="13">
        <v>0</v>
      </c>
      <c r="F2280" s="14">
        <v>0</v>
      </c>
    </row>
    <row r="2281" spans="1:6" x14ac:dyDescent="0.3">
      <c r="A2281" s="8">
        <v>2279</v>
      </c>
      <c r="B2281" s="8" t="s">
        <v>2792</v>
      </c>
      <c r="C2281" s="8" t="s">
        <v>4713</v>
      </c>
      <c r="D2281" s="8" t="s">
        <v>4714</v>
      </c>
      <c r="E2281" s="13">
        <v>0</v>
      </c>
      <c r="F2281" s="14">
        <v>0</v>
      </c>
    </row>
    <row r="2282" spans="1:6" x14ac:dyDescent="0.3">
      <c r="A2282" s="8">
        <v>2280</v>
      </c>
      <c r="B2282" s="8" t="s">
        <v>2792</v>
      </c>
      <c r="C2282" s="8" t="s">
        <v>4715</v>
      </c>
      <c r="D2282" s="8" t="s">
        <v>4716</v>
      </c>
      <c r="E2282" s="13">
        <v>0</v>
      </c>
      <c r="F2282" s="14">
        <v>0</v>
      </c>
    </row>
    <row r="2283" spans="1:6" x14ac:dyDescent="0.3">
      <c r="A2283" s="8">
        <v>2281</v>
      </c>
      <c r="B2283" s="8" t="s">
        <v>2792</v>
      </c>
      <c r="C2283" s="8" t="s">
        <v>4717</v>
      </c>
      <c r="D2283" s="8" t="s">
        <v>4718</v>
      </c>
      <c r="E2283" s="13">
        <v>0</v>
      </c>
      <c r="F2283" s="14">
        <v>0</v>
      </c>
    </row>
    <row r="2284" spans="1:6" x14ac:dyDescent="0.3">
      <c r="A2284" s="8">
        <v>2282</v>
      </c>
      <c r="B2284" s="8" t="s">
        <v>2792</v>
      </c>
      <c r="C2284" s="8" t="s">
        <v>4719</v>
      </c>
      <c r="D2284" s="8" t="s">
        <v>4720</v>
      </c>
      <c r="E2284" s="13">
        <v>0</v>
      </c>
      <c r="F2284" s="14">
        <v>0</v>
      </c>
    </row>
    <row r="2285" spans="1:6" x14ac:dyDescent="0.3">
      <c r="A2285" s="8">
        <v>2283</v>
      </c>
      <c r="B2285" s="8" t="s">
        <v>2300</v>
      </c>
      <c r="C2285" s="8" t="s">
        <v>4721</v>
      </c>
      <c r="D2285" s="8" t="s">
        <v>4722</v>
      </c>
      <c r="E2285" s="13">
        <v>92000</v>
      </c>
      <c r="F2285" s="14">
        <v>183333</v>
      </c>
    </row>
    <row r="2286" spans="1:6" x14ac:dyDescent="0.3">
      <c r="A2286" s="8">
        <v>2284</v>
      </c>
      <c r="B2286" s="8" t="s">
        <v>2303</v>
      </c>
      <c r="C2286" s="8" t="s">
        <v>4723</v>
      </c>
      <c r="D2286" s="8" t="s">
        <v>4724</v>
      </c>
      <c r="E2286" s="13">
        <v>27460</v>
      </c>
      <c r="F2286" s="14">
        <v>47000</v>
      </c>
    </row>
    <row r="2287" spans="1:6" x14ac:dyDescent="0.3">
      <c r="A2287" s="8">
        <v>2285</v>
      </c>
      <c r="B2287" s="8" t="s">
        <v>2303</v>
      </c>
      <c r="C2287" s="8" t="s">
        <v>4725</v>
      </c>
      <c r="D2287" s="8" t="s">
        <v>4726</v>
      </c>
      <c r="E2287" s="13">
        <v>48000</v>
      </c>
      <c r="F2287" s="14">
        <v>96019</v>
      </c>
    </row>
    <row r="2288" spans="1:6" x14ac:dyDescent="0.3">
      <c r="A2288" s="8">
        <v>2286</v>
      </c>
      <c r="B2288" s="8" t="s">
        <v>2303</v>
      </c>
      <c r="C2288" s="8" t="s">
        <v>4727</v>
      </c>
      <c r="D2288" s="8" t="s">
        <v>4728</v>
      </c>
      <c r="E2288" s="13">
        <v>87500</v>
      </c>
      <c r="F2288" s="14">
        <v>175000</v>
      </c>
    </row>
    <row r="2289" spans="1:6" x14ac:dyDescent="0.3">
      <c r="A2289" s="8">
        <v>2287</v>
      </c>
      <c r="B2289" s="8" t="s">
        <v>2303</v>
      </c>
      <c r="C2289" s="8" t="s">
        <v>4729</v>
      </c>
      <c r="D2289" s="8" t="s">
        <v>4730</v>
      </c>
      <c r="E2289" s="13">
        <v>33800</v>
      </c>
      <c r="F2289" s="14">
        <v>67593</v>
      </c>
    </row>
    <row r="2290" spans="1:6" x14ac:dyDescent="0.3">
      <c r="A2290" s="8">
        <v>2288</v>
      </c>
      <c r="B2290" s="8" t="s">
        <v>2303</v>
      </c>
      <c r="C2290" s="8" t="s">
        <v>4731</v>
      </c>
      <c r="D2290" s="8" t="s">
        <v>4732</v>
      </c>
      <c r="E2290" s="13">
        <v>84600</v>
      </c>
      <c r="F2290" s="14">
        <v>179630</v>
      </c>
    </row>
    <row r="2291" spans="1:6" x14ac:dyDescent="0.3">
      <c r="A2291" s="8">
        <v>2289</v>
      </c>
      <c r="B2291" s="8" t="s">
        <v>2303</v>
      </c>
      <c r="C2291" s="8" t="s">
        <v>4733</v>
      </c>
      <c r="D2291" s="8" t="s">
        <v>4734</v>
      </c>
      <c r="E2291" s="13">
        <v>0</v>
      </c>
      <c r="F2291" s="14">
        <v>0</v>
      </c>
    </row>
    <row r="2292" spans="1:6" x14ac:dyDescent="0.3">
      <c r="A2292" s="8">
        <v>2290</v>
      </c>
      <c r="B2292" s="8" t="s">
        <v>2303</v>
      </c>
      <c r="C2292" s="8" t="s">
        <v>4735</v>
      </c>
      <c r="D2292" s="8" t="s">
        <v>4736</v>
      </c>
      <c r="E2292" s="13">
        <v>0</v>
      </c>
      <c r="F2292" s="14">
        <v>0</v>
      </c>
    </row>
    <row r="2293" spans="1:6" x14ac:dyDescent="0.3">
      <c r="A2293" s="8">
        <v>2291</v>
      </c>
      <c r="B2293" s="8" t="s">
        <v>2303</v>
      </c>
      <c r="C2293" s="8" t="s">
        <v>4737</v>
      </c>
      <c r="D2293" s="8" t="s">
        <v>4738</v>
      </c>
      <c r="E2293" s="13">
        <v>0</v>
      </c>
      <c r="F2293" s="14">
        <v>0</v>
      </c>
    </row>
    <row r="2294" spans="1:6" x14ac:dyDescent="0.3">
      <c r="A2294" s="8">
        <v>2292</v>
      </c>
      <c r="B2294" s="8" t="s">
        <v>2303</v>
      </c>
      <c r="C2294" s="8" t="s">
        <v>4739</v>
      </c>
      <c r="D2294" s="8" t="s">
        <v>4740</v>
      </c>
      <c r="E2294" s="13">
        <v>29400</v>
      </c>
      <c r="F2294" s="14">
        <v>59259</v>
      </c>
    </row>
    <row r="2295" spans="1:6" x14ac:dyDescent="0.3">
      <c r="A2295" s="8">
        <v>2293</v>
      </c>
      <c r="B2295" s="8" t="s">
        <v>2303</v>
      </c>
      <c r="C2295" s="8" t="s">
        <v>4741</v>
      </c>
      <c r="D2295" s="8" t="s">
        <v>4742</v>
      </c>
      <c r="E2295" s="13">
        <v>54000</v>
      </c>
      <c r="F2295" s="14">
        <v>108333</v>
      </c>
    </row>
    <row r="2296" spans="1:6" x14ac:dyDescent="0.3">
      <c r="A2296" s="8">
        <v>2294</v>
      </c>
      <c r="B2296" s="8" t="s">
        <v>2303</v>
      </c>
      <c r="C2296" s="8" t="s">
        <v>4743</v>
      </c>
      <c r="D2296" s="8" t="s">
        <v>4744</v>
      </c>
      <c r="E2296" s="13">
        <v>133000</v>
      </c>
      <c r="F2296" s="14">
        <v>265741</v>
      </c>
    </row>
    <row r="2297" spans="1:6" x14ac:dyDescent="0.3">
      <c r="A2297" s="8">
        <v>2295</v>
      </c>
      <c r="B2297" s="8" t="s">
        <v>2303</v>
      </c>
      <c r="C2297" s="8" t="s">
        <v>4745</v>
      </c>
      <c r="D2297" s="8" t="s">
        <v>4746</v>
      </c>
      <c r="E2297" s="13">
        <v>0</v>
      </c>
      <c r="F2297" s="14">
        <v>0</v>
      </c>
    </row>
    <row r="2298" spans="1:6" x14ac:dyDescent="0.3">
      <c r="A2298" s="8">
        <v>2296</v>
      </c>
      <c r="B2298" s="8" t="s">
        <v>2303</v>
      </c>
      <c r="C2298" s="8" t="s">
        <v>4747</v>
      </c>
      <c r="D2298" s="8" t="s">
        <v>4748</v>
      </c>
      <c r="E2298" s="13">
        <v>0</v>
      </c>
      <c r="F2298" s="14">
        <v>0</v>
      </c>
    </row>
    <row r="2299" spans="1:6" x14ac:dyDescent="0.3">
      <c r="A2299" s="8">
        <v>2297</v>
      </c>
      <c r="B2299" s="8" t="s">
        <v>2303</v>
      </c>
      <c r="C2299" s="8" t="s">
        <v>4749</v>
      </c>
      <c r="D2299" s="8" t="s">
        <v>4750</v>
      </c>
      <c r="E2299" s="13">
        <v>143000</v>
      </c>
      <c r="F2299" s="14">
        <v>286111</v>
      </c>
    </row>
    <row r="2300" spans="1:6" x14ac:dyDescent="0.3">
      <c r="A2300" s="8">
        <v>2298</v>
      </c>
      <c r="B2300" s="8" t="s">
        <v>2303</v>
      </c>
      <c r="C2300" s="8" t="s">
        <v>4751</v>
      </c>
      <c r="D2300" s="8" t="s">
        <v>4752</v>
      </c>
      <c r="E2300" s="13">
        <v>23000</v>
      </c>
      <c r="F2300" s="14">
        <v>46019</v>
      </c>
    </row>
    <row r="2301" spans="1:6" x14ac:dyDescent="0.3">
      <c r="A2301" s="8">
        <v>2299</v>
      </c>
      <c r="B2301" s="8" t="s">
        <v>2303</v>
      </c>
      <c r="C2301" s="8" t="s">
        <v>4753</v>
      </c>
      <c r="D2301" s="8" t="s">
        <v>4754</v>
      </c>
      <c r="E2301" s="13">
        <v>0</v>
      </c>
      <c r="F2301" s="14">
        <v>0</v>
      </c>
    </row>
    <row r="2302" spans="1:6" x14ac:dyDescent="0.3">
      <c r="A2302" s="8">
        <v>2300</v>
      </c>
      <c r="B2302" s="8" t="s">
        <v>2303</v>
      </c>
      <c r="C2302" s="8" t="s">
        <v>4755</v>
      </c>
      <c r="D2302" s="8" t="s">
        <v>4756</v>
      </c>
      <c r="E2302" s="13">
        <v>0</v>
      </c>
      <c r="F2302" s="14">
        <v>0</v>
      </c>
    </row>
    <row r="2303" spans="1:6" x14ac:dyDescent="0.3">
      <c r="A2303" s="8">
        <v>2301</v>
      </c>
      <c r="B2303" s="8" t="s">
        <v>2303</v>
      </c>
      <c r="C2303" s="8" t="s">
        <v>4757</v>
      </c>
      <c r="D2303" s="8" t="s">
        <v>4758</v>
      </c>
      <c r="E2303" s="13">
        <v>48400</v>
      </c>
      <c r="F2303" s="14">
        <v>96759</v>
      </c>
    </row>
    <row r="2304" spans="1:6" x14ac:dyDescent="0.3">
      <c r="A2304" s="8">
        <v>2302</v>
      </c>
      <c r="B2304" s="8" t="s">
        <v>2303</v>
      </c>
      <c r="C2304" s="8" t="s">
        <v>4759</v>
      </c>
      <c r="D2304" s="8" t="s">
        <v>4760</v>
      </c>
      <c r="E2304" s="13">
        <v>0</v>
      </c>
      <c r="F2304" s="14">
        <v>0</v>
      </c>
    </row>
    <row r="2305" spans="1:6" x14ac:dyDescent="0.3">
      <c r="A2305" s="8">
        <v>2303</v>
      </c>
      <c r="B2305" s="8" t="s">
        <v>2303</v>
      </c>
      <c r="C2305" s="8" t="s">
        <v>4761</v>
      </c>
      <c r="D2305" s="8" t="s">
        <v>4762</v>
      </c>
      <c r="E2305" s="13">
        <v>63100</v>
      </c>
      <c r="F2305" s="14">
        <v>125926</v>
      </c>
    </row>
    <row r="2306" spans="1:6" x14ac:dyDescent="0.3">
      <c r="A2306" s="8">
        <v>2304</v>
      </c>
      <c r="B2306" s="8" t="s">
        <v>2303</v>
      </c>
      <c r="C2306" s="8" t="s">
        <v>4763</v>
      </c>
      <c r="D2306" s="8" t="s">
        <v>4764</v>
      </c>
      <c r="E2306" s="13">
        <v>0</v>
      </c>
      <c r="F2306" s="14">
        <v>0</v>
      </c>
    </row>
    <row r="2307" spans="1:6" x14ac:dyDescent="0.3">
      <c r="A2307" s="8">
        <v>2305</v>
      </c>
      <c r="B2307" s="8" t="s">
        <v>2303</v>
      </c>
      <c r="C2307" s="8" t="s">
        <v>4765</v>
      </c>
      <c r="D2307" s="8" t="s">
        <v>4766</v>
      </c>
      <c r="E2307" s="13">
        <v>0</v>
      </c>
      <c r="F2307" s="14">
        <v>0</v>
      </c>
    </row>
    <row r="2308" spans="1:6" x14ac:dyDescent="0.3">
      <c r="A2308" s="8">
        <v>2306</v>
      </c>
      <c r="B2308" s="8" t="s">
        <v>2303</v>
      </c>
      <c r="C2308" s="8" t="s">
        <v>4767</v>
      </c>
      <c r="D2308" s="8" t="s">
        <v>4768</v>
      </c>
      <c r="E2308" s="13">
        <v>0</v>
      </c>
      <c r="F2308" s="14">
        <v>0</v>
      </c>
    </row>
    <row r="2309" spans="1:6" x14ac:dyDescent="0.3">
      <c r="A2309" s="8">
        <v>2307</v>
      </c>
      <c r="B2309" s="8" t="s">
        <v>2303</v>
      </c>
      <c r="C2309" s="8" t="s">
        <v>4769</v>
      </c>
      <c r="D2309" s="8" t="s">
        <v>4770</v>
      </c>
      <c r="E2309" s="13">
        <v>84600</v>
      </c>
      <c r="F2309" s="14">
        <v>169444</v>
      </c>
    </row>
    <row r="2310" spans="1:6" x14ac:dyDescent="0.3">
      <c r="A2310" s="8">
        <v>2308</v>
      </c>
      <c r="B2310" s="8" t="s">
        <v>2303</v>
      </c>
      <c r="C2310" s="8" t="s">
        <v>4771</v>
      </c>
      <c r="D2310" s="8" t="s">
        <v>4772</v>
      </c>
      <c r="E2310" s="13">
        <v>63000</v>
      </c>
      <c r="F2310" s="14">
        <v>132407</v>
      </c>
    </row>
    <row r="2311" spans="1:6" x14ac:dyDescent="0.3">
      <c r="A2311" s="8">
        <v>2309</v>
      </c>
      <c r="B2311" s="8" t="s">
        <v>2303</v>
      </c>
      <c r="C2311" s="8" t="s">
        <v>4773</v>
      </c>
      <c r="D2311" s="8" t="s">
        <v>4774</v>
      </c>
      <c r="E2311" s="13">
        <v>133000</v>
      </c>
      <c r="F2311" s="14">
        <v>265741</v>
      </c>
    </row>
    <row r="2312" spans="1:6" x14ac:dyDescent="0.3">
      <c r="A2312" s="8">
        <v>2310</v>
      </c>
      <c r="B2312" s="8" t="s">
        <v>2303</v>
      </c>
      <c r="C2312" s="8" t="s">
        <v>4775</v>
      </c>
      <c r="D2312" s="8" t="s">
        <v>4776</v>
      </c>
      <c r="E2312" s="13">
        <v>38000</v>
      </c>
      <c r="F2312" s="14">
        <v>76019</v>
      </c>
    </row>
    <row r="2313" spans="1:6" x14ac:dyDescent="0.3">
      <c r="A2313" s="8">
        <v>2311</v>
      </c>
      <c r="B2313" s="8" t="s">
        <v>2303</v>
      </c>
      <c r="C2313" s="8" t="s">
        <v>4777</v>
      </c>
      <c r="D2313" s="8" t="s">
        <v>4778</v>
      </c>
      <c r="E2313" s="13">
        <v>48000</v>
      </c>
      <c r="F2313" s="14">
        <v>96019</v>
      </c>
    </row>
    <row r="2314" spans="1:6" x14ac:dyDescent="0.3">
      <c r="A2314" s="8">
        <v>2312</v>
      </c>
      <c r="B2314" s="8" t="s">
        <v>2303</v>
      </c>
      <c r="C2314" s="8" t="s">
        <v>4779</v>
      </c>
      <c r="D2314" s="8" t="s">
        <v>4780</v>
      </c>
      <c r="E2314" s="13">
        <v>133000</v>
      </c>
      <c r="F2314" s="14">
        <v>265741</v>
      </c>
    </row>
    <row r="2315" spans="1:6" x14ac:dyDescent="0.3">
      <c r="A2315" s="8">
        <v>2313</v>
      </c>
      <c r="B2315" s="8" t="s">
        <v>2303</v>
      </c>
      <c r="C2315" s="8" t="s">
        <v>4781</v>
      </c>
      <c r="D2315" s="8" t="s">
        <v>4782</v>
      </c>
      <c r="E2315" s="13">
        <v>63100</v>
      </c>
      <c r="F2315" s="14">
        <v>125926</v>
      </c>
    </row>
    <row r="2316" spans="1:6" x14ac:dyDescent="0.3">
      <c r="A2316" s="8">
        <v>2314</v>
      </c>
      <c r="B2316" s="8" t="s">
        <v>2303</v>
      </c>
      <c r="C2316" s="8" t="s">
        <v>4783</v>
      </c>
      <c r="D2316" s="8" t="s">
        <v>4784</v>
      </c>
      <c r="E2316" s="13">
        <v>63100</v>
      </c>
      <c r="F2316" s="14">
        <v>125926</v>
      </c>
    </row>
    <row r="2317" spans="1:6" x14ac:dyDescent="0.3">
      <c r="A2317" s="8">
        <v>2315</v>
      </c>
      <c r="B2317" s="8" t="s">
        <v>2303</v>
      </c>
      <c r="C2317" s="8" t="s">
        <v>4785</v>
      </c>
      <c r="D2317" s="8" t="s">
        <v>4786</v>
      </c>
      <c r="E2317" s="13">
        <v>133000</v>
      </c>
      <c r="F2317" s="14">
        <v>265741</v>
      </c>
    </row>
    <row r="2318" spans="1:6" x14ac:dyDescent="0.3">
      <c r="A2318" s="8">
        <v>2316</v>
      </c>
      <c r="B2318" s="8" t="s">
        <v>2792</v>
      </c>
      <c r="C2318" s="8" t="s">
        <v>4787</v>
      </c>
      <c r="D2318" s="8" t="s">
        <v>4788</v>
      </c>
      <c r="E2318" s="13">
        <v>1319000</v>
      </c>
      <c r="F2318" s="14">
        <v>2637963</v>
      </c>
    </row>
    <row r="2319" spans="1:6" x14ac:dyDescent="0.3">
      <c r="A2319" s="8">
        <v>2317</v>
      </c>
      <c r="B2319" s="8" t="s">
        <v>2792</v>
      </c>
      <c r="C2319" s="8" t="s">
        <v>4789</v>
      </c>
      <c r="D2319" s="8" t="s">
        <v>4790</v>
      </c>
      <c r="E2319" s="13">
        <v>1611000</v>
      </c>
      <c r="F2319" s="14">
        <v>3222222</v>
      </c>
    </row>
    <row r="2320" spans="1:6" x14ac:dyDescent="0.3">
      <c r="A2320" s="8">
        <v>2318</v>
      </c>
      <c r="B2320" s="8" t="s">
        <v>2792</v>
      </c>
      <c r="C2320" s="8" t="s">
        <v>4791</v>
      </c>
      <c r="D2320" s="8" t="s">
        <v>4792</v>
      </c>
      <c r="E2320" s="13">
        <v>874000</v>
      </c>
      <c r="F2320" s="14">
        <v>1748148</v>
      </c>
    </row>
    <row r="2321" spans="1:6" x14ac:dyDescent="0.3">
      <c r="A2321" s="8">
        <v>2319</v>
      </c>
      <c r="B2321" s="8" t="s">
        <v>2792</v>
      </c>
      <c r="C2321" s="8" t="s">
        <v>4793</v>
      </c>
      <c r="D2321" s="8" t="s">
        <v>4794</v>
      </c>
      <c r="E2321" s="13">
        <v>130000</v>
      </c>
      <c r="F2321" s="14">
        <v>260185</v>
      </c>
    </row>
    <row r="2322" spans="1:6" x14ac:dyDescent="0.3">
      <c r="A2322" s="8">
        <v>2320</v>
      </c>
      <c r="B2322" s="8" t="s">
        <v>2792</v>
      </c>
      <c r="C2322" s="8" t="s">
        <v>4795</v>
      </c>
      <c r="D2322" s="8" t="s">
        <v>4796</v>
      </c>
      <c r="E2322" s="13">
        <v>0</v>
      </c>
      <c r="F2322" s="14">
        <v>3050000</v>
      </c>
    </row>
    <row r="2323" spans="1:6" x14ac:dyDescent="0.3">
      <c r="A2323" s="8">
        <v>2321</v>
      </c>
      <c r="B2323" s="8" t="s">
        <v>2792</v>
      </c>
      <c r="C2323" s="8" t="s">
        <v>4797</v>
      </c>
      <c r="D2323" s="8" t="s">
        <v>4798</v>
      </c>
      <c r="E2323" s="13">
        <v>0</v>
      </c>
      <c r="F2323" s="14">
        <v>3150000</v>
      </c>
    </row>
    <row r="2324" spans="1:6" x14ac:dyDescent="0.3">
      <c r="A2324" s="8">
        <v>2322</v>
      </c>
      <c r="B2324" s="8" t="s">
        <v>2792</v>
      </c>
      <c r="C2324" s="8" t="s">
        <v>4799</v>
      </c>
      <c r="D2324" s="8" t="s">
        <v>4800</v>
      </c>
      <c r="E2324" s="13">
        <v>0</v>
      </c>
      <c r="F2324" s="14">
        <v>3190000</v>
      </c>
    </row>
    <row r="2325" spans="1:6" x14ac:dyDescent="0.3">
      <c r="A2325" s="8">
        <v>2323</v>
      </c>
      <c r="B2325" s="8" t="s">
        <v>2792</v>
      </c>
      <c r="C2325" s="8" t="s">
        <v>4801</v>
      </c>
      <c r="D2325" s="8" t="s">
        <v>4802</v>
      </c>
      <c r="E2325" s="13">
        <v>1240000</v>
      </c>
      <c r="F2325" s="14">
        <v>2479630</v>
      </c>
    </row>
    <row r="2326" spans="1:6" x14ac:dyDescent="0.3">
      <c r="A2326" s="8">
        <v>2324</v>
      </c>
      <c r="B2326" s="8" t="s">
        <v>2792</v>
      </c>
      <c r="C2326" s="8" t="s">
        <v>4803</v>
      </c>
      <c r="D2326" s="8" t="s">
        <v>4804</v>
      </c>
      <c r="E2326" s="13">
        <v>3291000</v>
      </c>
      <c r="F2326" s="14">
        <v>5500000</v>
      </c>
    </row>
    <row r="2327" spans="1:6" x14ac:dyDescent="0.3">
      <c r="A2327" s="8">
        <v>2325</v>
      </c>
      <c r="B2327" s="8" t="s">
        <v>2792</v>
      </c>
      <c r="C2327" s="8" t="s">
        <v>4805</v>
      </c>
      <c r="D2327" s="8" t="s">
        <v>4806</v>
      </c>
      <c r="E2327" s="13">
        <v>0</v>
      </c>
      <c r="F2327" s="14">
        <v>8400000</v>
      </c>
    </row>
    <row r="2328" spans="1:6" x14ac:dyDescent="0.3">
      <c r="A2328" s="8">
        <v>2326</v>
      </c>
      <c r="B2328" s="8" t="s">
        <v>2792</v>
      </c>
      <c r="C2328" s="8" t="s">
        <v>4807</v>
      </c>
      <c r="D2328" s="8" t="s">
        <v>4808</v>
      </c>
      <c r="E2328" s="13">
        <v>0</v>
      </c>
      <c r="F2328" s="14">
        <v>0</v>
      </c>
    </row>
    <row r="2329" spans="1:6" x14ac:dyDescent="0.3">
      <c r="A2329" s="8">
        <v>2327</v>
      </c>
      <c r="B2329" s="8" t="s">
        <v>2792</v>
      </c>
      <c r="C2329" s="8" t="s">
        <v>4809</v>
      </c>
      <c r="D2329" s="8" t="s">
        <v>4810</v>
      </c>
      <c r="E2329" s="13">
        <v>0</v>
      </c>
      <c r="F2329" s="14">
        <v>0</v>
      </c>
    </row>
    <row r="2330" spans="1:6" x14ac:dyDescent="0.3">
      <c r="A2330" s="8">
        <v>2328</v>
      </c>
      <c r="B2330" s="8" t="s">
        <v>2792</v>
      </c>
      <c r="C2330" s="8" t="s">
        <v>4811</v>
      </c>
      <c r="D2330" s="8" t="s">
        <v>4812</v>
      </c>
      <c r="E2330" s="13">
        <v>0</v>
      </c>
      <c r="F2330" s="14">
        <v>6000000</v>
      </c>
    </row>
    <row r="2331" spans="1:6" x14ac:dyDescent="0.3">
      <c r="A2331" s="8">
        <v>2329</v>
      </c>
      <c r="B2331" s="8" t="s">
        <v>2792</v>
      </c>
      <c r="C2331" s="8" t="s">
        <v>4813</v>
      </c>
      <c r="D2331" s="8" t="s">
        <v>4814</v>
      </c>
      <c r="E2331" s="13">
        <v>3049000</v>
      </c>
      <c r="F2331" s="14">
        <v>6098148</v>
      </c>
    </row>
    <row r="2332" spans="1:6" x14ac:dyDescent="0.3">
      <c r="A2332" s="8">
        <v>2330</v>
      </c>
      <c r="B2332" s="8" t="s">
        <v>2792</v>
      </c>
      <c r="C2332" s="8" t="s">
        <v>4815</v>
      </c>
      <c r="D2332" s="8" t="s">
        <v>4816</v>
      </c>
      <c r="E2332" s="13">
        <v>3146000</v>
      </c>
      <c r="F2332" s="14">
        <v>6291667</v>
      </c>
    </row>
    <row r="2333" spans="1:6" x14ac:dyDescent="0.3">
      <c r="A2333" s="8">
        <v>2331</v>
      </c>
      <c r="B2333" s="8" t="s">
        <v>2792</v>
      </c>
      <c r="C2333" s="8" t="s">
        <v>4817</v>
      </c>
      <c r="D2333" s="8" t="s">
        <v>4818</v>
      </c>
      <c r="E2333" s="13">
        <v>5685200</v>
      </c>
      <c r="F2333" s="14">
        <v>9289815</v>
      </c>
    </row>
    <row r="2334" spans="1:6" x14ac:dyDescent="0.3">
      <c r="A2334" s="8">
        <v>2332</v>
      </c>
      <c r="B2334" s="8" t="s">
        <v>2792</v>
      </c>
      <c r="C2334" s="8" t="s">
        <v>4819</v>
      </c>
      <c r="D2334" s="8" t="s">
        <v>4820</v>
      </c>
      <c r="E2334" s="13">
        <v>0</v>
      </c>
      <c r="F2334" s="14">
        <v>0</v>
      </c>
    </row>
    <row r="2335" spans="1:6" x14ac:dyDescent="0.3">
      <c r="A2335" s="8">
        <v>2333</v>
      </c>
      <c r="B2335" s="8" t="s">
        <v>2792</v>
      </c>
      <c r="C2335" s="8" t="s">
        <v>4821</v>
      </c>
      <c r="D2335" s="8" t="s">
        <v>4822</v>
      </c>
      <c r="E2335" s="13">
        <v>0</v>
      </c>
      <c r="F2335" s="14">
        <v>0</v>
      </c>
    </row>
    <row r="2336" spans="1:6" x14ac:dyDescent="0.3">
      <c r="A2336" s="8">
        <v>2334</v>
      </c>
      <c r="B2336" s="8" t="s">
        <v>4148</v>
      </c>
      <c r="C2336" s="8" t="s">
        <v>4823</v>
      </c>
      <c r="D2336" s="8" t="s">
        <v>4824</v>
      </c>
      <c r="E2336" s="13">
        <v>86400</v>
      </c>
      <c r="F2336" s="14">
        <v>150000</v>
      </c>
    </row>
    <row r="2337" spans="1:6" x14ac:dyDescent="0.3">
      <c r="A2337" s="8">
        <v>2335</v>
      </c>
      <c r="B2337" s="8" t="s">
        <v>4148</v>
      </c>
      <c r="C2337" s="8" t="s">
        <v>4825</v>
      </c>
      <c r="D2337" s="8" t="s">
        <v>4826</v>
      </c>
      <c r="E2337" s="13">
        <v>41667</v>
      </c>
      <c r="F2337" s="14">
        <v>41667</v>
      </c>
    </row>
    <row r="2338" spans="1:6" x14ac:dyDescent="0.3">
      <c r="A2338" s="8">
        <v>2336</v>
      </c>
      <c r="B2338" s="8" t="s">
        <v>4148</v>
      </c>
      <c r="C2338" s="8" t="s">
        <v>4827</v>
      </c>
      <c r="D2338" s="8" t="s">
        <v>4828</v>
      </c>
      <c r="E2338" s="13">
        <v>0</v>
      </c>
      <c r="F2338" s="14">
        <v>973000</v>
      </c>
    </row>
    <row r="2339" spans="1:6" x14ac:dyDescent="0.3">
      <c r="A2339" s="8">
        <v>2337</v>
      </c>
      <c r="B2339" s="8" t="s">
        <v>4148</v>
      </c>
      <c r="C2339" s="8" t="s">
        <v>4829</v>
      </c>
      <c r="D2339" s="8" t="s">
        <v>4830</v>
      </c>
      <c r="E2339" s="13">
        <v>70100</v>
      </c>
      <c r="F2339" s="14">
        <v>139815</v>
      </c>
    </row>
    <row r="2340" spans="1:6" x14ac:dyDescent="0.3">
      <c r="A2340" s="8">
        <v>2338</v>
      </c>
      <c r="B2340" s="8" t="s">
        <v>4148</v>
      </c>
      <c r="C2340" s="8" t="s">
        <v>4831</v>
      </c>
      <c r="D2340" s="8" t="s">
        <v>4832</v>
      </c>
      <c r="E2340" s="13">
        <v>64400</v>
      </c>
      <c r="F2340" s="14">
        <v>128000</v>
      </c>
    </row>
    <row r="2341" spans="1:6" x14ac:dyDescent="0.3">
      <c r="A2341" s="8">
        <v>2339</v>
      </c>
      <c r="B2341" s="8" t="s">
        <v>4148</v>
      </c>
      <c r="C2341" s="8" t="s">
        <v>4833</v>
      </c>
      <c r="D2341" s="8" t="s">
        <v>4834</v>
      </c>
      <c r="E2341" s="13">
        <v>121000</v>
      </c>
      <c r="F2341" s="14">
        <v>208000</v>
      </c>
    </row>
    <row r="2342" spans="1:6" x14ac:dyDescent="0.3">
      <c r="A2342" s="8">
        <v>2340</v>
      </c>
      <c r="B2342" s="8" t="s">
        <v>4148</v>
      </c>
      <c r="C2342" s="8" t="s">
        <v>4835</v>
      </c>
      <c r="D2342" s="8" t="s">
        <v>4836</v>
      </c>
      <c r="E2342" s="13">
        <v>153000</v>
      </c>
      <c r="F2342" s="14">
        <v>305556</v>
      </c>
    </row>
    <row r="2343" spans="1:6" x14ac:dyDescent="0.3">
      <c r="A2343" s="8">
        <v>2341</v>
      </c>
      <c r="B2343" s="8" t="s">
        <v>4148</v>
      </c>
      <c r="C2343" s="8" t="s">
        <v>4837</v>
      </c>
      <c r="D2343" s="8" t="s">
        <v>4838</v>
      </c>
      <c r="E2343" s="13">
        <v>83800</v>
      </c>
      <c r="F2343" s="14">
        <v>167593</v>
      </c>
    </row>
    <row r="2344" spans="1:6" x14ac:dyDescent="0.3">
      <c r="A2344" s="8">
        <v>2342</v>
      </c>
      <c r="B2344" s="8" t="s">
        <v>4148</v>
      </c>
      <c r="C2344" s="8" t="s">
        <v>4839</v>
      </c>
      <c r="D2344" s="8" t="s">
        <v>4840</v>
      </c>
      <c r="E2344" s="13">
        <v>70100</v>
      </c>
      <c r="F2344" s="14">
        <v>139815</v>
      </c>
    </row>
    <row r="2345" spans="1:6" x14ac:dyDescent="0.3">
      <c r="A2345" s="8">
        <v>2343</v>
      </c>
      <c r="B2345" s="8" t="s">
        <v>4148</v>
      </c>
      <c r="C2345" s="8" t="s">
        <v>4841</v>
      </c>
      <c r="D2345" s="8" t="s">
        <v>4842</v>
      </c>
      <c r="E2345" s="13">
        <v>81000</v>
      </c>
      <c r="F2345" s="14">
        <v>162037</v>
      </c>
    </row>
    <row r="2346" spans="1:6" x14ac:dyDescent="0.3">
      <c r="A2346" s="8">
        <v>2344</v>
      </c>
      <c r="B2346" s="8" t="s">
        <v>4148</v>
      </c>
      <c r="C2346" s="8" t="s">
        <v>4843</v>
      </c>
      <c r="D2346" s="8" t="s">
        <v>4844</v>
      </c>
      <c r="E2346" s="13">
        <v>0</v>
      </c>
      <c r="F2346" s="14">
        <v>162000</v>
      </c>
    </row>
    <row r="2347" spans="1:6" x14ac:dyDescent="0.3">
      <c r="A2347" s="8">
        <v>2345</v>
      </c>
      <c r="B2347" s="8" t="s">
        <v>4148</v>
      </c>
      <c r="C2347" s="8" t="s">
        <v>4845</v>
      </c>
      <c r="D2347" s="8" t="s">
        <v>4846</v>
      </c>
      <c r="E2347" s="13">
        <v>38700</v>
      </c>
      <c r="F2347" s="14">
        <v>70370</v>
      </c>
    </row>
    <row r="2348" spans="1:6" x14ac:dyDescent="0.3">
      <c r="A2348" s="8">
        <v>2346</v>
      </c>
      <c r="B2348" s="8" t="s">
        <v>4148</v>
      </c>
      <c r="C2348" s="8" t="s">
        <v>4847</v>
      </c>
      <c r="D2348" s="8" t="s">
        <v>4848</v>
      </c>
      <c r="E2348" s="13">
        <v>45800</v>
      </c>
      <c r="F2348" s="14">
        <v>82407</v>
      </c>
    </row>
    <row r="2349" spans="1:6" x14ac:dyDescent="0.3">
      <c r="A2349" s="8">
        <v>2347</v>
      </c>
      <c r="B2349" s="8" t="s">
        <v>4148</v>
      </c>
      <c r="C2349" s="8" t="s">
        <v>4849</v>
      </c>
      <c r="D2349" s="8" t="s">
        <v>4850</v>
      </c>
      <c r="E2349" s="13">
        <v>0</v>
      </c>
      <c r="F2349" s="14">
        <v>155000</v>
      </c>
    </row>
    <row r="2350" spans="1:6" x14ac:dyDescent="0.3">
      <c r="A2350" s="8">
        <v>2348</v>
      </c>
      <c r="B2350" s="8" t="s">
        <v>4148</v>
      </c>
      <c r="C2350" s="8" t="s">
        <v>4851</v>
      </c>
      <c r="D2350" s="8" t="s">
        <v>4852</v>
      </c>
      <c r="E2350" s="13">
        <v>0</v>
      </c>
      <c r="F2350" s="14">
        <v>0</v>
      </c>
    </row>
    <row r="2351" spans="1:6" x14ac:dyDescent="0.3">
      <c r="A2351" s="8">
        <v>2349</v>
      </c>
      <c r="B2351" s="8" t="s">
        <v>4148</v>
      </c>
      <c r="C2351" s="8" t="s">
        <v>4853</v>
      </c>
      <c r="D2351" s="8" t="s">
        <v>4854</v>
      </c>
      <c r="E2351" s="13">
        <v>59600</v>
      </c>
      <c r="F2351" s="14">
        <v>133333</v>
      </c>
    </row>
    <row r="2352" spans="1:6" x14ac:dyDescent="0.3">
      <c r="A2352" s="8">
        <v>2350</v>
      </c>
      <c r="B2352" s="8" t="s">
        <v>4148</v>
      </c>
      <c r="C2352" s="8" t="s">
        <v>4855</v>
      </c>
      <c r="D2352" s="8" t="s">
        <v>4856</v>
      </c>
      <c r="E2352" s="13">
        <v>54400</v>
      </c>
      <c r="F2352" s="14">
        <v>122222</v>
      </c>
    </row>
    <row r="2353" spans="1:6" x14ac:dyDescent="0.3">
      <c r="A2353" s="8">
        <v>2351</v>
      </c>
      <c r="B2353" s="8" t="s">
        <v>4148</v>
      </c>
      <c r="C2353" s="8" t="s">
        <v>4857</v>
      </c>
      <c r="D2353" s="8" t="s">
        <v>4858</v>
      </c>
      <c r="E2353" s="13">
        <v>0</v>
      </c>
      <c r="F2353" s="14">
        <v>0</v>
      </c>
    </row>
    <row r="2354" spans="1:6" x14ac:dyDescent="0.3">
      <c r="A2354" s="8">
        <v>2352</v>
      </c>
      <c r="B2354" s="8" t="s">
        <v>4148</v>
      </c>
      <c r="C2354" s="8" t="s">
        <v>4859</v>
      </c>
      <c r="D2354" s="8" t="s">
        <v>4860</v>
      </c>
      <c r="E2354" s="13">
        <v>0</v>
      </c>
      <c r="F2354" s="14">
        <v>200000</v>
      </c>
    </row>
    <row r="2355" spans="1:6" x14ac:dyDescent="0.3">
      <c r="A2355" s="8">
        <v>2353</v>
      </c>
      <c r="B2355" s="8" t="s">
        <v>4148</v>
      </c>
      <c r="C2355" s="8" t="s">
        <v>4861</v>
      </c>
      <c r="D2355" s="8" t="s">
        <v>4862</v>
      </c>
      <c r="E2355" s="13">
        <v>0</v>
      </c>
      <c r="F2355" s="14">
        <v>191000</v>
      </c>
    </row>
    <row r="2356" spans="1:6" x14ac:dyDescent="0.3">
      <c r="A2356" s="8">
        <v>2354</v>
      </c>
      <c r="B2356" s="8" t="s">
        <v>4148</v>
      </c>
      <c r="C2356" s="8" t="s">
        <v>4863</v>
      </c>
      <c r="D2356" s="8" t="s">
        <v>4864</v>
      </c>
      <c r="E2356" s="13">
        <v>83800</v>
      </c>
      <c r="F2356" s="14">
        <v>167593</v>
      </c>
    </row>
    <row r="2357" spans="1:6" x14ac:dyDescent="0.3">
      <c r="A2357" s="8">
        <v>2355</v>
      </c>
      <c r="B2357" s="8" t="s">
        <v>2792</v>
      </c>
      <c r="C2357" s="8" t="s">
        <v>4865</v>
      </c>
      <c r="D2357" s="8" t="s">
        <v>4866</v>
      </c>
      <c r="E2357" s="13">
        <v>0</v>
      </c>
      <c r="F2357" s="14">
        <v>0</v>
      </c>
    </row>
    <row r="2358" spans="1:6" x14ac:dyDescent="0.3">
      <c r="A2358" s="8">
        <v>2356</v>
      </c>
      <c r="B2358" s="8" t="s">
        <v>2792</v>
      </c>
      <c r="C2358" s="8" t="s">
        <v>4867</v>
      </c>
      <c r="D2358" s="8" t="s">
        <v>4868</v>
      </c>
      <c r="E2358" s="13">
        <v>0</v>
      </c>
      <c r="F2358" s="14">
        <v>0</v>
      </c>
    </row>
    <row r="2359" spans="1:6" x14ac:dyDescent="0.3">
      <c r="A2359" s="8">
        <v>2357</v>
      </c>
      <c r="B2359" s="8" t="s">
        <v>2792</v>
      </c>
      <c r="C2359" s="8" t="s">
        <v>4869</v>
      </c>
      <c r="D2359" s="8" t="s">
        <v>4870</v>
      </c>
      <c r="E2359" s="13">
        <v>0</v>
      </c>
      <c r="F2359" s="14">
        <v>0</v>
      </c>
    </row>
    <row r="2360" spans="1:6" x14ac:dyDescent="0.3">
      <c r="A2360" s="8">
        <v>2358</v>
      </c>
      <c r="B2360" s="8" t="s">
        <v>2792</v>
      </c>
      <c r="C2360" s="8" t="s">
        <v>4871</v>
      </c>
      <c r="D2360" s="8" t="s">
        <v>4872</v>
      </c>
      <c r="E2360" s="13">
        <v>0</v>
      </c>
      <c r="F2360" s="14">
        <v>0</v>
      </c>
    </row>
    <row r="2361" spans="1:6" x14ac:dyDescent="0.3">
      <c r="A2361" s="8">
        <v>2359</v>
      </c>
      <c r="B2361" s="8" t="s">
        <v>2792</v>
      </c>
      <c r="C2361" s="8" t="s">
        <v>4873</v>
      </c>
      <c r="D2361" s="8" t="s">
        <v>4874</v>
      </c>
      <c r="E2361" s="13">
        <v>0</v>
      </c>
      <c r="F2361" s="14">
        <v>0</v>
      </c>
    </row>
    <row r="2362" spans="1:6" x14ac:dyDescent="0.3">
      <c r="A2362" s="8">
        <v>2360</v>
      </c>
      <c r="B2362" s="8" t="s">
        <v>2792</v>
      </c>
      <c r="C2362" s="8" t="s">
        <v>4875</v>
      </c>
      <c r="D2362" s="8" t="s">
        <v>4876</v>
      </c>
      <c r="E2362" s="13">
        <v>0</v>
      </c>
      <c r="F2362" s="14">
        <v>0</v>
      </c>
    </row>
    <row r="2363" spans="1:6" x14ac:dyDescent="0.3">
      <c r="A2363" s="8">
        <v>2361</v>
      </c>
      <c r="B2363" s="8" t="s">
        <v>2792</v>
      </c>
      <c r="C2363" s="8" t="s">
        <v>4877</v>
      </c>
      <c r="D2363" s="8" t="s">
        <v>4878</v>
      </c>
      <c r="E2363" s="13">
        <v>1319000</v>
      </c>
      <c r="F2363" s="14">
        <v>2637963</v>
      </c>
    </row>
    <row r="2364" spans="1:6" x14ac:dyDescent="0.3">
      <c r="A2364" s="8">
        <v>2362</v>
      </c>
      <c r="B2364" s="8" t="s">
        <v>2792</v>
      </c>
      <c r="C2364" s="8" t="s">
        <v>4879</v>
      </c>
      <c r="D2364" s="8"/>
      <c r="E2364" s="13">
        <v>1645000</v>
      </c>
      <c r="F2364" s="14">
        <v>3289815</v>
      </c>
    </row>
    <row r="2365" spans="1:6" x14ac:dyDescent="0.3">
      <c r="A2365" s="8">
        <v>2363</v>
      </c>
      <c r="B2365" s="8" t="s">
        <v>2792</v>
      </c>
      <c r="C2365" s="8" t="s">
        <v>4880</v>
      </c>
      <c r="D2365" s="8" t="s">
        <v>4881</v>
      </c>
      <c r="E2365" s="13">
        <v>0</v>
      </c>
      <c r="F2365" s="14">
        <v>5900000</v>
      </c>
    </row>
    <row r="2366" spans="1:6" x14ac:dyDescent="0.3">
      <c r="A2366" s="8">
        <v>2364</v>
      </c>
      <c r="B2366" s="8" t="s">
        <v>2792</v>
      </c>
      <c r="C2366" s="8" t="s">
        <v>4882</v>
      </c>
      <c r="D2366" s="8" t="s">
        <v>4883</v>
      </c>
      <c r="E2366" s="13">
        <v>0</v>
      </c>
      <c r="F2366" s="14">
        <v>0</v>
      </c>
    </row>
    <row r="2367" spans="1:6" x14ac:dyDescent="0.3">
      <c r="A2367" s="8">
        <v>2365</v>
      </c>
      <c r="B2367" s="8" t="s">
        <v>2792</v>
      </c>
      <c r="C2367" s="8" t="s">
        <v>4884</v>
      </c>
      <c r="D2367" s="8" t="s">
        <v>4885</v>
      </c>
      <c r="E2367" s="13">
        <v>0</v>
      </c>
      <c r="F2367" s="14">
        <v>0</v>
      </c>
    </row>
    <row r="2368" spans="1:6" x14ac:dyDescent="0.3">
      <c r="A2368" s="8">
        <v>2366</v>
      </c>
      <c r="B2368" s="8" t="s">
        <v>2792</v>
      </c>
      <c r="C2368" s="8" t="s">
        <v>4886</v>
      </c>
      <c r="D2368" s="8" t="s">
        <v>4887</v>
      </c>
      <c r="E2368" s="13">
        <v>0</v>
      </c>
      <c r="F2368" s="14">
        <v>0</v>
      </c>
    </row>
    <row r="2369" spans="1:6" x14ac:dyDescent="0.3">
      <c r="A2369" s="8">
        <v>2367</v>
      </c>
      <c r="B2369" s="8" t="s">
        <v>2792</v>
      </c>
      <c r="C2369" s="8" t="s">
        <v>4888</v>
      </c>
      <c r="D2369" s="8" t="s">
        <v>4889</v>
      </c>
      <c r="E2369" s="13">
        <v>213000</v>
      </c>
      <c r="F2369" s="14">
        <v>425926</v>
      </c>
    </row>
    <row r="2370" spans="1:6" x14ac:dyDescent="0.3">
      <c r="A2370" s="8">
        <v>2368</v>
      </c>
      <c r="B2370" s="8" t="s">
        <v>2792</v>
      </c>
      <c r="C2370" s="8" t="s">
        <v>4890</v>
      </c>
      <c r="D2370" s="8" t="s">
        <v>4891</v>
      </c>
      <c r="E2370" s="13">
        <v>0</v>
      </c>
      <c r="F2370" s="14">
        <v>0</v>
      </c>
    </row>
    <row r="2371" spans="1:6" x14ac:dyDescent="0.3">
      <c r="A2371" s="8">
        <v>2369</v>
      </c>
      <c r="B2371" s="8" t="s">
        <v>2792</v>
      </c>
      <c r="C2371" s="8" t="s">
        <v>4892</v>
      </c>
      <c r="D2371" s="8" t="s">
        <v>4893</v>
      </c>
      <c r="E2371" s="13">
        <v>1390000</v>
      </c>
      <c r="F2371" s="14">
        <v>2779630</v>
      </c>
    </row>
    <row r="2372" spans="1:6" x14ac:dyDescent="0.3">
      <c r="A2372" s="8">
        <v>2370</v>
      </c>
      <c r="B2372" s="8" t="s">
        <v>2792</v>
      </c>
      <c r="C2372" s="8" t="s">
        <v>4894</v>
      </c>
      <c r="D2372" s="8" t="s">
        <v>4895</v>
      </c>
      <c r="E2372" s="13">
        <v>523000</v>
      </c>
      <c r="F2372" s="14">
        <v>1046296</v>
      </c>
    </row>
    <row r="2373" spans="1:6" x14ac:dyDescent="0.3">
      <c r="A2373" s="8">
        <v>2371</v>
      </c>
      <c r="B2373" s="8" t="s">
        <v>2792</v>
      </c>
      <c r="C2373" s="8" t="s">
        <v>4896</v>
      </c>
      <c r="D2373" s="8" t="s">
        <v>4897</v>
      </c>
      <c r="E2373" s="13">
        <v>96800</v>
      </c>
      <c r="F2373" s="14">
        <v>193519</v>
      </c>
    </row>
    <row r="2374" spans="1:6" x14ac:dyDescent="0.3">
      <c r="A2374" s="8">
        <v>2372</v>
      </c>
      <c r="B2374" s="8" t="s">
        <v>2792</v>
      </c>
      <c r="C2374" s="8" t="s">
        <v>4898</v>
      </c>
      <c r="D2374" s="8" t="s">
        <v>4899</v>
      </c>
      <c r="E2374" s="13">
        <v>155000</v>
      </c>
      <c r="F2374" s="14">
        <v>310185</v>
      </c>
    </row>
    <row r="2375" spans="1:6" x14ac:dyDescent="0.3">
      <c r="A2375" s="8">
        <v>2373</v>
      </c>
      <c r="B2375" s="8" t="s">
        <v>2792</v>
      </c>
      <c r="C2375" s="8" t="s">
        <v>4900</v>
      </c>
      <c r="D2375" s="8" t="s">
        <v>4901</v>
      </c>
      <c r="E2375" s="13">
        <v>0</v>
      </c>
      <c r="F2375" s="14">
        <v>0</v>
      </c>
    </row>
    <row r="2376" spans="1:6" x14ac:dyDescent="0.3">
      <c r="A2376" s="8">
        <v>2374</v>
      </c>
      <c r="B2376" s="8" t="s">
        <v>4148</v>
      </c>
      <c r="C2376" s="8" t="s">
        <v>4902</v>
      </c>
      <c r="D2376" s="8" t="s">
        <v>4903</v>
      </c>
      <c r="E2376" s="13">
        <v>38700</v>
      </c>
      <c r="F2376" s="14">
        <v>66667</v>
      </c>
    </row>
    <row r="2377" spans="1:6" x14ac:dyDescent="0.3">
      <c r="A2377" s="8">
        <v>2375</v>
      </c>
      <c r="B2377" s="8" t="s">
        <v>4148</v>
      </c>
      <c r="C2377" s="8" t="s">
        <v>4904</v>
      </c>
      <c r="D2377" s="8" t="s">
        <v>4905</v>
      </c>
      <c r="E2377" s="13">
        <v>0</v>
      </c>
      <c r="F2377" s="14">
        <v>250000</v>
      </c>
    </row>
    <row r="2378" spans="1:6" x14ac:dyDescent="0.3">
      <c r="A2378" s="8">
        <v>2376</v>
      </c>
      <c r="B2378" s="8" t="s">
        <v>4148</v>
      </c>
      <c r="C2378" s="8" t="s">
        <v>4906</v>
      </c>
      <c r="D2378" s="8" t="s">
        <v>4907</v>
      </c>
      <c r="E2378" s="13">
        <v>83800</v>
      </c>
      <c r="F2378" s="14">
        <v>167593</v>
      </c>
    </row>
    <row r="2379" spans="1:6" x14ac:dyDescent="0.3">
      <c r="A2379" s="8">
        <v>2377</v>
      </c>
      <c r="B2379" s="8" t="s">
        <v>4148</v>
      </c>
      <c r="C2379" s="8" t="s">
        <v>4908</v>
      </c>
      <c r="D2379" s="8" t="s">
        <v>4909</v>
      </c>
      <c r="E2379" s="13">
        <v>64400</v>
      </c>
      <c r="F2379" s="14">
        <v>128000</v>
      </c>
    </row>
    <row r="2380" spans="1:6" x14ac:dyDescent="0.3">
      <c r="A2380" s="8">
        <v>2378</v>
      </c>
      <c r="B2380" s="8" t="s">
        <v>2792</v>
      </c>
      <c r="C2380" s="8" t="s">
        <v>4910</v>
      </c>
      <c r="D2380" s="8" t="s">
        <v>4911</v>
      </c>
      <c r="E2380" s="13">
        <v>0</v>
      </c>
      <c r="F2380" s="14">
        <v>0</v>
      </c>
    </row>
    <row r="2381" spans="1:6" x14ac:dyDescent="0.3">
      <c r="A2381" s="8">
        <v>2379</v>
      </c>
      <c r="B2381" s="8" t="s">
        <v>2792</v>
      </c>
      <c r="C2381" s="8" t="s">
        <v>4912</v>
      </c>
      <c r="D2381" s="8" t="s">
        <v>4913</v>
      </c>
      <c r="E2381" s="13">
        <v>0</v>
      </c>
      <c r="F2381" s="14">
        <v>0</v>
      </c>
    </row>
    <row r="2382" spans="1:6" x14ac:dyDescent="0.3">
      <c r="A2382" s="8">
        <v>2380</v>
      </c>
      <c r="B2382" s="8" t="s">
        <v>2792</v>
      </c>
      <c r="C2382" s="8" t="s">
        <v>4914</v>
      </c>
      <c r="D2382" s="8" t="s">
        <v>4915</v>
      </c>
      <c r="E2382" s="13">
        <v>0</v>
      </c>
      <c r="F2382" s="14">
        <v>0</v>
      </c>
    </row>
    <row r="2383" spans="1:6" x14ac:dyDescent="0.3">
      <c r="A2383" s="8">
        <v>2381</v>
      </c>
      <c r="B2383" s="8" t="s">
        <v>2792</v>
      </c>
      <c r="C2383" s="8" t="s">
        <v>4916</v>
      </c>
      <c r="D2383" s="8" t="s">
        <v>4917</v>
      </c>
      <c r="E2383" s="13">
        <v>2952000</v>
      </c>
      <c r="F2383" s="14">
        <v>5903704</v>
      </c>
    </row>
    <row r="2384" spans="1:6" x14ac:dyDescent="0.3">
      <c r="A2384" s="8">
        <v>2382</v>
      </c>
      <c r="B2384" s="8" t="s">
        <v>2792</v>
      </c>
      <c r="C2384" s="8" t="s">
        <v>4918</v>
      </c>
      <c r="D2384" s="8" t="s">
        <v>4919</v>
      </c>
      <c r="E2384" s="13">
        <v>304000</v>
      </c>
      <c r="F2384" s="14">
        <v>608333</v>
      </c>
    </row>
    <row r="2385" spans="1:6" x14ac:dyDescent="0.3">
      <c r="A2385" s="8">
        <v>2383</v>
      </c>
      <c r="B2385" s="8" t="s">
        <v>2792</v>
      </c>
      <c r="C2385" s="8" t="s">
        <v>4920</v>
      </c>
      <c r="D2385" s="8" t="s">
        <v>4921</v>
      </c>
      <c r="E2385" s="13">
        <v>0</v>
      </c>
      <c r="F2385" s="14">
        <v>0</v>
      </c>
    </row>
    <row r="2386" spans="1:6" x14ac:dyDescent="0.3">
      <c r="A2386" s="8">
        <v>2384</v>
      </c>
      <c r="B2386" s="8" t="s">
        <v>2792</v>
      </c>
      <c r="C2386" s="8" t="s">
        <v>4922</v>
      </c>
      <c r="D2386" s="8" t="s">
        <v>4923</v>
      </c>
      <c r="E2386" s="13">
        <v>0</v>
      </c>
      <c r="F2386" s="14">
        <v>16600000</v>
      </c>
    </row>
    <row r="2387" spans="1:6" x14ac:dyDescent="0.3">
      <c r="A2387" s="8">
        <v>2385</v>
      </c>
      <c r="B2387" s="8" t="s">
        <v>2792</v>
      </c>
      <c r="C2387" s="8" t="s">
        <v>4924</v>
      </c>
      <c r="D2387" s="8" t="s">
        <v>4925</v>
      </c>
      <c r="E2387" s="13">
        <v>0</v>
      </c>
      <c r="F2387" s="14">
        <v>0</v>
      </c>
    </row>
    <row r="2388" spans="1:6" x14ac:dyDescent="0.3">
      <c r="A2388" s="8">
        <v>2386</v>
      </c>
      <c r="B2388" s="8" t="s">
        <v>2792</v>
      </c>
      <c r="C2388" s="8" t="s">
        <v>4926</v>
      </c>
      <c r="D2388" s="8" t="s">
        <v>4927</v>
      </c>
      <c r="E2388" s="13">
        <v>0</v>
      </c>
      <c r="F2388" s="14">
        <v>0</v>
      </c>
    </row>
    <row r="2389" spans="1:6" x14ac:dyDescent="0.3">
      <c r="A2389" s="8">
        <v>2387</v>
      </c>
      <c r="B2389" s="8" t="s">
        <v>2792</v>
      </c>
      <c r="C2389" s="8" t="s">
        <v>4928</v>
      </c>
      <c r="D2389" s="8" t="s">
        <v>4929</v>
      </c>
      <c r="E2389" s="13">
        <v>181000</v>
      </c>
      <c r="F2389" s="14">
        <v>362037</v>
      </c>
    </row>
    <row r="2390" spans="1:6" x14ac:dyDescent="0.3">
      <c r="A2390" s="8">
        <v>2388</v>
      </c>
      <c r="B2390" s="8" t="s">
        <v>2792</v>
      </c>
      <c r="C2390" s="8" t="s">
        <v>4930</v>
      </c>
      <c r="D2390" s="8" t="s">
        <v>4931</v>
      </c>
      <c r="E2390" s="13">
        <v>0</v>
      </c>
      <c r="F2390" s="14">
        <v>0</v>
      </c>
    </row>
    <row r="2391" spans="1:6" x14ac:dyDescent="0.3">
      <c r="A2391" s="8">
        <v>2389</v>
      </c>
      <c r="B2391" s="8" t="s">
        <v>2792</v>
      </c>
      <c r="C2391" s="8" t="s">
        <v>4932</v>
      </c>
      <c r="D2391" s="8" t="s">
        <v>4933</v>
      </c>
      <c r="E2391" s="13">
        <v>0</v>
      </c>
      <c r="F2391" s="14">
        <v>0</v>
      </c>
    </row>
    <row r="2392" spans="1:6" x14ac:dyDescent="0.3">
      <c r="A2392" s="8">
        <v>2390</v>
      </c>
      <c r="B2392" s="8" t="s">
        <v>2792</v>
      </c>
      <c r="C2392" s="8" t="s">
        <v>4934</v>
      </c>
      <c r="D2392" s="8" t="s">
        <v>4935</v>
      </c>
      <c r="E2392" s="13">
        <v>0</v>
      </c>
      <c r="F2392" s="14">
        <v>0</v>
      </c>
    </row>
    <row r="2393" spans="1:6" x14ac:dyDescent="0.3">
      <c r="A2393" s="8">
        <v>2391</v>
      </c>
      <c r="B2393" s="8" t="s">
        <v>2792</v>
      </c>
      <c r="C2393" s="8" t="s">
        <v>4936</v>
      </c>
      <c r="D2393" s="8" t="s">
        <v>4937</v>
      </c>
      <c r="E2393" s="13">
        <v>2065000</v>
      </c>
      <c r="F2393" s="14">
        <v>4129630</v>
      </c>
    </row>
    <row r="2394" spans="1:6" x14ac:dyDescent="0.3">
      <c r="A2394" s="8">
        <v>2392</v>
      </c>
      <c r="B2394" s="8" t="s">
        <v>2792</v>
      </c>
      <c r="C2394" s="8" t="s">
        <v>4938</v>
      </c>
      <c r="D2394" s="8" t="s">
        <v>4939</v>
      </c>
      <c r="E2394" s="13">
        <v>0</v>
      </c>
      <c r="F2394" s="14">
        <v>0</v>
      </c>
    </row>
    <row r="2395" spans="1:6" x14ac:dyDescent="0.3">
      <c r="A2395" s="8">
        <v>2393</v>
      </c>
      <c r="B2395" s="8" t="s">
        <v>2792</v>
      </c>
      <c r="C2395" s="8" t="s">
        <v>4940</v>
      </c>
      <c r="D2395" s="8" t="s">
        <v>4941</v>
      </c>
      <c r="E2395" s="13">
        <v>0</v>
      </c>
      <c r="F2395" s="14">
        <v>0</v>
      </c>
    </row>
    <row r="2396" spans="1:6" x14ac:dyDescent="0.3">
      <c r="A2396" s="8">
        <v>2394</v>
      </c>
      <c r="B2396" s="8" t="s">
        <v>2792</v>
      </c>
      <c r="C2396" s="8" t="s">
        <v>4942</v>
      </c>
      <c r="D2396" s="8" t="s">
        <v>4943</v>
      </c>
      <c r="E2396" s="13">
        <v>0</v>
      </c>
      <c r="F2396" s="14">
        <v>0</v>
      </c>
    </row>
    <row r="2397" spans="1:6" x14ac:dyDescent="0.3">
      <c r="A2397" s="8">
        <v>2395</v>
      </c>
      <c r="B2397" s="8" t="s">
        <v>2792</v>
      </c>
      <c r="C2397" s="8" t="s">
        <v>4944</v>
      </c>
      <c r="D2397" s="8" t="s">
        <v>4945</v>
      </c>
      <c r="E2397" s="13">
        <v>0</v>
      </c>
      <c r="F2397" s="14">
        <v>0</v>
      </c>
    </row>
    <row r="2398" spans="1:6" x14ac:dyDescent="0.3">
      <c r="A2398" s="8">
        <v>2396</v>
      </c>
      <c r="B2398" s="8" t="s">
        <v>2792</v>
      </c>
      <c r="C2398" s="8" t="s">
        <v>4946</v>
      </c>
      <c r="D2398" s="8" t="s">
        <v>4947</v>
      </c>
      <c r="E2398" s="13">
        <v>0</v>
      </c>
      <c r="F2398" s="14">
        <v>0</v>
      </c>
    </row>
    <row r="2399" spans="1:6" x14ac:dyDescent="0.3">
      <c r="A2399" s="8">
        <v>2397</v>
      </c>
      <c r="B2399" s="8" t="s">
        <v>2792</v>
      </c>
      <c r="C2399" s="8" t="s">
        <v>4948</v>
      </c>
      <c r="D2399" s="8" t="s">
        <v>4949</v>
      </c>
      <c r="E2399" s="13">
        <v>0</v>
      </c>
      <c r="F2399" s="14">
        <v>0</v>
      </c>
    </row>
    <row r="2400" spans="1:6" x14ac:dyDescent="0.3">
      <c r="A2400" s="8">
        <v>2398</v>
      </c>
      <c r="B2400" s="8" t="s">
        <v>2792</v>
      </c>
      <c r="C2400" s="8" t="s">
        <v>4950</v>
      </c>
      <c r="D2400" s="8" t="s">
        <v>4951</v>
      </c>
      <c r="E2400" s="13">
        <v>645000</v>
      </c>
      <c r="F2400" s="14">
        <v>1289815</v>
      </c>
    </row>
    <row r="2401" spans="1:6" x14ac:dyDescent="0.3">
      <c r="A2401" s="8">
        <v>2399</v>
      </c>
      <c r="B2401" s="8" t="s">
        <v>2792</v>
      </c>
      <c r="C2401" s="8" t="s">
        <v>4952</v>
      </c>
      <c r="D2401" s="8" t="s">
        <v>4953</v>
      </c>
      <c r="E2401" s="13">
        <v>0</v>
      </c>
      <c r="F2401" s="14">
        <v>0</v>
      </c>
    </row>
    <row r="2402" spans="1:6" x14ac:dyDescent="0.3">
      <c r="A2402" s="8">
        <v>2400</v>
      </c>
      <c r="B2402" s="8" t="s">
        <v>2792</v>
      </c>
      <c r="C2402" s="8" t="s">
        <v>4954</v>
      </c>
      <c r="D2402" s="8" t="s">
        <v>4955</v>
      </c>
      <c r="E2402" s="13">
        <v>0</v>
      </c>
      <c r="F2402" s="14">
        <v>0</v>
      </c>
    </row>
    <row r="2403" spans="1:6" x14ac:dyDescent="0.3">
      <c r="A2403" s="8">
        <v>2401</v>
      </c>
      <c r="B2403" s="8" t="s">
        <v>2792</v>
      </c>
      <c r="C2403" s="8" t="s">
        <v>4956</v>
      </c>
      <c r="D2403" s="8" t="s">
        <v>4957</v>
      </c>
      <c r="E2403" s="13">
        <v>0</v>
      </c>
      <c r="F2403" s="14">
        <v>6500000</v>
      </c>
    </row>
    <row r="2404" spans="1:6" x14ac:dyDescent="0.3">
      <c r="A2404" s="8">
        <v>2402</v>
      </c>
      <c r="B2404" s="8" t="s">
        <v>2792</v>
      </c>
      <c r="C2404" s="8" t="s">
        <v>4958</v>
      </c>
      <c r="D2404" s="8" t="s">
        <v>4959</v>
      </c>
      <c r="E2404" s="13">
        <v>0</v>
      </c>
      <c r="F2404" s="14">
        <v>0</v>
      </c>
    </row>
    <row r="2405" spans="1:6" x14ac:dyDescent="0.3">
      <c r="A2405" s="8">
        <v>2403</v>
      </c>
      <c r="B2405" s="8" t="s">
        <v>2792</v>
      </c>
      <c r="C2405" s="8" t="s">
        <v>4960</v>
      </c>
      <c r="D2405" s="8" t="s">
        <v>4961</v>
      </c>
      <c r="E2405" s="13">
        <v>0</v>
      </c>
      <c r="F2405" s="14">
        <v>0</v>
      </c>
    </row>
    <row r="2406" spans="1:6" x14ac:dyDescent="0.3">
      <c r="A2406" s="8">
        <v>2404</v>
      </c>
      <c r="B2406" s="8" t="s">
        <v>2792</v>
      </c>
      <c r="C2406" s="8" t="s">
        <v>4962</v>
      </c>
      <c r="D2406" s="8" t="s">
        <v>4963</v>
      </c>
      <c r="E2406" s="13">
        <v>0</v>
      </c>
      <c r="F2406" s="14">
        <v>0</v>
      </c>
    </row>
    <row r="2407" spans="1:6" x14ac:dyDescent="0.3">
      <c r="A2407" s="8">
        <v>2405</v>
      </c>
      <c r="B2407" s="8" t="s">
        <v>2792</v>
      </c>
      <c r="C2407" s="8" t="s">
        <v>4964</v>
      </c>
      <c r="D2407" s="8" t="s">
        <v>4965</v>
      </c>
      <c r="E2407" s="13">
        <v>0</v>
      </c>
      <c r="F2407" s="14">
        <v>0</v>
      </c>
    </row>
    <row r="2408" spans="1:6" x14ac:dyDescent="0.3">
      <c r="A2408" s="8">
        <v>2406</v>
      </c>
      <c r="B2408" s="8" t="s">
        <v>2792</v>
      </c>
      <c r="C2408" s="8" t="s">
        <v>4966</v>
      </c>
      <c r="D2408" s="8" t="s">
        <v>4967</v>
      </c>
      <c r="E2408" s="13">
        <v>0</v>
      </c>
      <c r="F2408" s="14">
        <v>0</v>
      </c>
    </row>
    <row r="2409" spans="1:6" x14ac:dyDescent="0.3">
      <c r="A2409" s="8">
        <v>2407</v>
      </c>
      <c r="B2409" s="8" t="s">
        <v>2792</v>
      </c>
      <c r="C2409" s="8" t="s">
        <v>4968</v>
      </c>
      <c r="D2409" s="8" t="s">
        <v>4969</v>
      </c>
      <c r="E2409" s="13">
        <v>1414000</v>
      </c>
      <c r="F2409" s="14">
        <v>2827778</v>
      </c>
    </row>
    <row r="2410" spans="1:6" x14ac:dyDescent="0.3">
      <c r="A2410" s="8">
        <v>2408</v>
      </c>
      <c r="B2410" s="8" t="s">
        <v>2792</v>
      </c>
      <c r="C2410" s="8" t="s">
        <v>4970</v>
      </c>
      <c r="D2410" s="8" t="s">
        <v>4971</v>
      </c>
      <c r="E2410" s="13">
        <v>0</v>
      </c>
      <c r="F2410" s="14">
        <v>0</v>
      </c>
    </row>
    <row r="2411" spans="1:6" x14ac:dyDescent="0.3">
      <c r="A2411" s="8">
        <v>2409</v>
      </c>
      <c r="B2411" s="8" t="s">
        <v>2792</v>
      </c>
      <c r="C2411" s="8" t="s">
        <v>4972</v>
      </c>
      <c r="D2411" s="8" t="s">
        <v>4973</v>
      </c>
      <c r="E2411" s="13">
        <v>0</v>
      </c>
      <c r="F2411" s="14">
        <v>0</v>
      </c>
    </row>
    <row r="2412" spans="1:6" x14ac:dyDescent="0.3">
      <c r="A2412" s="8">
        <v>2410</v>
      </c>
      <c r="B2412" s="8" t="s">
        <v>2792</v>
      </c>
      <c r="C2412" s="8" t="s">
        <v>4974</v>
      </c>
      <c r="D2412" s="8" t="s">
        <v>4975</v>
      </c>
      <c r="E2412" s="13">
        <v>1549000</v>
      </c>
      <c r="F2412" s="14">
        <v>3098148</v>
      </c>
    </row>
    <row r="2413" spans="1:6" x14ac:dyDescent="0.3">
      <c r="A2413" s="8">
        <v>2411</v>
      </c>
      <c r="B2413" s="8" t="s">
        <v>2792</v>
      </c>
      <c r="C2413" s="8" t="s">
        <v>4976</v>
      </c>
      <c r="D2413" s="8" t="s">
        <v>4977</v>
      </c>
      <c r="E2413" s="13">
        <v>0</v>
      </c>
      <c r="F2413" s="14">
        <v>0</v>
      </c>
    </row>
    <row r="2414" spans="1:6" x14ac:dyDescent="0.3">
      <c r="A2414" s="8">
        <v>2412</v>
      </c>
      <c r="B2414" s="8" t="s">
        <v>2792</v>
      </c>
      <c r="C2414" s="8" t="s">
        <v>4978</v>
      </c>
      <c r="D2414" s="8" t="s">
        <v>4979</v>
      </c>
      <c r="E2414" s="13">
        <v>2980000</v>
      </c>
      <c r="F2414" s="14">
        <v>5960185</v>
      </c>
    </row>
    <row r="2415" spans="1:6" x14ac:dyDescent="0.3">
      <c r="A2415" s="8">
        <v>2413</v>
      </c>
      <c r="B2415" s="8" t="s">
        <v>2792</v>
      </c>
      <c r="C2415" s="8" t="s">
        <v>4980</v>
      </c>
      <c r="D2415" s="8" t="s">
        <v>4981</v>
      </c>
      <c r="E2415" s="13">
        <v>0</v>
      </c>
      <c r="F2415" s="14">
        <v>6600000</v>
      </c>
    </row>
    <row r="2416" spans="1:6" x14ac:dyDescent="0.3">
      <c r="A2416" s="8">
        <v>2414</v>
      </c>
      <c r="B2416" s="8" t="s">
        <v>2792</v>
      </c>
      <c r="C2416" s="8" t="s">
        <v>4982</v>
      </c>
      <c r="D2416" s="8" t="s">
        <v>4983</v>
      </c>
      <c r="E2416" s="13">
        <v>0</v>
      </c>
      <c r="F2416" s="14">
        <v>0</v>
      </c>
    </row>
    <row r="2417" spans="1:6" x14ac:dyDescent="0.3">
      <c r="A2417" s="8">
        <v>2415</v>
      </c>
      <c r="B2417" s="8" t="s">
        <v>2792</v>
      </c>
      <c r="C2417" s="8" t="s">
        <v>4984</v>
      </c>
      <c r="D2417" s="8" t="s">
        <v>4985</v>
      </c>
      <c r="E2417" s="13">
        <v>0</v>
      </c>
      <c r="F2417" s="14">
        <v>0</v>
      </c>
    </row>
    <row r="2418" spans="1:6" x14ac:dyDescent="0.3">
      <c r="A2418" s="8">
        <v>2416</v>
      </c>
      <c r="B2418" s="8" t="s">
        <v>2792</v>
      </c>
      <c r="C2418" s="8" t="s">
        <v>4986</v>
      </c>
      <c r="D2418" s="8" t="s">
        <v>4987</v>
      </c>
      <c r="E2418" s="13">
        <v>0</v>
      </c>
      <c r="F2418" s="14">
        <v>0</v>
      </c>
    </row>
    <row r="2419" spans="1:6" x14ac:dyDescent="0.3">
      <c r="A2419" s="8">
        <v>2417</v>
      </c>
      <c r="B2419" s="8" t="s">
        <v>2792</v>
      </c>
      <c r="C2419" s="8" t="s">
        <v>4988</v>
      </c>
      <c r="D2419" s="8" t="s">
        <v>4989</v>
      </c>
      <c r="E2419" s="13">
        <v>0</v>
      </c>
      <c r="F2419" s="14">
        <v>0</v>
      </c>
    </row>
    <row r="2420" spans="1:6" x14ac:dyDescent="0.3">
      <c r="A2420" s="8">
        <v>2418</v>
      </c>
      <c r="B2420" s="8" t="s">
        <v>2792</v>
      </c>
      <c r="C2420" s="8" t="s">
        <v>4990</v>
      </c>
      <c r="D2420" s="8" t="s">
        <v>4991</v>
      </c>
      <c r="E2420" s="13">
        <v>0</v>
      </c>
      <c r="F2420" s="14">
        <v>0</v>
      </c>
    </row>
    <row r="2421" spans="1:6" x14ac:dyDescent="0.3">
      <c r="A2421" s="8">
        <v>2419</v>
      </c>
      <c r="B2421" s="8" t="s">
        <v>2792</v>
      </c>
      <c r="C2421" s="8" t="s">
        <v>4992</v>
      </c>
      <c r="D2421" s="8" t="s">
        <v>4993</v>
      </c>
      <c r="E2421" s="13">
        <v>0</v>
      </c>
      <c r="F2421" s="14">
        <v>0</v>
      </c>
    </row>
    <row r="2422" spans="1:6" x14ac:dyDescent="0.3">
      <c r="A2422" s="8">
        <v>2420</v>
      </c>
      <c r="B2422" s="8" t="s">
        <v>2792</v>
      </c>
      <c r="C2422" s="8" t="s">
        <v>4994</v>
      </c>
      <c r="D2422" s="8" t="s">
        <v>4995</v>
      </c>
      <c r="E2422" s="13">
        <v>0</v>
      </c>
      <c r="F2422" s="14">
        <v>0</v>
      </c>
    </row>
    <row r="2423" spans="1:6" x14ac:dyDescent="0.3">
      <c r="A2423" s="8">
        <v>2421</v>
      </c>
      <c r="B2423" s="8" t="s">
        <v>4148</v>
      </c>
      <c r="C2423" s="8" t="s">
        <v>4996</v>
      </c>
      <c r="D2423" s="8" t="s">
        <v>4997</v>
      </c>
      <c r="E2423" s="13">
        <v>55900</v>
      </c>
      <c r="F2423" s="14">
        <v>122000</v>
      </c>
    </row>
    <row r="2424" spans="1:6" x14ac:dyDescent="0.3">
      <c r="A2424" s="8">
        <v>2422</v>
      </c>
      <c r="B2424" s="8" t="s">
        <v>4148</v>
      </c>
      <c r="C2424" s="8" t="s">
        <v>4998</v>
      </c>
      <c r="D2424" s="8" t="s">
        <v>4999</v>
      </c>
      <c r="E2424" s="13">
        <v>0</v>
      </c>
      <c r="F2424" s="14">
        <v>0</v>
      </c>
    </row>
    <row r="2425" spans="1:6" x14ac:dyDescent="0.3">
      <c r="A2425" s="8">
        <v>2423</v>
      </c>
      <c r="B2425" s="8" t="s">
        <v>4148</v>
      </c>
      <c r="C2425" s="8" t="s">
        <v>5000</v>
      </c>
      <c r="D2425" s="8" t="s">
        <v>5001</v>
      </c>
      <c r="E2425" s="13">
        <v>45800</v>
      </c>
      <c r="F2425" s="14">
        <v>82000</v>
      </c>
    </row>
    <row r="2426" spans="1:6" x14ac:dyDescent="0.3">
      <c r="A2426" s="8">
        <v>2424</v>
      </c>
      <c r="B2426" s="8" t="s">
        <v>2229</v>
      </c>
      <c r="C2426" s="8" t="s">
        <v>5002</v>
      </c>
      <c r="D2426" s="8" t="s">
        <v>5003</v>
      </c>
      <c r="E2426" s="13">
        <v>2632000</v>
      </c>
      <c r="F2426" s="14">
        <v>6203704</v>
      </c>
    </row>
    <row r="2427" spans="1:6" x14ac:dyDescent="0.3">
      <c r="A2427" s="8">
        <v>2425</v>
      </c>
      <c r="B2427" s="8" t="s">
        <v>2229</v>
      </c>
      <c r="C2427" s="8" t="s">
        <v>5004</v>
      </c>
      <c r="D2427" s="8" t="s">
        <v>5005</v>
      </c>
      <c r="E2427" s="13">
        <v>0</v>
      </c>
      <c r="F2427" s="14">
        <v>0</v>
      </c>
    </row>
    <row r="2428" spans="1:6" x14ac:dyDescent="0.3">
      <c r="A2428" s="8">
        <v>2426</v>
      </c>
      <c r="B2428" s="8" t="s">
        <v>2229</v>
      </c>
      <c r="C2428" s="8" t="s">
        <v>5006</v>
      </c>
      <c r="D2428" s="8" t="s">
        <v>5007</v>
      </c>
      <c r="E2428" s="13">
        <v>0</v>
      </c>
      <c r="F2428" s="14">
        <v>0</v>
      </c>
    </row>
    <row r="2429" spans="1:6" x14ac:dyDescent="0.3">
      <c r="A2429" s="8">
        <v>2427</v>
      </c>
      <c r="B2429" s="8" t="s">
        <v>2300</v>
      </c>
      <c r="C2429" s="8" t="s">
        <v>5008</v>
      </c>
      <c r="D2429" s="8" t="s">
        <v>5009</v>
      </c>
      <c r="E2429" s="13">
        <v>43200</v>
      </c>
      <c r="F2429" s="14">
        <v>78000</v>
      </c>
    </row>
    <row r="2430" spans="1:6" x14ac:dyDescent="0.3">
      <c r="A2430" s="8">
        <v>2428</v>
      </c>
      <c r="B2430" s="8" t="s">
        <v>2303</v>
      </c>
      <c r="C2430" s="8" t="s">
        <v>5010</v>
      </c>
      <c r="D2430" s="8" t="s">
        <v>5011</v>
      </c>
      <c r="E2430" s="13">
        <v>26500</v>
      </c>
      <c r="F2430" s="14">
        <v>52963</v>
      </c>
    </row>
    <row r="2431" spans="1:6" x14ac:dyDescent="0.3">
      <c r="A2431" s="8">
        <v>2429</v>
      </c>
      <c r="B2431" s="8" t="s">
        <v>2303</v>
      </c>
      <c r="C2431" s="8" t="s">
        <v>5012</v>
      </c>
      <c r="D2431" s="8" t="s">
        <v>5013</v>
      </c>
      <c r="E2431" s="13">
        <v>48500</v>
      </c>
      <c r="F2431" s="14">
        <v>97037</v>
      </c>
    </row>
    <row r="2432" spans="1:6" x14ac:dyDescent="0.3">
      <c r="A2432" s="8">
        <v>2430</v>
      </c>
      <c r="B2432" s="8" t="s">
        <v>2303</v>
      </c>
      <c r="C2432" s="8" t="s">
        <v>5014</v>
      </c>
      <c r="D2432" s="8" t="s">
        <v>5015</v>
      </c>
      <c r="E2432" s="13">
        <v>87500</v>
      </c>
      <c r="F2432" s="14">
        <v>175000</v>
      </c>
    </row>
    <row r="2433" spans="1:6" x14ac:dyDescent="0.3">
      <c r="A2433" s="8">
        <v>2431</v>
      </c>
      <c r="B2433" s="8" t="s">
        <v>2303</v>
      </c>
      <c r="C2433" s="8" t="s">
        <v>5016</v>
      </c>
      <c r="D2433" s="8" t="s">
        <v>5017</v>
      </c>
      <c r="E2433" s="13">
        <v>38000</v>
      </c>
      <c r="F2433" s="14">
        <v>76019</v>
      </c>
    </row>
    <row r="2434" spans="1:6" x14ac:dyDescent="0.3">
      <c r="A2434" s="8">
        <v>2432</v>
      </c>
      <c r="B2434" s="8" t="s">
        <v>2303</v>
      </c>
      <c r="C2434" s="8" t="s">
        <v>5018</v>
      </c>
      <c r="D2434" s="8" t="s">
        <v>5019</v>
      </c>
      <c r="E2434" s="13">
        <v>87500</v>
      </c>
      <c r="F2434" s="14">
        <v>175000</v>
      </c>
    </row>
    <row r="2435" spans="1:6" x14ac:dyDescent="0.3">
      <c r="A2435" s="8">
        <v>2433</v>
      </c>
      <c r="B2435" s="8" t="s">
        <v>2303</v>
      </c>
      <c r="C2435" s="8" t="s">
        <v>5020</v>
      </c>
      <c r="D2435" s="8" t="s">
        <v>5021</v>
      </c>
      <c r="E2435" s="13">
        <v>14500</v>
      </c>
      <c r="F2435" s="14">
        <v>28981</v>
      </c>
    </row>
    <row r="2436" spans="1:6" x14ac:dyDescent="0.3">
      <c r="A2436" s="8">
        <v>2434</v>
      </c>
      <c r="B2436" s="8" t="s">
        <v>2303</v>
      </c>
      <c r="C2436" s="8" t="s">
        <v>5022</v>
      </c>
      <c r="D2436" s="8" t="s">
        <v>5023</v>
      </c>
      <c r="E2436" s="13">
        <v>0</v>
      </c>
      <c r="F2436" s="14">
        <v>0</v>
      </c>
    </row>
    <row r="2437" spans="1:6" x14ac:dyDescent="0.3">
      <c r="A2437" s="8">
        <v>2435</v>
      </c>
      <c r="B2437" s="8" t="s">
        <v>2303</v>
      </c>
      <c r="C2437" s="8" t="s">
        <v>5024</v>
      </c>
      <c r="D2437" s="8" t="s">
        <v>5025</v>
      </c>
      <c r="E2437" s="13">
        <v>0</v>
      </c>
      <c r="F2437" s="14">
        <v>0</v>
      </c>
    </row>
    <row r="2438" spans="1:6" x14ac:dyDescent="0.3">
      <c r="A2438" s="8">
        <v>2436</v>
      </c>
      <c r="B2438" s="8" t="s">
        <v>2303</v>
      </c>
      <c r="C2438" s="8" t="s">
        <v>5026</v>
      </c>
      <c r="D2438" s="8" t="s">
        <v>5027</v>
      </c>
      <c r="E2438" s="13">
        <v>73000</v>
      </c>
      <c r="F2438" s="14">
        <v>146296</v>
      </c>
    </row>
    <row r="2439" spans="1:6" x14ac:dyDescent="0.3">
      <c r="A2439" s="8">
        <v>2437</v>
      </c>
      <c r="B2439" s="8" t="s">
        <v>2303</v>
      </c>
      <c r="C2439" s="8" t="s">
        <v>5028</v>
      </c>
      <c r="D2439" s="8" t="s">
        <v>5029</v>
      </c>
      <c r="E2439" s="13">
        <v>84600</v>
      </c>
      <c r="F2439" s="14">
        <v>169444</v>
      </c>
    </row>
    <row r="2440" spans="1:6" x14ac:dyDescent="0.3">
      <c r="A2440" s="8">
        <v>2438</v>
      </c>
      <c r="B2440" s="8" t="s">
        <v>2303</v>
      </c>
      <c r="C2440" s="8" t="s">
        <v>5030</v>
      </c>
      <c r="D2440" s="8" t="s">
        <v>5031</v>
      </c>
      <c r="E2440" s="13">
        <v>111000</v>
      </c>
      <c r="F2440" s="14">
        <v>222222</v>
      </c>
    </row>
    <row r="2441" spans="1:6" x14ac:dyDescent="0.3">
      <c r="A2441" s="8">
        <v>2439</v>
      </c>
      <c r="B2441" s="8" t="s">
        <v>2303</v>
      </c>
      <c r="C2441" s="8" t="s">
        <v>5032</v>
      </c>
      <c r="D2441" s="8" t="s">
        <v>5033</v>
      </c>
      <c r="E2441" s="13">
        <v>48500</v>
      </c>
      <c r="F2441" s="14">
        <v>97037</v>
      </c>
    </row>
    <row r="2442" spans="1:6" x14ac:dyDescent="0.3">
      <c r="A2442" s="8">
        <v>2440</v>
      </c>
      <c r="B2442" s="8" t="s">
        <v>2303</v>
      </c>
      <c r="C2442" s="8" t="s">
        <v>5034</v>
      </c>
      <c r="D2442" s="8" t="s">
        <v>5035</v>
      </c>
      <c r="E2442" s="13">
        <v>23000</v>
      </c>
      <c r="F2442" s="14">
        <v>46019</v>
      </c>
    </row>
    <row r="2443" spans="1:6" x14ac:dyDescent="0.3">
      <c r="A2443" s="8">
        <v>2441</v>
      </c>
      <c r="B2443" s="8" t="s">
        <v>2303</v>
      </c>
      <c r="C2443" s="8" t="s">
        <v>5036</v>
      </c>
      <c r="D2443" s="8" t="s">
        <v>5037</v>
      </c>
      <c r="E2443" s="13">
        <v>0</v>
      </c>
      <c r="F2443" s="14">
        <v>0</v>
      </c>
    </row>
    <row r="2444" spans="1:6" x14ac:dyDescent="0.3">
      <c r="A2444" s="8">
        <v>2442</v>
      </c>
      <c r="B2444" s="8" t="s">
        <v>2303</v>
      </c>
      <c r="C2444" s="8" t="s">
        <v>5038</v>
      </c>
      <c r="D2444" s="8" t="s">
        <v>5039</v>
      </c>
      <c r="E2444" s="13">
        <v>31000</v>
      </c>
      <c r="F2444" s="14">
        <v>62037</v>
      </c>
    </row>
    <row r="2445" spans="1:6" x14ac:dyDescent="0.3">
      <c r="A2445" s="8">
        <v>2443</v>
      </c>
      <c r="B2445" s="8" t="s">
        <v>2303</v>
      </c>
      <c r="C2445" s="8" t="s">
        <v>5040</v>
      </c>
      <c r="D2445" s="8" t="s">
        <v>5041</v>
      </c>
      <c r="E2445" s="13">
        <v>37900</v>
      </c>
      <c r="F2445" s="14">
        <v>75833</v>
      </c>
    </row>
    <row r="2446" spans="1:6" x14ac:dyDescent="0.3">
      <c r="A2446" s="8">
        <v>2444</v>
      </c>
      <c r="B2446" s="8" t="s">
        <v>2303</v>
      </c>
      <c r="C2446" s="8" t="s">
        <v>5042</v>
      </c>
      <c r="D2446" s="8" t="s">
        <v>5043</v>
      </c>
      <c r="E2446" s="13">
        <v>0</v>
      </c>
      <c r="F2446" s="14">
        <v>0</v>
      </c>
    </row>
    <row r="2447" spans="1:6" x14ac:dyDescent="0.3">
      <c r="A2447" s="8">
        <v>2445</v>
      </c>
      <c r="B2447" s="8" t="s">
        <v>2303</v>
      </c>
      <c r="C2447" s="8" t="s">
        <v>5044</v>
      </c>
      <c r="D2447" s="8" t="s">
        <v>5045</v>
      </c>
      <c r="E2447" s="13">
        <v>0</v>
      </c>
      <c r="F2447" s="14">
        <v>0</v>
      </c>
    </row>
    <row r="2448" spans="1:6" x14ac:dyDescent="0.3">
      <c r="A2448" s="8">
        <v>2446</v>
      </c>
      <c r="B2448" s="8" t="s">
        <v>2303</v>
      </c>
      <c r="C2448" s="8" t="s">
        <v>5046</v>
      </c>
      <c r="D2448" s="8" t="s">
        <v>5047</v>
      </c>
      <c r="E2448" s="13">
        <v>0</v>
      </c>
      <c r="F2448" s="14">
        <v>0</v>
      </c>
    </row>
    <row r="2449" spans="1:6" x14ac:dyDescent="0.3">
      <c r="A2449" s="8">
        <v>2447</v>
      </c>
      <c r="B2449" s="8" t="s">
        <v>2792</v>
      </c>
      <c r="C2449" s="8" t="s">
        <v>5048</v>
      </c>
      <c r="D2449" s="8" t="s">
        <v>5049</v>
      </c>
      <c r="E2449" s="13">
        <v>0</v>
      </c>
      <c r="F2449" s="14">
        <v>0</v>
      </c>
    </row>
    <row r="2450" spans="1:6" x14ac:dyDescent="0.3">
      <c r="A2450" s="8">
        <v>2448</v>
      </c>
      <c r="B2450" s="8" t="s">
        <v>2792</v>
      </c>
      <c r="C2450" s="8" t="s">
        <v>5050</v>
      </c>
      <c r="D2450" s="8" t="s">
        <v>5051</v>
      </c>
      <c r="E2450" s="13">
        <v>657000</v>
      </c>
      <c r="F2450" s="14">
        <v>1146296</v>
      </c>
    </row>
    <row r="2451" spans="1:6" x14ac:dyDescent="0.3">
      <c r="A2451" s="8">
        <v>2449</v>
      </c>
      <c r="B2451" s="8" t="s">
        <v>2792</v>
      </c>
      <c r="C2451" s="8" t="s">
        <v>5052</v>
      </c>
      <c r="D2451" s="8" t="s">
        <v>5053</v>
      </c>
      <c r="E2451" s="13">
        <v>0</v>
      </c>
      <c r="F2451" s="14">
        <v>0</v>
      </c>
    </row>
    <row r="2452" spans="1:6" x14ac:dyDescent="0.3">
      <c r="A2452" s="8">
        <v>2450</v>
      </c>
      <c r="B2452" s="8" t="s">
        <v>4148</v>
      </c>
      <c r="C2452" s="8" t="s">
        <v>5054</v>
      </c>
      <c r="D2452" s="8" t="s">
        <v>5055</v>
      </c>
      <c r="E2452" s="13">
        <v>0</v>
      </c>
      <c r="F2452" s="14">
        <v>0</v>
      </c>
    </row>
    <row r="2453" spans="1:6" x14ac:dyDescent="0.3">
      <c r="A2453" s="8">
        <v>2451</v>
      </c>
      <c r="B2453" s="8" t="s">
        <v>4148</v>
      </c>
      <c r="C2453" s="8" t="s">
        <v>5056</v>
      </c>
      <c r="D2453" s="8" t="s">
        <v>5057</v>
      </c>
      <c r="E2453" s="13">
        <v>0</v>
      </c>
      <c r="F2453" s="14">
        <v>200000</v>
      </c>
    </row>
    <row r="2454" spans="1:6" x14ac:dyDescent="0.3">
      <c r="A2454" s="8">
        <v>2452</v>
      </c>
      <c r="B2454" s="8" t="s">
        <v>4148</v>
      </c>
      <c r="C2454" s="8" t="s">
        <v>5058</v>
      </c>
      <c r="D2454" s="8" t="s">
        <v>5059</v>
      </c>
      <c r="E2454" s="13">
        <v>0</v>
      </c>
      <c r="F2454" s="14">
        <v>240000</v>
      </c>
    </row>
    <row r="2455" spans="1:6" x14ac:dyDescent="0.3">
      <c r="A2455" s="8">
        <v>2453</v>
      </c>
      <c r="B2455" s="8" t="s">
        <v>4148</v>
      </c>
      <c r="C2455" s="8" t="s">
        <v>5060</v>
      </c>
      <c r="D2455" s="8" t="s">
        <v>5061</v>
      </c>
      <c r="E2455" s="13">
        <v>90600</v>
      </c>
      <c r="F2455" s="14">
        <v>179000</v>
      </c>
    </row>
    <row r="2456" spans="1:6" x14ac:dyDescent="0.3">
      <c r="A2456" s="8">
        <v>2454</v>
      </c>
      <c r="B2456" s="8" t="s">
        <v>4148</v>
      </c>
      <c r="C2456" s="8" t="s">
        <v>5062</v>
      </c>
      <c r="D2456" s="8" t="s">
        <v>5063</v>
      </c>
      <c r="E2456" s="13">
        <v>0</v>
      </c>
      <c r="F2456" s="14">
        <v>0</v>
      </c>
    </row>
    <row r="2457" spans="1:6" x14ac:dyDescent="0.3">
      <c r="A2457" s="8">
        <v>2455</v>
      </c>
      <c r="B2457" s="8" t="s">
        <v>4148</v>
      </c>
      <c r="C2457" s="8" t="s">
        <v>5064</v>
      </c>
      <c r="D2457" s="8" t="s">
        <v>5065</v>
      </c>
      <c r="E2457" s="13">
        <v>0</v>
      </c>
      <c r="F2457" s="14">
        <v>155000</v>
      </c>
    </row>
    <row r="2458" spans="1:6" x14ac:dyDescent="0.3">
      <c r="A2458" s="8">
        <v>2456</v>
      </c>
      <c r="B2458" s="8" t="s">
        <v>4148</v>
      </c>
      <c r="C2458" s="8" t="s">
        <v>5066</v>
      </c>
      <c r="D2458" s="8" t="s">
        <v>5067</v>
      </c>
      <c r="E2458" s="13">
        <v>55900</v>
      </c>
      <c r="F2458" s="14">
        <v>122000</v>
      </c>
    </row>
    <row r="2459" spans="1:6" x14ac:dyDescent="0.3">
      <c r="A2459" s="8">
        <v>2457</v>
      </c>
      <c r="B2459" s="8" t="s">
        <v>4148</v>
      </c>
      <c r="C2459" s="8" t="s">
        <v>5068</v>
      </c>
      <c r="D2459" s="8" t="s">
        <v>5069</v>
      </c>
      <c r="E2459" s="13">
        <v>90000</v>
      </c>
      <c r="F2459" s="14">
        <v>179630</v>
      </c>
    </row>
    <row r="2460" spans="1:6" x14ac:dyDescent="0.3">
      <c r="A2460" s="8">
        <v>2458</v>
      </c>
      <c r="B2460" s="8" t="s">
        <v>4148</v>
      </c>
      <c r="C2460" s="8" t="s">
        <v>5070</v>
      </c>
      <c r="D2460" s="8" t="s">
        <v>5071</v>
      </c>
      <c r="E2460" s="13">
        <v>48500</v>
      </c>
      <c r="F2460" s="14">
        <v>97037</v>
      </c>
    </row>
    <row r="2461" spans="1:6" x14ac:dyDescent="0.3">
      <c r="A2461" s="8">
        <v>2459</v>
      </c>
      <c r="B2461" s="8" t="s">
        <v>4148</v>
      </c>
      <c r="C2461" s="8" t="s">
        <v>5072</v>
      </c>
      <c r="D2461" s="8" t="s">
        <v>5073</v>
      </c>
      <c r="E2461" s="13">
        <v>0</v>
      </c>
      <c r="F2461" s="14">
        <v>185000</v>
      </c>
    </row>
    <row r="2462" spans="1:6" x14ac:dyDescent="0.3">
      <c r="A2462" s="8">
        <v>2460</v>
      </c>
      <c r="B2462" s="8" t="s">
        <v>4148</v>
      </c>
      <c r="C2462" s="8" t="s">
        <v>5074</v>
      </c>
      <c r="D2462" s="8" t="s">
        <v>5075</v>
      </c>
      <c r="E2462" s="13">
        <v>92500</v>
      </c>
      <c r="F2462" s="14">
        <v>185185</v>
      </c>
    </row>
    <row r="2463" spans="1:6" x14ac:dyDescent="0.3">
      <c r="A2463" s="8">
        <v>2461</v>
      </c>
      <c r="B2463" s="8" t="s">
        <v>4148</v>
      </c>
      <c r="C2463" s="8" t="s">
        <v>5076</v>
      </c>
      <c r="D2463" s="8" t="s">
        <v>5077</v>
      </c>
      <c r="E2463" s="13">
        <v>0</v>
      </c>
      <c r="F2463" s="14">
        <v>185000</v>
      </c>
    </row>
    <row r="2464" spans="1:6" x14ac:dyDescent="0.3">
      <c r="A2464" s="8">
        <v>2462</v>
      </c>
      <c r="B2464" s="8" t="s">
        <v>4148</v>
      </c>
      <c r="C2464" s="8" t="s">
        <v>5078</v>
      </c>
      <c r="D2464" s="8" t="s">
        <v>5079</v>
      </c>
      <c r="E2464" s="13">
        <v>0</v>
      </c>
      <c r="F2464" s="14">
        <v>185000</v>
      </c>
    </row>
    <row r="2465" spans="1:6" x14ac:dyDescent="0.3">
      <c r="A2465" s="8">
        <v>2463</v>
      </c>
      <c r="B2465" s="8" t="s">
        <v>4148</v>
      </c>
      <c r="C2465" s="8" t="s">
        <v>5080</v>
      </c>
      <c r="D2465" s="8" t="s">
        <v>5081</v>
      </c>
      <c r="E2465" s="13">
        <v>141000</v>
      </c>
      <c r="F2465" s="14">
        <v>281481</v>
      </c>
    </row>
    <row r="2466" spans="1:6" x14ac:dyDescent="0.3">
      <c r="A2466" s="8">
        <v>2464</v>
      </c>
      <c r="B2466" s="8" t="s">
        <v>4148</v>
      </c>
      <c r="C2466" s="8" t="s">
        <v>5082</v>
      </c>
      <c r="D2466" s="8" t="s">
        <v>5083</v>
      </c>
      <c r="E2466" s="13">
        <v>76300</v>
      </c>
      <c r="F2466" s="14">
        <v>170370</v>
      </c>
    </row>
    <row r="2467" spans="1:6" x14ac:dyDescent="0.3">
      <c r="A2467" s="8">
        <v>2465</v>
      </c>
      <c r="B2467" s="8" t="s">
        <v>4148</v>
      </c>
      <c r="C2467" s="8" t="s">
        <v>5084</v>
      </c>
      <c r="D2467" s="8" t="s">
        <v>5085</v>
      </c>
      <c r="E2467" s="13">
        <v>82400</v>
      </c>
      <c r="F2467" s="14">
        <v>185185</v>
      </c>
    </row>
    <row r="2468" spans="1:6" x14ac:dyDescent="0.3">
      <c r="A2468" s="8">
        <v>2466</v>
      </c>
      <c r="B2468" s="8" t="s">
        <v>4148</v>
      </c>
      <c r="C2468" s="8" t="s">
        <v>5086</v>
      </c>
      <c r="D2468" s="8" t="s">
        <v>5087</v>
      </c>
      <c r="E2468" s="13">
        <v>71000</v>
      </c>
      <c r="F2468" s="14">
        <v>158333</v>
      </c>
    </row>
    <row r="2469" spans="1:6" x14ac:dyDescent="0.3">
      <c r="A2469" s="8">
        <v>2467</v>
      </c>
      <c r="B2469" s="8" t="s">
        <v>4148</v>
      </c>
      <c r="C2469" s="8" t="s">
        <v>5088</v>
      </c>
      <c r="D2469" s="8" t="s">
        <v>5089</v>
      </c>
      <c r="E2469" s="13">
        <v>94600</v>
      </c>
      <c r="F2469" s="14">
        <v>188889</v>
      </c>
    </row>
    <row r="2470" spans="1:6" x14ac:dyDescent="0.3">
      <c r="A2470" s="8">
        <v>2468</v>
      </c>
      <c r="B2470" s="8" t="s">
        <v>4148</v>
      </c>
      <c r="C2470" s="8" t="s">
        <v>5090</v>
      </c>
      <c r="D2470" s="8" t="s">
        <v>5091</v>
      </c>
      <c r="E2470" s="13">
        <v>88000</v>
      </c>
      <c r="F2470" s="14">
        <v>175926</v>
      </c>
    </row>
    <row r="2471" spans="1:6" x14ac:dyDescent="0.3">
      <c r="A2471" s="8">
        <v>2469</v>
      </c>
      <c r="B2471" s="8" t="s">
        <v>4148</v>
      </c>
      <c r="C2471" s="8" t="s">
        <v>5092</v>
      </c>
      <c r="D2471" s="8" t="s">
        <v>5093</v>
      </c>
      <c r="E2471" s="13">
        <v>70100</v>
      </c>
      <c r="F2471" s="14">
        <v>139815</v>
      </c>
    </row>
    <row r="2472" spans="1:6" x14ac:dyDescent="0.3">
      <c r="A2472" s="8">
        <v>2470</v>
      </c>
      <c r="B2472" s="8" t="s">
        <v>4148</v>
      </c>
      <c r="C2472" s="8" t="s">
        <v>5094</v>
      </c>
      <c r="D2472" s="8" t="s">
        <v>5095</v>
      </c>
      <c r="E2472" s="13">
        <v>0</v>
      </c>
      <c r="F2472" s="14">
        <v>162000</v>
      </c>
    </row>
    <row r="2473" spans="1:6" x14ac:dyDescent="0.3">
      <c r="A2473" s="8">
        <v>2471</v>
      </c>
      <c r="B2473" s="8" t="s">
        <v>4148</v>
      </c>
      <c r="C2473" s="8" t="s">
        <v>5096</v>
      </c>
      <c r="D2473" s="8" t="s">
        <v>5097</v>
      </c>
      <c r="E2473" s="13">
        <v>0</v>
      </c>
      <c r="F2473" s="14">
        <v>386000</v>
      </c>
    </row>
    <row r="2474" spans="1:6" x14ac:dyDescent="0.3">
      <c r="A2474" s="8">
        <v>2472</v>
      </c>
      <c r="B2474" s="8" t="s">
        <v>4148</v>
      </c>
      <c r="C2474" s="8" t="s">
        <v>5098</v>
      </c>
      <c r="D2474" s="8" t="s">
        <v>5099</v>
      </c>
      <c r="E2474" s="13">
        <v>70100</v>
      </c>
      <c r="F2474" s="14">
        <v>139815</v>
      </c>
    </row>
    <row r="2475" spans="1:6" x14ac:dyDescent="0.3">
      <c r="A2475" s="8">
        <v>2473</v>
      </c>
      <c r="B2475" s="8" t="s">
        <v>4148</v>
      </c>
      <c r="C2475" s="8" t="s">
        <v>5100</v>
      </c>
      <c r="D2475" s="8" t="s">
        <v>5101</v>
      </c>
      <c r="E2475" s="13">
        <v>79500</v>
      </c>
      <c r="F2475" s="14">
        <v>159259</v>
      </c>
    </row>
    <row r="2476" spans="1:6" x14ac:dyDescent="0.3">
      <c r="A2476" s="8">
        <v>2474</v>
      </c>
      <c r="B2476" s="8" t="s">
        <v>4148</v>
      </c>
      <c r="C2476" s="8" t="s">
        <v>5102</v>
      </c>
      <c r="D2476" s="8" t="s">
        <v>5103</v>
      </c>
      <c r="E2476" s="13">
        <v>79500</v>
      </c>
      <c r="F2476" s="14">
        <v>159259</v>
      </c>
    </row>
    <row r="2477" spans="1:6" x14ac:dyDescent="0.3">
      <c r="A2477" s="8">
        <v>2475</v>
      </c>
      <c r="B2477" s="8" t="s">
        <v>4148</v>
      </c>
      <c r="C2477" s="8" t="s">
        <v>5104</v>
      </c>
      <c r="D2477" s="8" t="s">
        <v>5105</v>
      </c>
      <c r="E2477" s="13">
        <v>82400</v>
      </c>
      <c r="F2477" s="14">
        <v>185185</v>
      </c>
    </row>
    <row r="2478" spans="1:6" x14ac:dyDescent="0.3">
      <c r="A2478" s="8">
        <v>2476</v>
      </c>
      <c r="B2478" s="8" t="s">
        <v>4148</v>
      </c>
      <c r="C2478" s="8" t="s">
        <v>5106</v>
      </c>
      <c r="D2478" s="8" t="s">
        <v>5107</v>
      </c>
      <c r="E2478" s="13">
        <v>0</v>
      </c>
      <c r="F2478" s="14">
        <v>1194444</v>
      </c>
    </row>
    <row r="2479" spans="1:6" x14ac:dyDescent="0.3">
      <c r="A2479" s="8">
        <v>2477</v>
      </c>
      <c r="B2479" s="8" t="s">
        <v>4148</v>
      </c>
      <c r="C2479" s="8" t="s">
        <v>5108</v>
      </c>
      <c r="D2479" s="8" t="s">
        <v>5109</v>
      </c>
      <c r="E2479" s="13">
        <v>54400</v>
      </c>
      <c r="F2479" s="14">
        <v>122222</v>
      </c>
    </row>
    <row r="2480" spans="1:6" x14ac:dyDescent="0.3">
      <c r="A2480" s="8">
        <v>2478</v>
      </c>
      <c r="B2480" s="8" t="s">
        <v>4148</v>
      </c>
      <c r="C2480" s="8" t="s">
        <v>5110</v>
      </c>
      <c r="D2480" s="8" t="s">
        <v>5111</v>
      </c>
      <c r="E2480" s="13">
        <v>70100</v>
      </c>
      <c r="F2480" s="14">
        <v>156481</v>
      </c>
    </row>
    <row r="2481" spans="1:6" x14ac:dyDescent="0.3">
      <c r="A2481" s="8">
        <v>2479</v>
      </c>
      <c r="B2481" s="8" t="s">
        <v>4148</v>
      </c>
      <c r="C2481" s="8" t="s">
        <v>5112</v>
      </c>
      <c r="D2481" s="8" t="s">
        <v>5113</v>
      </c>
      <c r="E2481" s="13">
        <v>76300</v>
      </c>
      <c r="F2481" s="14">
        <v>170370</v>
      </c>
    </row>
    <row r="2482" spans="1:6" x14ac:dyDescent="0.3">
      <c r="A2482" s="8">
        <v>2480</v>
      </c>
      <c r="B2482" s="8" t="s">
        <v>4148</v>
      </c>
      <c r="C2482" s="8" t="s">
        <v>5114</v>
      </c>
      <c r="D2482" s="8" t="s">
        <v>5115</v>
      </c>
      <c r="E2482" s="13">
        <v>83800</v>
      </c>
      <c r="F2482" s="14">
        <v>167593</v>
      </c>
    </row>
    <row r="2483" spans="1:6" x14ac:dyDescent="0.3">
      <c r="A2483" s="8">
        <v>2481</v>
      </c>
      <c r="B2483" s="8" t="s">
        <v>4148</v>
      </c>
      <c r="C2483" s="8" t="s">
        <v>5116</v>
      </c>
      <c r="D2483" s="8" t="s">
        <v>5117</v>
      </c>
      <c r="E2483" s="13">
        <v>97200</v>
      </c>
      <c r="F2483" s="14">
        <v>194444</v>
      </c>
    </row>
    <row r="2484" spans="1:6" x14ac:dyDescent="0.3">
      <c r="A2484" s="8">
        <v>2482</v>
      </c>
      <c r="B2484" s="8" t="s">
        <v>4148</v>
      </c>
      <c r="C2484" s="8" t="s">
        <v>5118</v>
      </c>
      <c r="D2484" s="8" t="s">
        <v>5119</v>
      </c>
      <c r="E2484" s="13">
        <v>92900</v>
      </c>
      <c r="F2484" s="14">
        <v>210185</v>
      </c>
    </row>
    <row r="2485" spans="1:6" x14ac:dyDescent="0.3">
      <c r="A2485" s="8">
        <v>2483</v>
      </c>
      <c r="B2485" s="8" t="s">
        <v>4148</v>
      </c>
      <c r="C2485" s="8" t="s">
        <v>5120</v>
      </c>
      <c r="D2485" s="8" t="s">
        <v>5121</v>
      </c>
      <c r="E2485" s="13">
        <v>0</v>
      </c>
      <c r="F2485" s="14">
        <v>185000</v>
      </c>
    </row>
    <row r="2486" spans="1:6" x14ac:dyDescent="0.3">
      <c r="A2486" s="8">
        <v>2484</v>
      </c>
      <c r="B2486" s="8" t="s">
        <v>4148</v>
      </c>
      <c r="C2486" s="8" t="s">
        <v>5122</v>
      </c>
      <c r="D2486" s="8" t="s">
        <v>5123</v>
      </c>
      <c r="E2486" s="13">
        <v>0</v>
      </c>
      <c r="F2486" s="14">
        <v>0</v>
      </c>
    </row>
    <row r="2487" spans="1:6" x14ac:dyDescent="0.3">
      <c r="A2487" s="8">
        <v>2485</v>
      </c>
      <c r="B2487" s="8" t="s">
        <v>4148</v>
      </c>
      <c r="C2487" s="8" t="s">
        <v>5124</v>
      </c>
      <c r="D2487" s="8" t="s">
        <v>5125</v>
      </c>
      <c r="E2487" s="13">
        <v>148200</v>
      </c>
      <c r="F2487" s="14">
        <v>296296</v>
      </c>
    </row>
    <row r="2488" spans="1:6" x14ac:dyDescent="0.3">
      <c r="A2488" s="8">
        <v>2486</v>
      </c>
      <c r="B2488" s="8" t="s">
        <v>4148</v>
      </c>
      <c r="C2488" s="8" t="s">
        <v>5126</v>
      </c>
      <c r="D2488" s="8" t="s">
        <v>5127</v>
      </c>
      <c r="E2488" s="13">
        <v>0</v>
      </c>
      <c r="F2488" s="14">
        <v>1160185</v>
      </c>
    </row>
    <row r="2489" spans="1:6" x14ac:dyDescent="0.3">
      <c r="A2489" s="8">
        <v>2487</v>
      </c>
      <c r="B2489" s="8" t="s">
        <v>4148</v>
      </c>
      <c r="C2489" s="8" t="s">
        <v>5128</v>
      </c>
      <c r="D2489" s="8" t="s">
        <v>5129</v>
      </c>
      <c r="E2489" s="13">
        <v>97200</v>
      </c>
      <c r="F2489" s="14">
        <v>194444</v>
      </c>
    </row>
    <row r="2490" spans="1:6" x14ac:dyDescent="0.3">
      <c r="A2490" s="8">
        <v>2488</v>
      </c>
      <c r="B2490" s="8" t="s">
        <v>4148</v>
      </c>
      <c r="C2490" s="8" t="s">
        <v>5130</v>
      </c>
      <c r="D2490" s="8" t="s">
        <v>5131</v>
      </c>
      <c r="E2490" s="13">
        <v>94600</v>
      </c>
      <c r="F2490" s="14">
        <v>188889</v>
      </c>
    </row>
    <row r="2491" spans="1:6" x14ac:dyDescent="0.3">
      <c r="A2491" s="8">
        <v>2489</v>
      </c>
      <c r="B2491" s="8" t="s">
        <v>4148</v>
      </c>
      <c r="C2491" s="8" t="s">
        <v>5132</v>
      </c>
      <c r="D2491" s="8" t="s">
        <v>5133</v>
      </c>
      <c r="E2491" s="13">
        <v>83200</v>
      </c>
      <c r="F2491" s="14">
        <v>166667</v>
      </c>
    </row>
    <row r="2492" spans="1:6" x14ac:dyDescent="0.3">
      <c r="A2492" s="8">
        <v>2490</v>
      </c>
      <c r="B2492" s="8" t="s">
        <v>4148</v>
      </c>
      <c r="C2492" s="8" t="s">
        <v>5134</v>
      </c>
      <c r="D2492" s="8" t="s">
        <v>5135</v>
      </c>
      <c r="E2492" s="13">
        <v>0</v>
      </c>
      <c r="F2492" s="14">
        <v>0</v>
      </c>
    </row>
    <row r="2493" spans="1:6" x14ac:dyDescent="0.3">
      <c r="A2493" s="8">
        <v>2491</v>
      </c>
      <c r="B2493" s="8" t="s">
        <v>4148</v>
      </c>
      <c r="C2493" s="8" t="s">
        <v>5136</v>
      </c>
      <c r="D2493" s="8" t="s">
        <v>5137</v>
      </c>
      <c r="E2493" s="13">
        <v>0</v>
      </c>
      <c r="F2493" s="14">
        <v>0</v>
      </c>
    </row>
    <row r="2494" spans="1:6" x14ac:dyDescent="0.3">
      <c r="A2494" s="8">
        <v>2492</v>
      </c>
      <c r="B2494" s="8" t="s">
        <v>4148</v>
      </c>
      <c r="C2494" s="8" t="s">
        <v>5138</v>
      </c>
      <c r="D2494" s="8" t="s">
        <v>5139</v>
      </c>
      <c r="E2494" s="13">
        <v>0</v>
      </c>
      <c r="F2494" s="14">
        <v>0</v>
      </c>
    </row>
    <row r="2495" spans="1:6" x14ac:dyDescent="0.3">
      <c r="A2495" s="8">
        <v>2493</v>
      </c>
      <c r="B2495" s="8" t="s">
        <v>4148</v>
      </c>
      <c r="C2495" s="8" t="s">
        <v>5140</v>
      </c>
      <c r="D2495" s="8" t="s">
        <v>5141</v>
      </c>
      <c r="E2495" s="13">
        <v>0</v>
      </c>
      <c r="F2495" s="14">
        <v>0</v>
      </c>
    </row>
    <row r="2496" spans="1:6" x14ac:dyDescent="0.3">
      <c r="A2496" s="8">
        <v>2494</v>
      </c>
      <c r="B2496" s="8" t="s">
        <v>2303</v>
      </c>
      <c r="C2496" s="8" t="s">
        <v>5142</v>
      </c>
      <c r="D2496" s="8" t="s">
        <v>5143</v>
      </c>
      <c r="E2496" s="13">
        <v>111000</v>
      </c>
      <c r="F2496" s="14">
        <v>222222</v>
      </c>
    </row>
    <row r="2497" spans="1:6" x14ac:dyDescent="0.3">
      <c r="A2497" s="8">
        <v>2495</v>
      </c>
      <c r="B2497" s="8" t="s">
        <v>2303</v>
      </c>
      <c r="C2497" s="8" t="s">
        <v>5144</v>
      </c>
      <c r="D2497" s="8" t="s">
        <v>5145</v>
      </c>
      <c r="E2497" s="13">
        <v>133000</v>
      </c>
      <c r="F2497" s="14">
        <v>265741</v>
      </c>
    </row>
    <row r="2498" spans="1:6" x14ac:dyDescent="0.3">
      <c r="A2498" s="8">
        <v>2496</v>
      </c>
      <c r="B2498" s="8" t="s">
        <v>2303</v>
      </c>
      <c r="C2498" s="8" t="s">
        <v>5146</v>
      </c>
      <c r="D2498" s="8" t="s">
        <v>5147</v>
      </c>
      <c r="E2498" s="13">
        <v>31000</v>
      </c>
      <c r="F2498" s="14">
        <v>62037</v>
      </c>
    </row>
    <row r="2499" spans="1:6" x14ac:dyDescent="0.3">
      <c r="A2499" s="8">
        <v>2497</v>
      </c>
      <c r="B2499" s="8" t="s">
        <v>2303</v>
      </c>
      <c r="C2499" s="8" t="s">
        <v>5148</v>
      </c>
      <c r="D2499" s="8" t="s">
        <v>5149</v>
      </c>
      <c r="E2499" s="13">
        <v>0</v>
      </c>
      <c r="F2499" s="14">
        <v>0</v>
      </c>
    </row>
    <row r="2500" spans="1:6" x14ac:dyDescent="0.3">
      <c r="A2500" s="8">
        <v>2498</v>
      </c>
      <c r="B2500" s="8" t="s">
        <v>2303</v>
      </c>
      <c r="C2500" s="8" t="s">
        <v>5150</v>
      </c>
      <c r="D2500" s="8" t="s">
        <v>5151</v>
      </c>
      <c r="E2500" s="13">
        <v>0</v>
      </c>
      <c r="F2500" s="14">
        <v>0</v>
      </c>
    </row>
    <row r="2501" spans="1:6" x14ac:dyDescent="0.3">
      <c r="A2501" s="8">
        <v>2499</v>
      </c>
      <c r="B2501" s="8" t="s">
        <v>2303</v>
      </c>
      <c r="C2501" s="8" t="s">
        <v>5152</v>
      </c>
      <c r="D2501" s="8" t="s">
        <v>5153</v>
      </c>
      <c r="E2501" s="13">
        <v>0</v>
      </c>
      <c r="F2501" s="14">
        <v>0</v>
      </c>
    </row>
    <row r="2502" spans="1:6" x14ac:dyDescent="0.3">
      <c r="A2502" s="8">
        <v>2500</v>
      </c>
      <c r="B2502" s="8" t="s">
        <v>2303</v>
      </c>
      <c r="C2502" s="8" t="s">
        <v>5154</v>
      </c>
      <c r="D2502" s="8" t="s">
        <v>5155</v>
      </c>
      <c r="E2502" s="13">
        <v>0</v>
      </c>
      <c r="F2502" s="14">
        <v>0</v>
      </c>
    </row>
    <row r="2503" spans="1:6" x14ac:dyDescent="0.3">
      <c r="A2503" s="8">
        <v>2501</v>
      </c>
      <c r="B2503" s="8" t="s">
        <v>2303</v>
      </c>
      <c r="C2503" s="8" t="s">
        <v>5156</v>
      </c>
      <c r="D2503" s="8" t="s">
        <v>5157</v>
      </c>
      <c r="E2503" s="13">
        <v>0</v>
      </c>
      <c r="F2503" s="14">
        <v>0</v>
      </c>
    </row>
    <row r="2504" spans="1:6" x14ac:dyDescent="0.3">
      <c r="A2504" s="8">
        <v>2502</v>
      </c>
      <c r="B2504" s="8" t="s">
        <v>2303</v>
      </c>
      <c r="C2504" s="8" t="s">
        <v>5158</v>
      </c>
      <c r="D2504" s="8" t="s">
        <v>5159</v>
      </c>
      <c r="E2504" s="13">
        <v>0</v>
      </c>
      <c r="F2504" s="14">
        <v>0</v>
      </c>
    </row>
    <row r="2505" spans="1:6" x14ac:dyDescent="0.3">
      <c r="A2505" s="8">
        <v>2503</v>
      </c>
      <c r="B2505" s="8" t="s">
        <v>2792</v>
      </c>
      <c r="C2505" s="8" t="s">
        <v>5160</v>
      </c>
      <c r="D2505" s="8" t="s">
        <v>5161</v>
      </c>
      <c r="E2505" s="13">
        <v>0</v>
      </c>
      <c r="F2505" s="14">
        <v>0</v>
      </c>
    </row>
    <row r="2506" spans="1:6" x14ac:dyDescent="0.3">
      <c r="A2506" s="8">
        <v>2504</v>
      </c>
      <c r="B2506" s="8" t="s">
        <v>2792</v>
      </c>
      <c r="C2506" s="8" t="s">
        <v>5162</v>
      </c>
      <c r="D2506" s="8" t="s">
        <v>5163</v>
      </c>
      <c r="E2506" s="13">
        <v>2333000</v>
      </c>
      <c r="F2506" s="14">
        <v>4665741</v>
      </c>
    </row>
    <row r="2507" spans="1:6" x14ac:dyDescent="0.3">
      <c r="A2507" s="8">
        <v>2505</v>
      </c>
      <c r="B2507" s="8" t="s">
        <v>2792</v>
      </c>
      <c r="C2507" s="8" t="s">
        <v>5164</v>
      </c>
      <c r="D2507" s="8" t="s">
        <v>5165</v>
      </c>
      <c r="E2507" s="13">
        <v>0</v>
      </c>
      <c r="F2507" s="14">
        <v>3440000</v>
      </c>
    </row>
    <row r="2508" spans="1:6" x14ac:dyDescent="0.3">
      <c r="A2508" s="8">
        <v>2506</v>
      </c>
      <c r="B2508" s="8" t="s">
        <v>2792</v>
      </c>
      <c r="C2508" s="8" t="s">
        <v>5166</v>
      </c>
      <c r="D2508" s="8" t="s">
        <v>5167</v>
      </c>
      <c r="E2508" s="13">
        <v>2200000</v>
      </c>
      <c r="F2508" s="14">
        <v>4400000</v>
      </c>
    </row>
    <row r="2509" spans="1:6" x14ac:dyDescent="0.3">
      <c r="A2509" s="8">
        <v>2507</v>
      </c>
      <c r="B2509" s="8" t="s">
        <v>2792</v>
      </c>
      <c r="C2509" s="8" t="s">
        <v>5168</v>
      </c>
      <c r="D2509" s="8" t="s">
        <v>5169</v>
      </c>
      <c r="E2509" s="13">
        <v>125000</v>
      </c>
      <c r="F2509" s="14">
        <v>250000</v>
      </c>
    </row>
    <row r="2510" spans="1:6" x14ac:dyDescent="0.3">
      <c r="A2510" s="8">
        <v>2508</v>
      </c>
      <c r="B2510" s="8" t="s">
        <v>2792</v>
      </c>
      <c r="C2510" s="8" t="s">
        <v>5170</v>
      </c>
      <c r="D2510" s="8" t="s">
        <v>5171</v>
      </c>
      <c r="E2510" s="13">
        <v>1260000</v>
      </c>
      <c r="F2510" s="14">
        <v>2520370</v>
      </c>
    </row>
    <row r="2511" spans="1:6" x14ac:dyDescent="0.3">
      <c r="A2511" s="8">
        <v>2509</v>
      </c>
      <c r="B2511" s="8" t="s">
        <v>2792</v>
      </c>
      <c r="C2511" s="8" t="s">
        <v>5172</v>
      </c>
      <c r="D2511" s="8" t="s">
        <v>5173</v>
      </c>
      <c r="E2511" s="13">
        <v>0</v>
      </c>
      <c r="F2511" s="14">
        <v>0</v>
      </c>
    </row>
    <row r="2512" spans="1:6" x14ac:dyDescent="0.3">
      <c r="A2512" s="8">
        <v>2510</v>
      </c>
      <c r="B2512" s="8" t="s">
        <v>2792</v>
      </c>
      <c r="C2512" s="8" t="s">
        <v>5174</v>
      </c>
      <c r="D2512" s="8" t="s">
        <v>5175</v>
      </c>
      <c r="E2512" s="13">
        <v>0</v>
      </c>
      <c r="F2512" s="14">
        <v>0</v>
      </c>
    </row>
    <row r="2513" spans="1:6" x14ac:dyDescent="0.3">
      <c r="A2513" s="8">
        <v>2511</v>
      </c>
      <c r="B2513" s="8" t="s">
        <v>2792</v>
      </c>
      <c r="C2513" s="8" t="s">
        <v>5176</v>
      </c>
      <c r="D2513" s="8" t="s">
        <v>5177</v>
      </c>
      <c r="E2513" s="13">
        <v>0</v>
      </c>
      <c r="F2513" s="14">
        <v>0</v>
      </c>
    </row>
    <row r="2514" spans="1:6" x14ac:dyDescent="0.3">
      <c r="A2514" s="8">
        <v>2512</v>
      </c>
      <c r="B2514" s="8" t="s">
        <v>2792</v>
      </c>
      <c r="C2514" s="8" t="s">
        <v>5178</v>
      </c>
      <c r="D2514" s="8" t="s">
        <v>5179</v>
      </c>
      <c r="E2514" s="13">
        <v>0</v>
      </c>
      <c r="F2514" s="14">
        <v>1050000</v>
      </c>
    </row>
    <row r="2515" spans="1:6" x14ac:dyDescent="0.3">
      <c r="A2515" s="8">
        <v>2513</v>
      </c>
      <c r="B2515" s="8" t="s">
        <v>2792</v>
      </c>
      <c r="C2515" s="8" t="s">
        <v>5180</v>
      </c>
      <c r="D2515" s="8" t="s">
        <v>5181</v>
      </c>
      <c r="E2515" s="13">
        <v>0</v>
      </c>
      <c r="F2515" s="14">
        <v>0</v>
      </c>
    </row>
    <row r="2516" spans="1:6" x14ac:dyDescent="0.3">
      <c r="A2516" s="8">
        <v>2514</v>
      </c>
      <c r="B2516" s="8" t="s">
        <v>2792</v>
      </c>
      <c r="C2516" s="8" t="s">
        <v>5182</v>
      </c>
      <c r="D2516" s="8" t="s">
        <v>5183</v>
      </c>
      <c r="E2516" s="13">
        <v>0</v>
      </c>
      <c r="F2516" s="14">
        <v>5200000</v>
      </c>
    </row>
    <row r="2517" spans="1:6" x14ac:dyDescent="0.3">
      <c r="A2517" s="8">
        <v>2515</v>
      </c>
      <c r="B2517" s="8" t="s">
        <v>2792</v>
      </c>
      <c r="C2517" s="8" t="s">
        <v>5184</v>
      </c>
      <c r="D2517" s="8" t="s">
        <v>5185</v>
      </c>
      <c r="E2517" s="13">
        <v>136000</v>
      </c>
      <c r="F2517" s="14">
        <v>274074</v>
      </c>
    </row>
    <row r="2518" spans="1:6" x14ac:dyDescent="0.3">
      <c r="A2518" s="8">
        <v>2516</v>
      </c>
      <c r="B2518" s="8" t="s">
        <v>2792</v>
      </c>
      <c r="C2518" s="8" t="s">
        <v>5186</v>
      </c>
      <c r="D2518" s="8" t="s">
        <v>5187</v>
      </c>
      <c r="E2518" s="13">
        <v>1644000</v>
      </c>
      <c r="F2518" s="14">
        <v>2610000</v>
      </c>
    </row>
    <row r="2519" spans="1:6" x14ac:dyDescent="0.3">
      <c r="A2519" s="8">
        <v>2517</v>
      </c>
      <c r="B2519" s="8" t="s">
        <v>2792</v>
      </c>
      <c r="C2519" s="8" t="s">
        <v>5188</v>
      </c>
      <c r="D2519" s="8" t="s">
        <v>5189</v>
      </c>
      <c r="E2519" s="13">
        <v>0</v>
      </c>
      <c r="F2519" s="14">
        <v>0</v>
      </c>
    </row>
    <row r="2520" spans="1:6" x14ac:dyDescent="0.3">
      <c r="A2520" s="8">
        <v>2518</v>
      </c>
      <c r="B2520" s="8" t="s">
        <v>2792</v>
      </c>
      <c r="C2520" s="8" t="s">
        <v>5190</v>
      </c>
      <c r="D2520" s="8" t="s">
        <v>5191</v>
      </c>
      <c r="E2520" s="13">
        <v>0</v>
      </c>
      <c r="F2520" s="14">
        <v>3300000</v>
      </c>
    </row>
    <row r="2521" spans="1:6" x14ac:dyDescent="0.3">
      <c r="A2521" s="8">
        <v>2519</v>
      </c>
      <c r="B2521" s="8" t="s">
        <v>2792</v>
      </c>
      <c r="C2521" s="8" t="s">
        <v>5192</v>
      </c>
      <c r="D2521" s="8" t="s">
        <v>5193</v>
      </c>
      <c r="E2521" s="13">
        <v>0</v>
      </c>
      <c r="F2521" s="14">
        <v>0</v>
      </c>
    </row>
    <row r="2522" spans="1:6" x14ac:dyDescent="0.3">
      <c r="A2522" s="8">
        <v>2520</v>
      </c>
      <c r="B2522" s="8" t="s">
        <v>2792</v>
      </c>
      <c r="C2522" s="8" t="s">
        <v>5194</v>
      </c>
      <c r="D2522" s="8" t="s">
        <v>5195</v>
      </c>
      <c r="E2522" s="13">
        <v>0</v>
      </c>
      <c r="F2522" s="14">
        <v>0</v>
      </c>
    </row>
    <row r="2523" spans="1:6" x14ac:dyDescent="0.3">
      <c r="A2523" s="8">
        <v>2521</v>
      </c>
      <c r="B2523" s="8" t="s">
        <v>2792</v>
      </c>
      <c r="C2523" s="8" t="s">
        <v>5196</v>
      </c>
      <c r="D2523" s="8" t="s">
        <v>5197</v>
      </c>
      <c r="E2523" s="13">
        <v>3400000</v>
      </c>
      <c r="F2523" s="14">
        <v>6800000</v>
      </c>
    </row>
    <row r="2524" spans="1:6" x14ac:dyDescent="0.3">
      <c r="A2524" s="8">
        <v>2522</v>
      </c>
      <c r="B2524" s="8" t="s">
        <v>2792</v>
      </c>
      <c r="C2524" s="8" t="s">
        <v>5198</v>
      </c>
      <c r="D2524" s="8" t="s">
        <v>5199</v>
      </c>
      <c r="E2524" s="13">
        <v>0</v>
      </c>
      <c r="F2524" s="14">
        <v>0</v>
      </c>
    </row>
    <row r="2525" spans="1:6" x14ac:dyDescent="0.3">
      <c r="A2525" s="8">
        <v>2523</v>
      </c>
      <c r="B2525" s="8" t="s">
        <v>2792</v>
      </c>
      <c r="C2525" s="8" t="s">
        <v>5200</v>
      </c>
      <c r="D2525" s="8" t="s">
        <v>5201</v>
      </c>
      <c r="E2525" s="13">
        <v>0</v>
      </c>
      <c r="F2525" s="14">
        <v>0</v>
      </c>
    </row>
    <row r="2526" spans="1:6" x14ac:dyDescent="0.3">
      <c r="A2526" s="8">
        <v>2524</v>
      </c>
      <c r="B2526" s="8" t="s">
        <v>2792</v>
      </c>
      <c r="C2526" s="8" t="s">
        <v>5202</v>
      </c>
      <c r="D2526" s="8" t="s">
        <v>5203</v>
      </c>
      <c r="E2526" s="13">
        <v>0</v>
      </c>
      <c r="F2526" s="14">
        <v>0</v>
      </c>
    </row>
    <row r="2527" spans="1:6" x14ac:dyDescent="0.3">
      <c r="A2527" s="8">
        <v>2525</v>
      </c>
      <c r="B2527" s="8" t="s">
        <v>2792</v>
      </c>
      <c r="C2527" s="8" t="s">
        <v>5204</v>
      </c>
      <c r="D2527" s="8" t="s">
        <v>5205</v>
      </c>
      <c r="E2527" s="13">
        <v>155000</v>
      </c>
      <c r="F2527" s="14">
        <v>310185</v>
      </c>
    </row>
    <row r="2528" spans="1:6" x14ac:dyDescent="0.3">
      <c r="A2528" s="8">
        <v>2526</v>
      </c>
      <c r="B2528" s="8" t="s">
        <v>2792</v>
      </c>
      <c r="C2528" s="8" t="s">
        <v>5206</v>
      </c>
      <c r="D2528" s="8" t="s">
        <v>5207</v>
      </c>
      <c r="E2528" s="13">
        <v>0</v>
      </c>
      <c r="F2528" s="14">
        <v>0</v>
      </c>
    </row>
    <row r="2529" spans="1:6" x14ac:dyDescent="0.3">
      <c r="A2529" s="8">
        <v>2527</v>
      </c>
      <c r="B2529" s="8" t="s">
        <v>2792</v>
      </c>
      <c r="C2529" s="8" t="s">
        <v>5208</v>
      </c>
      <c r="D2529" s="8" t="s">
        <v>5209</v>
      </c>
      <c r="E2529" s="13">
        <v>0</v>
      </c>
      <c r="F2529" s="14">
        <v>0</v>
      </c>
    </row>
    <row r="2530" spans="1:6" x14ac:dyDescent="0.3">
      <c r="A2530" s="8">
        <v>2528</v>
      </c>
      <c r="B2530" s="8" t="s">
        <v>2792</v>
      </c>
      <c r="C2530" s="8" t="s">
        <v>5210</v>
      </c>
      <c r="D2530" s="8" t="s">
        <v>5211</v>
      </c>
      <c r="E2530" s="13">
        <v>0</v>
      </c>
      <c r="F2530" s="14">
        <v>0</v>
      </c>
    </row>
    <row r="2531" spans="1:6" x14ac:dyDescent="0.3">
      <c r="A2531" s="8">
        <v>2529</v>
      </c>
      <c r="B2531" s="8" t="s">
        <v>2792</v>
      </c>
      <c r="C2531" s="8" t="s">
        <v>5212</v>
      </c>
      <c r="D2531" s="8" t="s">
        <v>5213</v>
      </c>
      <c r="E2531" s="13">
        <v>0</v>
      </c>
      <c r="F2531" s="14">
        <v>0</v>
      </c>
    </row>
    <row r="2532" spans="1:6" x14ac:dyDescent="0.3">
      <c r="A2532" s="8">
        <v>2530</v>
      </c>
      <c r="B2532" s="8" t="s">
        <v>2792</v>
      </c>
      <c r="C2532" s="8" t="s">
        <v>5214</v>
      </c>
      <c r="D2532" s="8" t="s">
        <v>5215</v>
      </c>
      <c r="E2532" s="13">
        <v>0</v>
      </c>
      <c r="F2532" s="14">
        <v>0</v>
      </c>
    </row>
    <row r="2533" spans="1:6" x14ac:dyDescent="0.3">
      <c r="A2533" s="8">
        <v>2531</v>
      </c>
      <c r="B2533" s="8" t="s">
        <v>2792</v>
      </c>
      <c r="C2533" s="8" t="s">
        <v>5216</v>
      </c>
      <c r="D2533" s="8" t="s">
        <v>5217</v>
      </c>
      <c r="E2533" s="13">
        <v>0</v>
      </c>
      <c r="F2533" s="14">
        <v>0</v>
      </c>
    </row>
    <row r="2534" spans="1:6" x14ac:dyDescent="0.3">
      <c r="A2534" s="8">
        <v>2532</v>
      </c>
      <c r="B2534" s="8" t="s">
        <v>4148</v>
      </c>
      <c r="C2534" s="8" t="s">
        <v>5218</v>
      </c>
      <c r="D2534" s="8" t="s">
        <v>5219</v>
      </c>
      <c r="E2534" s="13">
        <v>0</v>
      </c>
      <c r="F2534" s="14">
        <v>0</v>
      </c>
    </row>
    <row r="2535" spans="1:6" x14ac:dyDescent="0.3">
      <c r="A2535" s="8">
        <v>2533</v>
      </c>
      <c r="B2535" s="8" t="s">
        <v>4148</v>
      </c>
      <c r="C2535" s="8" t="s">
        <v>5220</v>
      </c>
      <c r="D2535" s="8" t="s">
        <v>5221</v>
      </c>
      <c r="E2535" s="13">
        <v>0</v>
      </c>
      <c r="F2535" s="14">
        <v>240000</v>
      </c>
    </row>
    <row r="2536" spans="1:6" x14ac:dyDescent="0.3">
      <c r="A2536" s="8">
        <v>2534</v>
      </c>
      <c r="B2536" s="8" t="s">
        <v>4148</v>
      </c>
      <c r="C2536" s="8" t="s">
        <v>5222</v>
      </c>
      <c r="D2536" s="8" t="s">
        <v>5223</v>
      </c>
      <c r="E2536" s="13">
        <v>0</v>
      </c>
      <c r="F2536" s="14">
        <v>0</v>
      </c>
    </row>
    <row r="2537" spans="1:6" x14ac:dyDescent="0.3">
      <c r="A2537" s="8">
        <v>2535</v>
      </c>
      <c r="B2537" s="8" t="s">
        <v>4148</v>
      </c>
      <c r="C2537" s="8" t="s">
        <v>5224</v>
      </c>
      <c r="D2537" s="8" t="s">
        <v>5225</v>
      </c>
      <c r="E2537" s="13">
        <v>72700</v>
      </c>
      <c r="F2537" s="14">
        <v>145370</v>
      </c>
    </row>
    <row r="2538" spans="1:6" x14ac:dyDescent="0.3">
      <c r="A2538" s="8">
        <v>2536</v>
      </c>
      <c r="B2538" s="8" t="s">
        <v>4148</v>
      </c>
      <c r="C2538" s="8" t="s">
        <v>5226</v>
      </c>
      <c r="D2538" s="8" t="s">
        <v>5227</v>
      </c>
      <c r="E2538" s="13">
        <v>72700</v>
      </c>
      <c r="F2538" s="14">
        <v>145370</v>
      </c>
    </row>
    <row r="2539" spans="1:6" x14ac:dyDescent="0.3">
      <c r="A2539" s="8">
        <v>2537</v>
      </c>
      <c r="B2539" s="8" t="s">
        <v>4148</v>
      </c>
      <c r="C2539" s="8" t="s">
        <v>5228</v>
      </c>
      <c r="D2539" s="8" t="s">
        <v>5229</v>
      </c>
      <c r="E2539" s="13">
        <v>167000</v>
      </c>
      <c r="F2539" s="14">
        <v>287000</v>
      </c>
    </row>
    <row r="2540" spans="1:6" x14ac:dyDescent="0.3">
      <c r="A2540" s="8">
        <v>2538</v>
      </c>
      <c r="B2540" s="8" t="s">
        <v>4148</v>
      </c>
      <c r="C2540" s="8" t="s">
        <v>5230</v>
      </c>
      <c r="D2540" s="8" t="s">
        <v>5231</v>
      </c>
      <c r="E2540" s="13">
        <v>0</v>
      </c>
      <c r="F2540" s="14">
        <v>0</v>
      </c>
    </row>
    <row r="2541" spans="1:6" x14ac:dyDescent="0.3">
      <c r="A2541" s="8">
        <v>2539</v>
      </c>
      <c r="B2541" s="8" t="s">
        <v>4148</v>
      </c>
      <c r="C2541" s="8" t="s">
        <v>5232</v>
      </c>
      <c r="D2541" s="8" t="s">
        <v>5233</v>
      </c>
      <c r="E2541" s="13">
        <v>73000</v>
      </c>
      <c r="F2541" s="14">
        <v>146296</v>
      </c>
    </row>
    <row r="2542" spans="1:6" x14ac:dyDescent="0.3">
      <c r="A2542" s="8">
        <v>2540</v>
      </c>
      <c r="B2542" s="8" t="s">
        <v>4148</v>
      </c>
      <c r="C2542" s="8" t="s">
        <v>5234</v>
      </c>
      <c r="D2542" s="8" t="s">
        <v>5235</v>
      </c>
      <c r="E2542" s="13">
        <v>0</v>
      </c>
      <c r="F2542" s="14">
        <v>0</v>
      </c>
    </row>
    <row r="2543" spans="1:6" x14ac:dyDescent="0.3">
      <c r="A2543" s="8">
        <v>2541</v>
      </c>
      <c r="B2543" s="8" t="s">
        <v>4148</v>
      </c>
      <c r="C2543" s="8" t="s">
        <v>5236</v>
      </c>
      <c r="D2543" s="8" t="s">
        <v>5237</v>
      </c>
      <c r="E2543" s="13">
        <v>66200</v>
      </c>
      <c r="F2543" s="14">
        <v>144000</v>
      </c>
    </row>
    <row r="2544" spans="1:6" x14ac:dyDescent="0.3">
      <c r="A2544" s="8">
        <v>2542</v>
      </c>
      <c r="B2544" s="8" t="s">
        <v>2303</v>
      </c>
      <c r="C2544" s="8" t="s">
        <v>5238</v>
      </c>
      <c r="D2544" s="8" t="s">
        <v>5239</v>
      </c>
      <c r="E2544" s="13">
        <v>0</v>
      </c>
      <c r="F2544" s="14">
        <v>0</v>
      </c>
    </row>
    <row r="2545" spans="1:6" x14ac:dyDescent="0.3">
      <c r="A2545" s="8">
        <v>2543</v>
      </c>
      <c r="B2545" s="8" t="s">
        <v>2303</v>
      </c>
      <c r="C2545" s="8" t="s">
        <v>5240</v>
      </c>
      <c r="D2545" s="8" t="s">
        <v>5241</v>
      </c>
      <c r="E2545" s="13">
        <v>48500</v>
      </c>
      <c r="F2545" s="14">
        <v>97037</v>
      </c>
    </row>
    <row r="2546" spans="1:6" x14ac:dyDescent="0.3">
      <c r="A2546" s="8">
        <v>2544</v>
      </c>
      <c r="B2546" s="8" t="s">
        <v>2303</v>
      </c>
      <c r="C2546" s="8" t="s">
        <v>5242</v>
      </c>
      <c r="D2546" s="8" t="s">
        <v>5243</v>
      </c>
      <c r="E2546" s="13">
        <v>72300</v>
      </c>
      <c r="F2546" s="14">
        <v>144444</v>
      </c>
    </row>
    <row r="2547" spans="1:6" x14ac:dyDescent="0.3">
      <c r="A2547" s="8">
        <v>2545</v>
      </c>
      <c r="B2547" s="8" t="s">
        <v>2303</v>
      </c>
      <c r="C2547" s="8" t="s">
        <v>5244</v>
      </c>
      <c r="D2547" s="8" t="s">
        <v>5245</v>
      </c>
      <c r="E2547" s="13">
        <v>31000</v>
      </c>
      <c r="F2547" s="14">
        <v>62037</v>
      </c>
    </row>
    <row r="2548" spans="1:6" x14ac:dyDescent="0.3">
      <c r="A2548" s="8">
        <v>2546</v>
      </c>
      <c r="B2548" s="8" t="s">
        <v>2303</v>
      </c>
      <c r="C2548" s="8" t="s">
        <v>5246</v>
      </c>
      <c r="D2548" s="8" t="s">
        <v>5247</v>
      </c>
      <c r="E2548" s="13">
        <v>208000</v>
      </c>
      <c r="F2548" s="14">
        <v>415741</v>
      </c>
    </row>
    <row r="2549" spans="1:6" x14ac:dyDescent="0.3">
      <c r="A2549" s="8">
        <v>2547</v>
      </c>
      <c r="B2549" s="8" t="s">
        <v>2303</v>
      </c>
      <c r="C2549" s="8" t="s">
        <v>5248</v>
      </c>
      <c r="D2549" s="8" t="s">
        <v>5249</v>
      </c>
      <c r="E2549" s="13">
        <v>0</v>
      </c>
      <c r="F2549" s="14">
        <v>0</v>
      </c>
    </row>
    <row r="2550" spans="1:6" x14ac:dyDescent="0.3">
      <c r="A2550" s="8">
        <v>2548</v>
      </c>
      <c r="B2550" s="8" t="s">
        <v>2303</v>
      </c>
      <c r="C2550" s="8" t="s">
        <v>5250</v>
      </c>
      <c r="D2550" s="8" t="s">
        <v>5251</v>
      </c>
      <c r="E2550" s="13">
        <v>18000</v>
      </c>
      <c r="F2550" s="14">
        <v>36019</v>
      </c>
    </row>
    <row r="2551" spans="1:6" x14ac:dyDescent="0.3">
      <c r="A2551" s="8">
        <v>2549</v>
      </c>
      <c r="B2551" s="8" t="s">
        <v>2303</v>
      </c>
      <c r="C2551" s="8" t="s">
        <v>5252</v>
      </c>
      <c r="D2551" s="8" t="s">
        <v>5253</v>
      </c>
      <c r="E2551" s="13">
        <v>133000</v>
      </c>
      <c r="F2551" s="14">
        <v>265741</v>
      </c>
    </row>
    <row r="2552" spans="1:6" x14ac:dyDescent="0.3">
      <c r="A2552" s="8">
        <v>2550</v>
      </c>
      <c r="B2552" s="8" t="s">
        <v>2303</v>
      </c>
      <c r="C2552" s="8" t="s">
        <v>5254</v>
      </c>
      <c r="D2552" s="8" t="s">
        <v>5255</v>
      </c>
      <c r="E2552" s="13">
        <v>18000</v>
      </c>
      <c r="F2552" s="14">
        <v>36019</v>
      </c>
    </row>
    <row r="2553" spans="1:6" x14ac:dyDescent="0.3">
      <c r="A2553" s="8">
        <v>2551</v>
      </c>
      <c r="B2553" s="8" t="s">
        <v>2303</v>
      </c>
      <c r="C2553" s="8" t="s">
        <v>5256</v>
      </c>
      <c r="D2553" s="8" t="s">
        <v>5257</v>
      </c>
      <c r="E2553" s="13">
        <v>63000</v>
      </c>
      <c r="F2553" s="14">
        <v>125926</v>
      </c>
    </row>
    <row r="2554" spans="1:6" x14ac:dyDescent="0.3">
      <c r="A2554" s="8">
        <v>2552</v>
      </c>
      <c r="B2554" s="8" t="s">
        <v>2303</v>
      </c>
      <c r="C2554" s="8" t="s">
        <v>5258</v>
      </c>
      <c r="D2554" s="8" t="s">
        <v>5259</v>
      </c>
      <c r="E2554" s="13">
        <v>31000</v>
      </c>
      <c r="F2554" s="14">
        <v>62037</v>
      </c>
    </row>
    <row r="2555" spans="1:6" x14ac:dyDescent="0.3">
      <c r="A2555" s="8">
        <v>2553</v>
      </c>
      <c r="B2555" s="8" t="s">
        <v>2303</v>
      </c>
      <c r="C2555" s="8" t="s">
        <v>5260</v>
      </c>
      <c r="D2555" s="8" t="s">
        <v>5261</v>
      </c>
      <c r="E2555" s="13">
        <v>97200</v>
      </c>
      <c r="F2555" s="14">
        <v>194444</v>
      </c>
    </row>
    <row r="2556" spans="1:6" x14ac:dyDescent="0.3">
      <c r="A2556" s="8">
        <v>2554</v>
      </c>
      <c r="B2556" s="8" t="s">
        <v>2303</v>
      </c>
      <c r="C2556" s="8" t="s">
        <v>5262</v>
      </c>
      <c r="D2556" s="8" t="s">
        <v>5263</v>
      </c>
      <c r="E2556" s="13">
        <v>133000</v>
      </c>
      <c r="F2556" s="14">
        <v>265741</v>
      </c>
    </row>
    <row r="2557" spans="1:6" x14ac:dyDescent="0.3">
      <c r="A2557" s="8">
        <v>2555</v>
      </c>
      <c r="B2557" s="8" t="s">
        <v>2792</v>
      </c>
      <c r="C2557" s="8" t="s">
        <v>5264</v>
      </c>
      <c r="D2557" s="8" t="s">
        <v>5265</v>
      </c>
      <c r="E2557" s="13">
        <v>1648800</v>
      </c>
      <c r="F2557" s="14">
        <v>2874074</v>
      </c>
    </row>
    <row r="2558" spans="1:6" x14ac:dyDescent="0.3">
      <c r="A2558" s="8">
        <v>2556</v>
      </c>
      <c r="B2558" s="8" t="s">
        <v>2792</v>
      </c>
      <c r="C2558" s="8" t="s">
        <v>5266</v>
      </c>
      <c r="D2558" s="8" t="s">
        <v>5267</v>
      </c>
      <c r="E2558" s="13">
        <v>253600</v>
      </c>
      <c r="F2558" s="14">
        <v>438000</v>
      </c>
    </row>
    <row r="2559" spans="1:6" x14ac:dyDescent="0.3">
      <c r="A2559" s="8">
        <v>2557</v>
      </c>
      <c r="B2559" s="8" t="s">
        <v>2792</v>
      </c>
      <c r="C2559" s="8" t="s">
        <v>5268</v>
      </c>
      <c r="D2559" s="8" t="s">
        <v>5269</v>
      </c>
      <c r="E2559" s="13">
        <v>0</v>
      </c>
      <c r="F2559" s="14">
        <v>3190000</v>
      </c>
    </row>
    <row r="2560" spans="1:6" x14ac:dyDescent="0.3">
      <c r="A2560" s="8">
        <v>2558</v>
      </c>
      <c r="B2560" s="8" t="s">
        <v>2792</v>
      </c>
      <c r="C2560" s="8" t="s">
        <v>5270</v>
      </c>
      <c r="D2560" s="8" t="s">
        <v>5271</v>
      </c>
      <c r="E2560" s="13">
        <v>1236000</v>
      </c>
      <c r="F2560" s="14">
        <v>2472222</v>
      </c>
    </row>
    <row r="2561" spans="1:6" x14ac:dyDescent="0.3">
      <c r="A2561" s="8">
        <v>2559</v>
      </c>
      <c r="B2561" s="8" t="s">
        <v>2792</v>
      </c>
      <c r="C2561" s="8" t="s">
        <v>5272</v>
      </c>
      <c r="D2561" s="8" t="s">
        <v>5273</v>
      </c>
      <c r="E2561" s="13">
        <v>1949000</v>
      </c>
      <c r="F2561" s="14">
        <v>3898148</v>
      </c>
    </row>
    <row r="2562" spans="1:6" x14ac:dyDescent="0.3">
      <c r="A2562" s="8">
        <v>2560</v>
      </c>
      <c r="B2562" s="8" t="s">
        <v>2792</v>
      </c>
      <c r="C2562" s="8" t="s">
        <v>5274</v>
      </c>
      <c r="D2562" s="8" t="s">
        <v>5275</v>
      </c>
      <c r="E2562" s="13">
        <v>0</v>
      </c>
      <c r="F2562" s="14">
        <v>0</v>
      </c>
    </row>
    <row r="2563" spans="1:6" x14ac:dyDescent="0.3">
      <c r="A2563" s="8">
        <v>2561</v>
      </c>
      <c r="B2563" s="8" t="s">
        <v>2792</v>
      </c>
      <c r="C2563" s="8" t="s">
        <v>5276</v>
      </c>
      <c r="D2563" s="8" t="s">
        <v>5277</v>
      </c>
      <c r="E2563" s="13">
        <v>0</v>
      </c>
      <c r="F2563" s="14">
        <v>910000</v>
      </c>
    </row>
    <row r="2564" spans="1:6" x14ac:dyDescent="0.3">
      <c r="A2564" s="8">
        <v>2562</v>
      </c>
      <c r="B2564" s="8" t="s">
        <v>2792</v>
      </c>
      <c r="C2564" s="8" t="s">
        <v>5278</v>
      </c>
      <c r="D2564" s="8" t="s">
        <v>5279</v>
      </c>
      <c r="E2564" s="13">
        <v>0</v>
      </c>
      <c r="F2564" s="14">
        <v>4100000</v>
      </c>
    </row>
    <row r="2565" spans="1:6" x14ac:dyDescent="0.3">
      <c r="A2565" s="8">
        <v>2563</v>
      </c>
      <c r="B2565" s="8" t="s">
        <v>2792</v>
      </c>
      <c r="C2565" s="8" t="s">
        <v>5280</v>
      </c>
      <c r="D2565" s="8" t="s">
        <v>5281</v>
      </c>
      <c r="E2565" s="13">
        <v>0</v>
      </c>
      <c r="F2565" s="14">
        <v>0</v>
      </c>
    </row>
    <row r="2566" spans="1:6" x14ac:dyDescent="0.3">
      <c r="A2566" s="8">
        <v>2564</v>
      </c>
      <c r="B2566" s="8" t="s">
        <v>2792</v>
      </c>
      <c r="C2566" s="8" t="s">
        <v>5282</v>
      </c>
      <c r="D2566" s="8" t="s">
        <v>5283</v>
      </c>
      <c r="E2566" s="13">
        <v>0</v>
      </c>
      <c r="F2566" s="14">
        <v>0</v>
      </c>
    </row>
    <row r="2567" spans="1:6" x14ac:dyDescent="0.3">
      <c r="A2567" s="8">
        <v>2565</v>
      </c>
      <c r="B2567" s="8" t="s">
        <v>2792</v>
      </c>
      <c r="C2567" s="8" t="s">
        <v>5284</v>
      </c>
      <c r="D2567" s="8" t="s">
        <v>5285</v>
      </c>
      <c r="E2567" s="13">
        <v>0</v>
      </c>
      <c r="F2567" s="14">
        <v>5595370</v>
      </c>
    </row>
    <row r="2568" spans="1:6" x14ac:dyDescent="0.3">
      <c r="A2568" s="8">
        <v>2566</v>
      </c>
      <c r="B2568" s="8" t="s">
        <v>2792</v>
      </c>
      <c r="C2568" s="8" t="s">
        <v>5286</v>
      </c>
      <c r="D2568" s="8" t="s">
        <v>5287</v>
      </c>
      <c r="E2568" s="13">
        <v>0</v>
      </c>
      <c r="F2568" s="14">
        <v>0</v>
      </c>
    </row>
    <row r="2569" spans="1:6" x14ac:dyDescent="0.3">
      <c r="A2569" s="8">
        <v>2567</v>
      </c>
      <c r="B2569" s="8" t="s">
        <v>2792</v>
      </c>
      <c r="C2569" s="8" t="s">
        <v>5288</v>
      </c>
      <c r="D2569" s="8" t="s">
        <v>5289</v>
      </c>
      <c r="E2569" s="13">
        <v>0</v>
      </c>
      <c r="F2569" s="14">
        <v>0</v>
      </c>
    </row>
    <row r="2570" spans="1:6" x14ac:dyDescent="0.3">
      <c r="A2570" s="8">
        <v>2568</v>
      </c>
      <c r="B2570" s="8" t="s">
        <v>2792</v>
      </c>
      <c r="C2570" s="8" t="s">
        <v>5290</v>
      </c>
      <c r="D2570" s="8" t="s">
        <v>5291</v>
      </c>
      <c r="E2570" s="13">
        <v>0</v>
      </c>
      <c r="F2570" s="14">
        <v>0</v>
      </c>
    </row>
    <row r="2571" spans="1:6" x14ac:dyDescent="0.3">
      <c r="A2571" s="8">
        <v>2569</v>
      </c>
      <c r="B2571" s="8" t="s">
        <v>2792</v>
      </c>
      <c r="C2571" s="8" t="s">
        <v>5292</v>
      </c>
      <c r="D2571" s="8" t="s">
        <v>5293</v>
      </c>
      <c r="E2571" s="13">
        <v>0</v>
      </c>
      <c r="F2571" s="14">
        <v>0</v>
      </c>
    </row>
    <row r="2572" spans="1:6" x14ac:dyDescent="0.3">
      <c r="A2572" s="8">
        <v>2570</v>
      </c>
      <c r="B2572" s="8" t="s">
        <v>2792</v>
      </c>
      <c r="C2572" s="8" t="s">
        <v>5294</v>
      </c>
      <c r="D2572" s="8" t="s">
        <v>5295</v>
      </c>
      <c r="E2572" s="13">
        <v>0</v>
      </c>
      <c r="F2572" s="14">
        <v>0</v>
      </c>
    </row>
    <row r="2573" spans="1:6" x14ac:dyDescent="0.3">
      <c r="A2573" s="8">
        <v>2571</v>
      </c>
      <c r="B2573" s="8" t="s">
        <v>2792</v>
      </c>
      <c r="C2573" s="8" t="s">
        <v>5296</v>
      </c>
      <c r="D2573" s="8" t="s">
        <v>5297</v>
      </c>
      <c r="E2573" s="13">
        <v>1241000</v>
      </c>
      <c r="F2573" s="14">
        <v>2482407</v>
      </c>
    </row>
    <row r="2574" spans="1:6" x14ac:dyDescent="0.3">
      <c r="A2574" s="8">
        <v>2572</v>
      </c>
      <c r="B2574" s="8" t="s">
        <v>2792</v>
      </c>
      <c r="C2574" s="8" t="s">
        <v>5298</v>
      </c>
      <c r="D2574" s="8" t="s">
        <v>5299</v>
      </c>
      <c r="E2574" s="13">
        <v>0</v>
      </c>
      <c r="F2574" s="14">
        <v>0</v>
      </c>
    </row>
    <row r="2575" spans="1:6" x14ac:dyDescent="0.3">
      <c r="A2575" s="8">
        <v>2573</v>
      </c>
      <c r="B2575" s="8" t="s">
        <v>2792</v>
      </c>
      <c r="C2575" s="8" t="s">
        <v>5300</v>
      </c>
      <c r="D2575" s="8" t="s">
        <v>5301</v>
      </c>
      <c r="E2575" s="13">
        <v>1090000</v>
      </c>
      <c r="F2575" s="14">
        <v>2179630</v>
      </c>
    </row>
    <row r="2576" spans="1:6" x14ac:dyDescent="0.3">
      <c r="A2576" s="8">
        <v>2574</v>
      </c>
      <c r="B2576" s="8" t="s">
        <v>2792</v>
      </c>
      <c r="C2576" s="8" t="s">
        <v>5302</v>
      </c>
      <c r="D2576" s="8" t="s">
        <v>5303</v>
      </c>
      <c r="E2576" s="13">
        <v>0</v>
      </c>
      <c r="F2576" s="14">
        <v>0</v>
      </c>
    </row>
    <row r="2577" spans="1:6" x14ac:dyDescent="0.3">
      <c r="A2577" s="8">
        <v>2575</v>
      </c>
      <c r="B2577" s="8" t="s">
        <v>2792</v>
      </c>
      <c r="C2577" s="8" t="s">
        <v>5304</v>
      </c>
      <c r="D2577" s="8" t="s">
        <v>5305</v>
      </c>
      <c r="E2577" s="13">
        <v>0</v>
      </c>
      <c r="F2577" s="14">
        <v>0</v>
      </c>
    </row>
    <row r="2578" spans="1:6" x14ac:dyDescent="0.3">
      <c r="A2578" s="8">
        <v>2576</v>
      </c>
      <c r="B2578" s="8" t="s">
        <v>2792</v>
      </c>
      <c r="C2578" s="8" t="s">
        <v>5306</v>
      </c>
      <c r="D2578" s="8" t="s">
        <v>5307</v>
      </c>
      <c r="E2578" s="13">
        <v>121000</v>
      </c>
      <c r="F2578" s="14">
        <v>241667</v>
      </c>
    </row>
    <row r="2579" spans="1:6" x14ac:dyDescent="0.3">
      <c r="A2579" s="8">
        <v>2577</v>
      </c>
      <c r="B2579" s="8" t="s">
        <v>2792</v>
      </c>
      <c r="C2579" s="8" t="s">
        <v>5308</v>
      </c>
      <c r="D2579" s="8" t="s">
        <v>5309</v>
      </c>
      <c r="E2579" s="13">
        <v>0</v>
      </c>
      <c r="F2579" s="14">
        <v>0</v>
      </c>
    </row>
    <row r="2580" spans="1:6" x14ac:dyDescent="0.3">
      <c r="A2580" s="8">
        <v>2578</v>
      </c>
      <c r="B2580" s="8" t="s">
        <v>2792</v>
      </c>
      <c r="C2580" s="8" t="s">
        <v>5310</v>
      </c>
      <c r="D2580" s="8" t="s">
        <v>5311</v>
      </c>
      <c r="E2580" s="13">
        <v>0</v>
      </c>
      <c r="F2580" s="14">
        <v>0</v>
      </c>
    </row>
    <row r="2581" spans="1:6" x14ac:dyDescent="0.3">
      <c r="A2581" s="8">
        <v>2579</v>
      </c>
      <c r="B2581" s="8" t="s">
        <v>2792</v>
      </c>
      <c r="C2581" s="8" t="s">
        <v>5312</v>
      </c>
      <c r="D2581" s="8" t="s">
        <v>5313</v>
      </c>
      <c r="E2581" s="13">
        <v>0</v>
      </c>
      <c r="F2581" s="14">
        <v>0</v>
      </c>
    </row>
    <row r="2582" spans="1:6" x14ac:dyDescent="0.3">
      <c r="A2582" s="8">
        <v>2580</v>
      </c>
      <c r="B2582" s="8" t="s">
        <v>2792</v>
      </c>
      <c r="C2582" s="8" t="s">
        <v>5314</v>
      </c>
      <c r="D2582" s="8" t="s">
        <v>5315</v>
      </c>
      <c r="E2582" s="13">
        <v>0</v>
      </c>
      <c r="F2582" s="14">
        <v>0</v>
      </c>
    </row>
    <row r="2583" spans="1:6" x14ac:dyDescent="0.3">
      <c r="A2583" s="8">
        <v>2581</v>
      </c>
      <c r="B2583" s="8" t="s">
        <v>4148</v>
      </c>
      <c r="C2583" s="8" t="s">
        <v>5316</v>
      </c>
      <c r="D2583" s="8" t="s">
        <v>5317</v>
      </c>
      <c r="E2583" s="13">
        <v>0</v>
      </c>
      <c r="F2583" s="14">
        <v>0</v>
      </c>
    </row>
    <row r="2584" spans="1:6" x14ac:dyDescent="0.3">
      <c r="A2584" s="8">
        <v>2582</v>
      </c>
      <c r="B2584" s="8" t="s">
        <v>4148</v>
      </c>
      <c r="C2584" s="8" t="s">
        <v>5318</v>
      </c>
      <c r="D2584" s="8" t="s">
        <v>5319</v>
      </c>
      <c r="E2584" s="13">
        <v>0</v>
      </c>
      <c r="F2584" s="14">
        <v>100000</v>
      </c>
    </row>
    <row r="2585" spans="1:6" x14ac:dyDescent="0.3">
      <c r="A2585" s="8">
        <v>2583</v>
      </c>
      <c r="B2585" s="8" t="s">
        <v>4148</v>
      </c>
      <c r="C2585" s="8" t="s">
        <v>5320</v>
      </c>
      <c r="D2585" s="8" t="s">
        <v>5321</v>
      </c>
      <c r="E2585" s="13">
        <v>0</v>
      </c>
      <c r="F2585" s="14">
        <v>0</v>
      </c>
    </row>
    <row r="2586" spans="1:6" x14ac:dyDescent="0.3">
      <c r="A2586" s="8">
        <v>2584</v>
      </c>
      <c r="B2586" s="8" t="s">
        <v>4148</v>
      </c>
      <c r="C2586" s="8" t="s">
        <v>5322</v>
      </c>
      <c r="D2586" s="8" t="s">
        <v>5323</v>
      </c>
      <c r="E2586" s="13">
        <v>94600</v>
      </c>
      <c r="F2586" s="14">
        <v>188889</v>
      </c>
    </row>
    <row r="2587" spans="1:6" x14ac:dyDescent="0.3">
      <c r="A2587" s="8">
        <v>2585</v>
      </c>
      <c r="B2587" s="8" t="s">
        <v>4148</v>
      </c>
      <c r="C2587" s="8" t="s">
        <v>5324</v>
      </c>
      <c r="D2587" s="8" t="s">
        <v>5325</v>
      </c>
      <c r="E2587" s="13">
        <v>90600</v>
      </c>
      <c r="F2587" s="14">
        <v>179000</v>
      </c>
    </row>
    <row r="2588" spans="1:6" x14ac:dyDescent="0.3">
      <c r="A2588" s="8">
        <v>2586</v>
      </c>
      <c r="B2588" s="8" t="s">
        <v>4148</v>
      </c>
      <c r="C2588" s="8" t="s">
        <v>5326</v>
      </c>
      <c r="D2588" s="8" t="s">
        <v>5327</v>
      </c>
      <c r="E2588" s="13">
        <v>69000</v>
      </c>
      <c r="F2588" s="14">
        <v>137963</v>
      </c>
    </row>
    <row r="2589" spans="1:6" x14ac:dyDescent="0.3">
      <c r="A2589" s="8">
        <v>2587</v>
      </c>
      <c r="B2589" s="8" t="s">
        <v>4148</v>
      </c>
      <c r="C2589" s="8" t="s">
        <v>5328</v>
      </c>
      <c r="D2589" s="8" t="s">
        <v>5329</v>
      </c>
      <c r="E2589" s="13">
        <v>81200</v>
      </c>
      <c r="F2589" s="14">
        <v>162037</v>
      </c>
    </row>
    <row r="2590" spans="1:6" x14ac:dyDescent="0.3">
      <c r="A2590" s="8">
        <v>2588</v>
      </c>
      <c r="B2590" s="8" t="s">
        <v>4148</v>
      </c>
      <c r="C2590" s="8" t="s">
        <v>5330</v>
      </c>
      <c r="D2590" s="8" t="s">
        <v>5331</v>
      </c>
      <c r="E2590" s="13">
        <v>0</v>
      </c>
      <c r="F2590" s="14">
        <v>386000</v>
      </c>
    </row>
    <row r="2591" spans="1:6" x14ac:dyDescent="0.3">
      <c r="A2591" s="8">
        <v>2589</v>
      </c>
      <c r="B2591" s="8" t="s">
        <v>4148</v>
      </c>
      <c r="C2591" s="8" t="s">
        <v>5332</v>
      </c>
      <c r="D2591" s="8" t="s">
        <v>5333</v>
      </c>
      <c r="E2591" s="13">
        <v>61500</v>
      </c>
      <c r="F2591" s="14">
        <v>134000</v>
      </c>
    </row>
    <row r="2592" spans="1:6" x14ac:dyDescent="0.3">
      <c r="A2592" s="8">
        <v>2590</v>
      </c>
      <c r="B2592" s="8" t="s">
        <v>4148</v>
      </c>
      <c r="C2592" s="8" t="s">
        <v>5334</v>
      </c>
      <c r="D2592" s="8" t="s">
        <v>5335</v>
      </c>
      <c r="E2592" s="13">
        <v>0</v>
      </c>
      <c r="F2592" s="14">
        <v>361000</v>
      </c>
    </row>
    <row r="2593" spans="1:6" x14ac:dyDescent="0.3">
      <c r="A2593" s="8">
        <v>2591</v>
      </c>
      <c r="B2593" s="8" t="s">
        <v>2792</v>
      </c>
      <c r="C2593" s="8" t="s">
        <v>5336</v>
      </c>
      <c r="D2593" s="8" t="s">
        <v>5337</v>
      </c>
      <c r="E2593" s="13">
        <v>3871000</v>
      </c>
      <c r="F2593" s="14">
        <v>7741667</v>
      </c>
    </row>
    <row r="2594" spans="1:6" x14ac:dyDescent="0.3">
      <c r="A2594" s="8">
        <v>2592</v>
      </c>
      <c r="B2594" s="8" t="s">
        <v>2792</v>
      </c>
      <c r="C2594" s="8" t="s">
        <v>5338</v>
      </c>
      <c r="D2594" s="8" t="s">
        <v>5339</v>
      </c>
      <c r="E2594" s="13">
        <v>0</v>
      </c>
      <c r="F2594" s="14">
        <v>0</v>
      </c>
    </row>
    <row r="2595" spans="1:6" x14ac:dyDescent="0.3">
      <c r="A2595" s="8">
        <v>2593</v>
      </c>
      <c r="B2595" s="8" t="s">
        <v>2792</v>
      </c>
      <c r="C2595" s="8" t="s">
        <v>5340</v>
      </c>
      <c r="D2595" s="8" t="s">
        <v>5341</v>
      </c>
      <c r="E2595" s="13">
        <v>0</v>
      </c>
      <c r="F2595" s="14">
        <v>0</v>
      </c>
    </row>
    <row r="2596" spans="1:6" x14ac:dyDescent="0.3">
      <c r="A2596" s="8">
        <v>2594</v>
      </c>
      <c r="B2596" s="8" t="s">
        <v>2792</v>
      </c>
      <c r="C2596" s="8" t="s">
        <v>5342</v>
      </c>
      <c r="D2596" s="8" t="s">
        <v>5343</v>
      </c>
      <c r="E2596" s="13">
        <v>1528000</v>
      </c>
      <c r="F2596" s="14">
        <v>3055556</v>
      </c>
    </row>
    <row r="2597" spans="1:6" x14ac:dyDescent="0.3">
      <c r="A2597" s="8">
        <v>2595</v>
      </c>
      <c r="B2597" s="8" t="s">
        <v>2792</v>
      </c>
      <c r="C2597" s="8" t="s">
        <v>5344</v>
      </c>
      <c r="D2597" s="8" t="s">
        <v>5345</v>
      </c>
      <c r="E2597" s="13">
        <v>0</v>
      </c>
      <c r="F2597" s="14">
        <v>0</v>
      </c>
    </row>
    <row r="2598" spans="1:6" x14ac:dyDescent="0.3">
      <c r="A2598" s="8">
        <v>2596</v>
      </c>
      <c r="B2598" s="8" t="s">
        <v>2792</v>
      </c>
      <c r="C2598" s="8" t="s">
        <v>5346</v>
      </c>
      <c r="D2598" s="8" t="s">
        <v>5347</v>
      </c>
      <c r="E2598" s="13">
        <v>96800</v>
      </c>
      <c r="F2598" s="14">
        <v>193519</v>
      </c>
    </row>
    <row r="2599" spans="1:6" x14ac:dyDescent="0.3">
      <c r="A2599" s="8">
        <v>2597</v>
      </c>
      <c r="B2599" s="8" t="s">
        <v>2792</v>
      </c>
      <c r="C2599" s="8" t="s">
        <v>5348</v>
      </c>
      <c r="D2599" s="8" t="s">
        <v>5349</v>
      </c>
      <c r="E2599" s="13">
        <v>2371000</v>
      </c>
      <c r="F2599" s="14">
        <v>4741667</v>
      </c>
    </row>
    <row r="2600" spans="1:6" x14ac:dyDescent="0.3">
      <c r="A2600" s="8">
        <v>2598</v>
      </c>
      <c r="B2600" s="8" t="s">
        <v>2792</v>
      </c>
      <c r="C2600" s="8" t="s">
        <v>5350</v>
      </c>
      <c r="D2600" s="8" t="s">
        <v>5351</v>
      </c>
      <c r="E2600" s="13">
        <v>0</v>
      </c>
      <c r="F2600" s="14">
        <v>0</v>
      </c>
    </row>
    <row r="2601" spans="1:6" x14ac:dyDescent="0.3">
      <c r="A2601" s="8">
        <v>2599</v>
      </c>
      <c r="B2601" s="8" t="s">
        <v>2792</v>
      </c>
      <c r="C2601" s="8" t="s">
        <v>5352</v>
      </c>
      <c r="D2601" s="8" t="s">
        <v>5353</v>
      </c>
      <c r="E2601" s="13">
        <v>0</v>
      </c>
      <c r="F2601" s="14">
        <v>0</v>
      </c>
    </row>
    <row r="2602" spans="1:6" x14ac:dyDescent="0.3">
      <c r="A2602" s="8">
        <v>2600</v>
      </c>
      <c r="B2602" s="8" t="s">
        <v>2792</v>
      </c>
      <c r="C2602" s="8" t="s">
        <v>5354</v>
      </c>
      <c r="D2602" s="8" t="s">
        <v>5355</v>
      </c>
      <c r="E2602" s="13">
        <v>0</v>
      </c>
      <c r="F2602" s="14">
        <v>0</v>
      </c>
    </row>
    <row r="2603" spans="1:6" x14ac:dyDescent="0.3">
      <c r="A2603" s="8">
        <v>2601</v>
      </c>
      <c r="B2603" s="8" t="s">
        <v>2792</v>
      </c>
      <c r="C2603" s="8" t="s">
        <v>5356</v>
      </c>
      <c r="D2603" s="8" t="s">
        <v>5357</v>
      </c>
      <c r="E2603" s="13">
        <v>0</v>
      </c>
      <c r="F2603" s="14">
        <v>20450000</v>
      </c>
    </row>
    <row r="2604" spans="1:6" x14ac:dyDescent="0.3">
      <c r="A2604" s="8">
        <v>2602</v>
      </c>
      <c r="B2604" s="8" t="s">
        <v>2792</v>
      </c>
      <c r="C2604" s="8" t="s">
        <v>5358</v>
      </c>
      <c r="D2604" s="8" t="s">
        <v>5359</v>
      </c>
      <c r="E2604" s="13">
        <v>0</v>
      </c>
      <c r="F2604" s="14">
        <v>0</v>
      </c>
    </row>
    <row r="2605" spans="1:6" x14ac:dyDescent="0.3">
      <c r="A2605" s="8">
        <v>2603</v>
      </c>
      <c r="B2605" s="8" t="s">
        <v>2792</v>
      </c>
      <c r="C2605" s="8" t="s">
        <v>5360</v>
      </c>
      <c r="D2605" s="8" t="s">
        <v>5361</v>
      </c>
      <c r="E2605" s="13">
        <v>0</v>
      </c>
      <c r="F2605" s="14">
        <v>6800000</v>
      </c>
    </row>
    <row r="2606" spans="1:6" x14ac:dyDescent="0.3">
      <c r="A2606" s="8">
        <v>2604</v>
      </c>
      <c r="B2606" s="8" t="s">
        <v>2792</v>
      </c>
      <c r="C2606" s="8" t="s">
        <v>5362</v>
      </c>
      <c r="D2606" s="8" t="s">
        <v>5363</v>
      </c>
      <c r="E2606" s="13">
        <v>0</v>
      </c>
      <c r="F2606" s="14">
        <v>0</v>
      </c>
    </row>
    <row r="2607" spans="1:6" x14ac:dyDescent="0.3">
      <c r="A2607" s="8">
        <v>2605</v>
      </c>
      <c r="B2607" s="8" t="s">
        <v>4148</v>
      </c>
      <c r="C2607" s="8" t="s">
        <v>5364</v>
      </c>
      <c r="D2607" s="8" t="s">
        <v>5365</v>
      </c>
      <c r="E2607" s="13">
        <v>0</v>
      </c>
      <c r="F2607" s="14">
        <v>100000</v>
      </c>
    </row>
    <row r="2608" spans="1:6" x14ac:dyDescent="0.3">
      <c r="A2608" s="8">
        <v>2606</v>
      </c>
      <c r="B2608" s="8" t="s">
        <v>4148</v>
      </c>
      <c r="C2608" s="8" t="s">
        <v>5366</v>
      </c>
      <c r="D2608" s="8" t="s">
        <v>5367</v>
      </c>
      <c r="E2608" s="13">
        <v>93000</v>
      </c>
      <c r="F2608" s="14">
        <v>203636</v>
      </c>
    </row>
    <row r="2609" spans="1:6" x14ac:dyDescent="0.3">
      <c r="A2609" s="8">
        <v>2607</v>
      </c>
      <c r="B2609" s="8" t="s">
        <v>4148</v>
      </c>
      <c r="C2609" s="8" t="s">
        <v>5368</v>
      </c>
      <c r="D2609" s="8" t="s">
        <v>5369</v>
      </c>
      <c r="E2609" s="13">
        <v>65000</v>
      </c>
      <c r="F2609" s="14">
        <v>129630</v>
      </c>
    </row>
    <row r="2610" spans="1:6" x14ac:dyDescent="0.3">
      <c r="A2610" s="8">
        <v>2608</v>
      </c>
      <c r="B2610" s="8" t="s">
        <v>4148</v>
      </c>
      <c r="C2610" s="8" t="s">
        <v>5370</v>
      </c>
      <c r="D2610" s="8" t="s">
        <v>5371</v>
      </c>
      <c r="E2610" s="13">
        <v>108000</v>
      </c>
      <c r="F2610" s="14">
        <v>215455</v>
      </c>
    </row>
    <row r="2611" spans="1:6" x14ac:dyDescent="0.3">
      <c r="A2611" s="8">
        <v>2609</v>
      </c>
      <c r="B2611" s="8" t="s">
        <v>4148</v>
      </c>
      <c r="C2611" s="8" t="s">
        <v>5372</v>
      </c>
      <c r="D2611" s="8" t="s">
        <v>5373</v>
      </c>
      <c r="E2611" s="13">
        <v>60000</v>
      </c>
      <c r="F2611" s="14">
        <v>120000</v>
      </c>
    </row>
    <row r="2612" spans="1:6" x14ac:dyDescent="0.3">
      <c r="A2612" s="8">
        <v>2610</v>
      </c>
      <c r="B2612" s="8" t="s">
        <v>4148</v>
      </c>
      <c r="C2612" s="8" t="s">
        <v>5374</v>
      </c>
      <c r="D2612" s="8" t="s">
        <v>5375</v>
      </c>
      <c r="E2612" s="13">
        <v>79600</v>
      </c>
      <c r="F2612" s="14">
        <v>174000</v>
      </c>
    </row>
    <row r="2613" spans="1:6" x14ac:dyDescent="0.3">
      <c r="A2613" s="8">
        <v>2611</v>
      </c>
      <c r="B2613" s="8" t="s">
        <v>4148</v>
      </c>
      <c r="C2613" s="8" t="s">
        <v>5376</v>
      </c>
      <c r="D2613" s="8" t="s">
        <v>5377</v>
      </c>
      <c r="E2613" s="13">
        <v>59600</v>
      </c>
      <c r="F2613" s="14">
        <v>133333</v>
      </c>
    </row>
    <row r="2614" spans="1:6" x14ac:dyDescent="0.3">
      <c r="A2614" s="8">
        <v>2612</v>
      </c>
      <c r="B2614" s="8" t="s">
        <v>4148</v>
      </c>
      <c r="C2614" s="8" t="s">
        <v>5378</v>
      </c>
      <c r="D2614" s="8" t="s">
        <v>5379</v>
      </c>
      <c r="E2614" s="13">
        <v>94600</v>
      </c>
      <c r="F2614" s="14">
        <v>188889</v>
      </c>
    </row>
    <row r="2615" spans="1:6" x14ac:dyDescent="0.3">
      <c r="A2615" s="8">
        <v>2613</v>
      </c>
      <c r="B2615" s="8" t="s">
        <v>4148</v>
      </c>
      <c r="C2615" s="8" t="s">
        <v>5380</v>
      </c>
      <c r="D2615" s="8" t="s">
        <v>5381</v>
      </c>
      <c r="E2615" s="13">
        <v>72700</v>
      </c>
      <c r="F2615" s="14">
        <v>145370</v>
      </c>
    </row>
    <row r="2616" spans="1:6" x14ac:dyDescent="0.3">
      <c r="A2616" s="8">
        <v>2614</v>
      </c>
      <c r="B2616" s="8" t="s">
        <v>4148</v>
      </c>
      <c r="C2616" s="8" t="s">
        <v>5382</v>
      </c>
      <c r="D2616" s="8" t="s">
        <v>5383</v>
      </c>
      <c r="E2616" s="13">
        <v>0</v>
      </c>
      <c r="F2616" s="14">
        <v>0</v>
      </c>
    </row>
    <row r="2617" spans="1:6" x14ac:dyDescent="0.3">
      <c r="A2617" s="8">
        <v>2615</v>
      </c>
      <c r="B2617" s="8" t="s">
        <v>4148</v>
      </c>
      <c r="C2617" s="8" t="s">
        <v>5384</v>
      </c>
      <c r="D2617" s="8" t="s">
        <v>5385</v>
      </c>
      <c r="E2617" s="13">
        <v>54000</v>
      </c>
      <c r="F2617" s="14">
        <v>97000</v>
      </c>
    </row>
    <row r="2618" spans="1:6" x14ac:dyDescent="0.3">
      <c r="A2618" s="8">
        <v>2616</v>
      </c>
      <c r="B2618" s="8" t="s">
        <v>4148</v>
      </c>
      <c r="C2618" s="8" t="s">
        <v>5386</v>
      </c>
      <c r="D2618" s="8" t="s">
        <v>5387</v>
      </c>
      <c r="E2618" s="13">
        <v>0</v>
      </c>
      <c r="F2618" s="14">
        <v>0</v>
      </c>
    </row>
    <row r="2619" spans="1:6" x14ac:dyDescent="0.3">
      <c r="A2619" s="8">
        <v>2617</v>
      </c>
      <c r="B2619" s="8" t="s">
        <v>4148</v>
      </c>
      <c r="C2619" s="8" t="s">
        <v>5388</v>
      </c>
      <c r="D2619" s="8" t="s">
        <v>5389</v>
      </c>
      <c r="E2619" s="13">
        <v>94600</v>
      </c>
      <c r="F2619" s="14">
        <v>188889</v>
      </c>
    </row>
    <row r="2620" spans="1:6" x14ac:dyDescent="0.3">
      <c r="A2620" s="8">
        <v>2618</v>
      </c>
      <c r="B2620" s="8" t="s">
        <v>4148</v>
      </c>
      <c r="C2620" s="8" t="s">
        <v>5390</v>
      </c>
      <c r="D2620" s="8" t="s">
        <v>5391</v>
      </c>
      <c r="E2620" s="13">
        <v>0</v>
      </c>
      <c r="F2620" s="14">
        <v>118000</v>
      </c>
    </row>
    <row r="2621" spans="1:6" x14ac:dyDescent="0.3">
      <c r="A2621" s="8">
        <v>2619</v>
      </c>
      <c r="B2621" s="8" t="s">
        <v>4148</v>
      </c>
      <c r="C2621" s="8" t="s">
        <v>5392</v>
      </c>
      <c r="D2621" s="8" t="s">
        <v>5393</v>
      </c>
      <c r="E2621" s="13">
        <v>83800</v>
      </c>
      <c r="F2621" s="14">
        <v>167593</v>
      </c>
    </row>
    <row r="2622" spans="1:6" x14ac:dyDescent="0.3">
      <c r="A2622" s="8">
        <v>2620</v>
      </c>
      <c r="B2622" s="8" t="s">
        <v>4148</v>
      </c>
      <c r="C2622" s="8" t="s">
        <v>5394</v>
      </c>
      <c r="D2622" s="8" t="s">
        <v>5395</v>
      </c>
      <c r="E2622" s="13">
        <v>0</v>
      </c>
      <c r="F2622" s="14">
        <v>161000</v>
      </c>
    </row>
    <row r="2623" spans="1:6" x14ac:dyDescent="0.3">
      <c r="A2623" s="8">
        <v>2621</v>
      </c>
      <c r="B2623" s="8" t="s">
        <v>4148</v>
      </c>
      <c r="C2623" s="8" t="s">
        <v>5396</v>
      </c>
      <c r="D2623" s="8" t="s">
        <v>5397</v>
      </c>
      <c r="E2623" s="13">
        <v>0</v>
      </c>
      <c r="F2623" s="14">
        <v>331000</v>
      </c>
    </row>
    <row r="2624" spans="1:6" x14ac:dyDescent="0.3">
      <c r="A2624" s="8">
        <v>2622</v>
      </c>
      <c r="B2624" s="8" t="s">
        <v>4148</v>
      </c>
      <c r="C2624" s="8" t="s">
        <v>5398</v>
      </c>
      <c r="D2624" s="8" t="s">
        <v>5399</v>
      </c>
      <c r="E2624" s="13">
        <v>75560</v>
      </c>
      <c r="F2624" s="14">
        <v>142000</v>
      </c>
    </row>
    <row r="2625" spans="1:6" x14ac:dyDescent="0.3">
      <c r="A2625" s="8">
        <v>2623</v>
      </c>
      <c r="B2625" s="8" t="s">
        <v>4148</v>
      </c>
      <c r="C2625" s="8" t="s">
        <v>5400</v>
      </c>
      <c r="D2625" s="8" t="s">
        <v>5401</v>
      </c>
      <c r="E2625" s="13">
        <v>71800</v>
      </c>
      <c r="F2625" s="14">
        <v>157407</v>
      </c>
    </row>
    <row r="2626" spans="1:6" x14ac:dyDescent="0.3">
      <c r="A2626" s="8">
        <v>2624</v>
      </c>
      <c r="B2626" s="8" t="s">
        <v>4148</v>
      </c>
      <c r="C2626" s="8" t="s">
        <v>5402</v>
      </c>
      <c r="D2626" s="8" t="s">
        <v>5403</v>
      </c>
      <c r="E2626" s="13">
        <v>0</v>
      </c>
      <c r="F2626" s="14">
        <v>0</v>
      </c>
    </row>
    <row r="2627" spans="1:6" x14ac:dyDescent="0.3">
      <c r="A2627" s="8">
        <v>2625</v>
      </c>
      <c r="B2627" s="8" t="s">
        <v>4148</v>
      </c>
      <c r="C2627" s="8" t="s">
        <v>5404</v>
      </c>
      <c r="D2627" s="8" t="s">
        <v>5405</v>
      </c>
      <c r="E2627" s="13">
        <v>0</v>
      </c>
      <c r="F2627" s="14">
        <v>0</v>
      </c>
    </row>
    <row r="2628" spans="1:6" x14ac:dyDescent="0.3">
      <c r="A2628" s="8">
        <v>2626</v>
      </c>
      <c r="B2628" s="8" t="s">
        <v>4148</v>
      </c>
      <c r="C2628" s="8" t="s">
        <v>5406</v>
      </c>
      <c r="D2628" s="8" t="s">
        <v>5407</v>
      </c>
      <c r="E2628" s="13">
        <v>77200</v>
      </c>
      <c r="F2628" s="14">
        <v>172222</v>
      </c>
    </row>
    <row r="2629" spans="1:6" x14ac:dyDescent="0.3">
      <c r="A2629" s="8">
        <v>2627</v>
      </c>
      <c r="B2629" s="8" t="s">
        <v>4148</v>
      </c>
      <c r="C2629" s="8" t="s">
        <v>5408</v>
      </c>
      <c r="D2629" s="8" t="s">
        <v>5409</v>
      </c>
      <c r="E2629" s="13">
        <v>82400</v>
      </c>
      <c r="F2629" s="14">
        <v>185185</v>
      </c>
    </row>
    <row r="2630" spans="1:6" x14ac:dyDescent="0.3">
      <c r="A2630" s="8">
        <v>2628</v>
      </c>
      <c r="B2630" s="8" t="s">
        <v>4148</v>
      </c>
      <c r="C2630" s="8" t="s">
        <v>5410</v>
      </c>
      <c r="D2630" s="8" t="s">
        <v>5411</v>
      </c>
      <c r="E2630" s="13">
        <v>72700</v>
      </c>
      <c r="F2630" s="14">
        <v>145370</v>
      </c>
    </row>
    <row r="2631" spans="1:6" x14ac:dyDescent="0.3">
      <c r="A2631" s="8">
        <v>2629</v>
      </c>
      <c r="B2631" s="8" t="s">
        <v>4148</v>
      </c>
      <c r="C2631" s="8" t="s">
        <v>5412</v>
      </c>
      <c r="D2631" s="8" t="s">
        <v>5413</v>
      </c>
      <c r="E2631" s="13">
        <v>0</v>
      </c>
      <c r="F2631" s="14">
        <v>0</v>
      </c>
    </row>
    <row r="2632" spans="1:6" x14ac:dyDescent="0.3">
      <c r="A2632" s="8">
        <v>2630</v>
      </c>
      <c r="B2632" s="8" t="s">
        <v>4148</v>
      </c>
      <c r="C2632" s="8" t="s">
        <v>5414</v>
      </c>
      <c r="D2632" s="8" t="s">
        <v>5415</v>
      </c>
      <c r="E2632" s="13">
        <v>0</v>
      </c>
      <c r="F2632" s="14">
        <v>0</v>
      </c>
    </row>
    <row r="2633" spans="1:6" x14ac:dyDescent="0.3">
      <c r="A2633" s="8">
        <v>2631</v>
      </c>
      <c r="B2633" s="8" t="s">
        <v>4148</v>
      </c>
      <c r="C2633" s="8" t="s">
        <v>5416</v>
      </c>
      <c r="D2633" s="8" t="s">
        <v>5417</v>
      </c>
      <c r="E2633" s="13">
        <v>0</v>
      </c>
      <c r="F2633" s="14">
        <v>1720370</v>
      </c>
    </row>
    <row r="2634" spans="1:6" x14ac:dyDescent="0.3">
      <c r="A2634" s="8">
        <v>2632</v>
      </c>
      <c r="B2634" s="8" t="s">
        <v>4148</v>
      </c>
      <c r="C2634" s="8" t="s">
        <v>5418</v>
      </c>
      <c r="D2634" s="8" t="s">
        <v>5419</v>
      </c>
      <c r="E2634" s="13">
        <v>88000</v>
      </c>
      <c r="F2634" s="14">
        <v>175926</v>
      </c>
    </row>
    <row r="2635" spans="1:6" x14ac:dyDescent="0.3">
      <c r="A2635" s="8">
        <v>2633</v>
      </c>
      <c r="B2635" s="8" t="s">
        <v>4148</v>
      </c>
      <c r="C2635" s="8" t="s">
        <v>5420</v>
      </c>
      <c r="D2635" s="8" t="s">
        <v>5421</v>
      </c>
      <c r="E2635" s="13">
        <v>0</v>
      </c>
      <c r="F2635" s="14">
        <v>0</v>
      </c>
    </row>
    <row r="2636" spans="1:6" x14ac:dyDescent="0.3">
      <c r="A2636" s="8">
        <v>2634</v>
      </c>
      <c r="B2636" s="8" t="s">
        <v>4148</v>
      </c>
      <c r="C2636" s="8" t="s">
        <v>5422</v>
      </c>
      <c r="D2636" s="8" t="s">
        <v>5423</v>
      </c>
      <c r="E2636" s="13">
        <v>0</v>
      </c>
      <c r="F2636" s="14">
        <v>0</v>
      </c>
    </row>
    <row r="2637" spans="1:6" x14ac:dyDescent="0.3">
      <c r="A2637" s="8">
        <v>2635</v>
      </c>
      <c r="B2637" s="8" t="s">
        <v>4148</v>
      </c>
      <c r="C2637" s="8" t="s">
        <v>5424</v>
      </c>
      <c r="D2637" s="8" t="s">
        <v>5425</v>
      </c>
      <c r="E2637" s="13">
        <v>0</v>
      </c>
      <c r="F2637" s="14">
        <v>0</v>
      </c>
    </row>
    <row r="2638" spans="1:6" x14ac:dyDescent="0.3">
      <c r="A2638" s="8">
        <v>2636</v>
      </c>
      <c r="B2638" s="8" t="s">
        <v>4148</v>
      </c>
      <c r="C2638" s="8" t="s">
        <v>5426</v>
      </c>
      <c r="D2638" s="8" t="s">
        <v>5427</v>
      </c>
      <c r="E2638" s="13">
        <v>0</v>
      </c>
      <c r="F2638" s="14">
        <v>0</v>
      </c>
    </row>
    <row r="2639" spans="1:6" x14ac:dyDescent="0.3">
      <c r="A2639" s="8">
        <v>2637</v>
      </c>
      <c r="B2639" s="8" t="s">
        <v>2303</v>
      </c>
      <c r="C2639" s="8" t="s">
        <v>5428</v>
      </c>
      <c r="D2639" s="8" t="s">
        <v>5429</v>
      </c>
      <c r="E2639" s="13">
        <v>63000</v>
      </c>
      <c r="F2639" s="14">
        <v>125926</v>
      </c>
    </row>
    <row r="2640" spans="1:6" x14ac:dyDescent="0.3">
      <c r="A2640" s="8">
        <v>2638</v>
      </c>
      <c r="B2640" s="8" t="s">
        <v>2303</v>
      </c>
      <c r="C2640" s="8" t="s">
        <v>5430</v>
      </c>
      <c r="D2640" s="8" t="s">
        <v>5431</v>
      </c>
      <c r="E2640" s="13">
        <v>26500</v>
      </c>
      <c r="F2640" s="14">
        <v>52963</v>
      </c>
    </row>
    <row r="2641" spans="1:6" x14ac:dyDescent="0.3">
      <c r="A2641" s="8">
        <v>2639</v>
      </c>
      <c r="B2641" s="8" t="s">
        <v>2303</v>
      </c>
      <c r="C2641" s="8" t="s">
        <v>5432</v>
      </c>
      <c r="D2641" s="8" t="s">
        <v>5433</v>
      </c>
      <c r="E2641" s="13">
        <v>38000</v>
      </c>
      <c r="F2641" s="14">
        <v>76019</v>
      </c>
    </row>
    <row r="2642" spans="1:6" x14ac:dyDescent="0.3">
      <c r="A2642" s="8">
        <v>2640</v>
      </c>
      <c r="B2642" s="8" t="s">
        <v>2303</v>
      </c>
      <c r="C2642" s="8" t="s">
        <v>5434</v>
      </c>
      <c r="D2642" s="8" t="s">
        <v>5435</v>
      </c>
      <c r="E2642" s="13">
        <v>0</v>
      </c>
      <c r="F2642" s="14">
        <v>0</v>
      </c>
    </row>
    <row r="2643" spans="1:6" x14ac:dyDescent="0.3">
      <c r="A2643" s="8">
        <v>2641</v>
      </c>
      <c r="B2643" s="8" t="s">
        <v>2792</v>
      </c>
      <c r="C2643" s="8" t="s">
        <v>5436</v>
      </c>
      <c r="D2643" s="8" t="s">
        <v>5437</v>
      </c>
      <c r="E2643" s="13">
        <v>564000</v>
      </c>
      <c r="F2643" s="14">
        <v>971000</v>
      </c>
    </row>
    <row r="2644" spans="1:6" x14ac:dyDescent="0.3">
      <c r="A2644" s="8">
        <v>2642</v>
      </c>
      <c r="B2644" s="8" t="s">
        <v>2792</v>
      </c>
      <c r="C2644" s="8" t="s">
        <v>5438</v>
      </c>
      <c r="D2644" s="8" t="s">
        <v>5439</v>
      </c>
      <c r="E2644" s="13">
        <v>564000</v>
      </c>
      <c r="F2644" s="14">
        <v>971000</v>
      </c>
    </row>
    <row r="2645" spans="1:6" x14ac:dyDescent="0.3">
      <c r="A2645" s="8">
        <v>2643</v>
      </c>
      <c r="B2645" s="8" t="s">
        <v>2792</v>
      </c>
      <c r="C2645" s="8" t="s">
        <v>5440</v>
      </c>
      <c r="D2645" s="8" t="s">
        <v>5441</v>
      </c>
      <c r="E2645" s="13">
        <v>253600</v>
      </c>
      <c r="F2645" s="14">
        <v>438000</v>
      </c>
    </row>
    <row r="2646" spans="1:6" x14ac:dyDescent="0.3">
      <c r="A2646" s="8">
        <v>2644</v>
      </c>
      <c r="B2646" s="8" t="s">
        <v>2792</v>
      </c>
      <c r="C2646" s="8" t="s">
        <v>5442</v>
      </c>
      <c r="D2646" s="8" t="s">
        <v>5443</v>
      </c>
      <c r="E2646" s="13">
        <v>137500</v>
      </c>
      <c r="F2646" s="14">
        <v>274000</v>
      </c>
    </row>
    <row r="2647" spans="1:6" x14ac:dyDescent="0.3">
      <c r="A2647" s="8">
        <v>2645</v>
      </c>
      <c r="B2647" s="8" t="s">
        <v>2792</v>
      </c>
      <c r="C2647" s="8" t="s">
        <v>5444</v>
      </c>
      <c r="D2647" s="8" t="s">
        <v>5445</v>
      </c>
      <c r="E2647" s="13">
        <v>317000</v>
      </c>
      <c r="F2647" s="14">
        <v>546000</v>
      </c>
    </row>
    <row r="2648" spans="1:6" x14ac:dyDescent="0.3">
      <c r="A2648" s="8">
        <v>2646</v>
      </c>
      <c r="B2648" s="8" t="s">
        <v>2792</v>
      </c>
      <c r="C2648" s="8" t="s">
        <v>5446</v>
      </c>
      <c r="D2648" s="8" t="s">
        <v>5447</v>
      </c>
      <c r="E2648" s="13">
        <v>0</v>
      </c>
      <c r="F2648" s="14">
        <v>0</v>
      </c>
    </row>
    <row r="2649" spans="1:6" x14ac:dyDescent="0.3">
      <c r="A2649" s="8">
        <v>2647</v>
      </c>
      <c r="B2649" s="8" t="s">
        <v>2792</v>
      </c>
      <c r="C2649" s="8" t="s">
        <v>5448</v>
      </c>
      <c r="D2649" s="8" t="s">
        <v>5449</v>
      </c>
      <c r="E2649" s="13">
        <v>0</v>
      </c>
      <c r="F2649" s="14">
        <v>6800000</v>
      </c>
    </row>
    <row r="2650" spans="1:6" x14ac:dyDescent="0.3">
      <c r="A2650" s="8">
        <v>2648</v>
      </c>
      <c r="B2650" s="8" t="s">
        <v>2792</v>
      </c>
      <c r="C2650" s="8" t="s">
        <v>5450</v>
      </c>
      <c r="D2650" s="8" t="s">
        <v>5451</v>
      </c>
      <c r="E2650" s="13">
        <v>0</v>
      </c>
      <c r="F2650" s="14">
        <v>0</v>
      </c>
    </row>
    <row r="2651" spans="1:6" x14ac:dyDescent="0.3">
      <c r="A2651" s="8">
        <v>2649</v>
      </c>
      <c r="B2651" s="8" t="s">
        <v>2792</v>
      </c>
      <c r="C2651" s="8" t="s">
        <v>5452</v>
      </c>
      <c r="D2651" s="8" t="s">
        <v>5453</v>
      </c>
      <c r="E2651" s="13">
        <v>737000</v>
      </c>
      <c r="F2651" s="14">
        <v>1232407</v>
      </c>
    </row>
    <row r="2652" spans="1:6" x14ac:dyDescent="0.3">
      <c r="A2652" s="8">
        <v>2650</v>
      </c>
      <c r="B2652" s="8" t="s">
        <v>2792</v>
      </c>
      <c r="C2652" s="8" t="s">
        <v>5454</v>
      </c>
      <c r="D2652" s="8" t="s">
        <v>5455</v>
      </c>
      <c r="E2652" s="13">
        <v>0</v>
      </c>
      <c r="F2652" s="14">
        <v>3480000</v>
      </c>
    </row>
    <row r="2653" spans="1:6" x14ac:dyDescent="0.3">
      <c r="A2653" s="8">
        <v>2651</v>
      </c>
      <c r="B2653" s="8" t="s">
        <v>2792</v>
      </c>
      <c r="C2653" s="8" t="s">
        <v>5456</v>
      </c>
      <c r="D2653" s="8" t="s">
        <v>5457</v>
      </c>
      <c r="E2653" s="13">
        <v>0</v>
      </c>
      <c r="F2653" s="14">
        <v>0</v>
      </c>
    </row>
    <row r="2654" spans="1:6" x14ac:dyDescent="0.3">
      <c r="A2654" s="8">
        <v>2652</v>
      </c>
      <c r="B2654" s="8" t="s">
        <v>2792</v>
      </c>
      <c r="C2654" s="8" t="s">
        <v>5458</v>
      </c>
      <c r="D2654" s="8" t="s">
        <v>5459</v>
      </c>
      <c r="E2654" s="13">
        <v>0</v>
      </c>
      <c r="F2654" s="14">
        <v>0</v>
      </c>
    </row>
    <row r="2655" spans="1:6" x14ac:dyDescent="0.3">
      <c r="A2655" s="8">
        <v>2653</v>
      </c>
      <c r="B2655" s="8" t="s">
        <v>2792</v>
      </c>
      <c r="C2655" s="8" t="s">
        <v>5460</v>
      </c>
      <c r="D2655" s="8" t="s">
        <v>5461</v>
      </c>
      <c r="E2655" s="13">
        <v>0</v>
      </c>
      <c r="F2655" s="14">
        <v>2970000</v>
      </c>
    </row>
    <row r="2656" spans="1:6" x14ac:dyDescent="0.3">
      <c r="A2656" s="8">
        <v>2654</v>
      </c>
      <c r="B2656" s="8" t="s">
        <v>2792</v>
      </c>
      <c r="C2656" s="8" t="s">
        <v>5462</v>
      </c>
      <c r="D2656" s="8" t="s">
        <v>5463</v>
      </c>
      <c r="E2656" s="13">
        <v>5685200</v>
      </c>
      <c r="F2656" s="14">
        <v>9289815</v>
      </c>
    </row>
    <row r="2657" spans="1:6" x14ac:dyDescent="0.3">
      <c r="A2657" s="8">
        <v>2655</v>
      </c>
      <c r="B2657" s="8" t="s">
        <v>2792</v>
      </c>
      <c r="C2657" s="8" t="s">
        <v>5464</v>
      </c>
      <c r="D2657" s="8" t="s">
        <v>5465</v>
      </c>
      <c r="E2657" s="13">
        <v>0</v>
      </c>
      <c r="F2657" s="14">
        <v>0</v>
      </c>
    </row>
    <row r="2658" spans="1:6" x14ac:dyDescent="0.3">
      <c r="A2658" s="8">
        <v>2656</v>
      </c>
      <c r="B2658" s="8" t="s">
        <v>2792</v>
      </c>
      <c r="C2658" s="8" t="s">
        <v>5466</v>
      </c>
      <c r="D2658" s="8" t="s">
        <v>5467</v>
      </c>
      <c r="E2658" s="13">
        <v>0</v>
      </c>
      <c r="F2658" s="14">
        <v>0</v>
      </c>
    </row>
    <row r="2659" spans="1:6" x14ac:dyDescent="0.3">
      <c r="A2659" s="8">
        <v>2657</v>
      </c>
      <c r="B2659" s="8" t="s">
        <v>2792</v>
      </c>
      <c r="C2659" s="8" t="s">
        <v>5468</v>
      </c>
      <c r="D2659" s="8" t="s">
        <v>5469</v>
      </c>
      <c r="E2659" s="13">
        <v>0</v>
      </c>
      <c r="F2659" s="14">
        <v>3000000</v>
      </c>
    </row>
    <row r="2660" spans="1:6" x14ac:dyDescent="0.3">
      <c r="A2660" s="8">
        <v>2658</v>
      </c>
      <c r="B2660" s="8" t="s">
        <v>2792</v>
      </c>
      <c r="C2660" s="8" t="s">
        <v>5470</v>
      </c>
      <c r="D2660" s="8" t="s">
        <v>5471</v>
      </c>
      <c r="E2660" s="13">
        <v>0</v>
      </c>
      <c r="F2660" s="14">
        <v>0</v>
      </c>
    </row>
    <row r="2661" spans="1:6" x14ac:dyDescent="0.3">
      <c r="A2661" s="8">
        <v>2659</v>
      </c>
      <c r="B2661" s="8" t="s">
        <v>2792</v>
      </c>
      <c r="C2661" s="8" t="s">
        <v>5472</v>
      </c>
      <c r="D2661" s="8" t="s">
        <v>5473</v>
      </c>
      <c r="E2661" s="13">
        <v>0</v>
      </c>
      <c r="F2661" s="14">
        <v>0</v>
      </c>
    </row>
    <row r="2662" spans="1:6" x14ac:dyDescent="0.3">
      <c r="A2662" s="8">
        <v>2660</v>
      </c>
      <c r="B2662" s="8" t="s">
        <v>2792</v>
      </c>
      <c r="C2662" s="8" t="s">
        <v>5474</v>
      </c>
      <c r="D2662" s="8" t="s">
        <v>5475</v>
      </c>
      <c r="E2662" s="13">
        <v>0</v>
      </c>
      <c r="F2662" s="14">
        <v>0</v>
      </c>
    </row>
    <row r="2663" spans="1:6" x14ac:dyDescent="0.3">
      <c r="A2663" s="8">
        <v>2661</v>
      </c>
      <c r="B2663" s="8" t="s">
        <v>2792</v>
      </c>
      <c r="C2663" s="8" t="s">
        <v>5476</v>
      </c>
      <c r="D2663" s="8" t="s">
        <v>5477</v>
      </c>
      <c r="E2663" s="13">
        <v>0</v>
      </c>
      <c r="F2663" s="14">
        <v>1289815</v>
      </c>
    </row>
    <row r="2664" spans="1:6" x14ac:dyDescent="0.3">
      <c r="A2664" s="8">
        <v>2662</v>
      </c>
      <c r="B2664" s="8" t="s">
        <v>2792</v>
      </c>
      <c r="C2664" s="8" t="s">
        <v>5478</v>
      </c>
      <c r="D2664" s="8" t="s">
        <v>5479</v>
      </c>
      <c r="E2664" s="13">
        <v>0</v>
      </c>
      <c r="F2664" s="14">
        <v>0</v>
      </c>
    </row>
    <row r="2665" spans="1:6" x14ac:dyDescent="0.3">
      <c r="A2665" s="8">
        <v>2663</v>
      </c>
      <c r="B2665" s="8" t="s">
        <v>2792</v>
      </c>
      <c r="C2665" s="8" t="s">
        <v>5480</v>
      </c>
      <c r="D2665" s="8" t="s">
        <v>5481</v>
      </c>
      <c r="E2665" s="13">
        <v>0</v>
      </c>
      <c r="F2665" s="14">
        <v>0</v>
      </c>
    </row>
    <row r="2666" spans="1:6" x14ac:dyDescent="0.3">
      <c r="A2666" s="8">
        <v>2664</v>
      </c>
      <c r="B2666" s="8" t="s">
        <v>2792</v>
      </c>
      <c r="C2666" s="8" t="s">
        <v>5482</v>
      </c>
      <c r="D2666" s="8" t="s">
        <v>5483</v>
      </c>
      <c r="E2666" s="13">
        <v>0</v>
      </c>
      <c r="F2666" s="14">
        <v>0</v>
      </c>
    </row>
    <row r="2667" spans="1:6" x14ac:dyDescent="0.3">
      <c r="A2667" s="8">
        <v>2665</v>
      </c>
      <c r="B2667" s="8" t="s">
        <v>2792</v>
      </c>
      <c r="C2667" s="8" t="s">
        <v>5484</v>
      </c>
      <c r="D2667" s="8" t="s">
        <v>5485</v>
      </c>
      <c r="E2667" s="13">
        <v>0</v>
      </c>
      <c r="F2667" s="14">
        <v>0</v>
      </c>
    </row>
    <row r="2668" spans="1:6" x14ac:dyDescent="0.3">
      <c r="A2668" s="8">
        <v>2666</v>
      </c>
      <c r="B2668" s="8" t="s">
        <v>2792</v>
      </c>
      <c r="C2668" s="8" t="s">
        <v>5486</v>
      </c>
      <c r="D2668" s="8" t="s">
        <v>5487</v>
      </c>
      <c r="E2668" s="13">
        <v>0</v>
      </c>
      <c r="F2668" s="14">
        <v>0</v>
      </c>
    </row>
    <row r="2669" spans="1:6" x14ac:dyDescent="0.3">
      <c r="A2669" s="8">
        <v>2667</v>
      </c>
      <c r="B2669" s="8" t="s">
        <v>2792</v>
      </c>
      <c r="C2669" s="8" t="s">
        <v>5488</v>
      </c>
      <c r="D2669" s="8" t="s">
        <v>5489</v>
      </c>
      <c r="E2669" s="13">
        <v>0</v>
      </c>
      <c r="F2669" s="14">
        <v>0</v>
      </c>
    </row>
    <row r="2670" spans="1:6" x14ac:dyDescent="0.3">
      <c r="A2670" s="8">
        <v>2668</v>
      </c>
      <c r="B2670" s="8" t="s">
        <v>2792</v>
      </c>
      <c r="C2670" s="8" t="s">
        <v>5490</v>
      </c>
      <c r="D2670" s="8" t="s">
        <v>5491</v>
      </c>
      <c r="E2670" s="13">
        <v>0</v>
      </c>
      <c r="F2670" s="14">
        <v>0</v>
      </c>
    </row>
    <row r="2671" spans="1:6" x14ac:dyDescent="0.3">
      <c r="A2671" s="8">
        <v>2669</v>
      </c>
      <c r="B2671" s="8" t="s">
        <v>2792</v>
      </c>
      <c r="C2671" s="8" t="s">
        <v>5492</v>
      </c>
      <c r="D2671" s="8" t="s">
        <v>5493</v>
      </c>
      <c r="E2671" s="13">
        <v>0</v>
      </c>
      <c r="F2671" s="14">
        <v>8300000</v>
      </c>
    </row>
    <row r="2672" spans="1:6" x14ac:dyDescent="0.3">
      <c r="A2672" s="8">
        <v>2670</v>
      </c>
      <c r="B2672" s="8" t="s">
        <v>2792</v>
      </c>
      <c r="C2672" s="8" t="s">
        <v>5494</v>
      </c>
      <c r="D2672" s="8" t="s">
        <v>5495</v>
      </c>
      <c r="E2672" s="13">
        <v>0</v>
      </c>
      <c r="F2672" s="14">
        <v>0</v>
      </c>
    </row>
    <row r="2673" spans="1:6" x14ac:dyDescent="0.3">
      <c r="A2673" s="8">
        <v>2671</v>
      </c>
      <c r="B2673" s="8" t="s">
        <v>2792</v>
      </c>
      <c r="C2673" s="8" t="s">
        <v>5496</v>
      </c>
      <c r="D2673" s="8" t="s">
        <v>5497</v>
      </c>
      <c r="E2673" s="13">
        <v>0</v>
      </c>
      <c r="F2673" s="14">
        <v>0</v>
      </c>
    </row>
    <row r="2674" spans="1:6" x14ac:dyDescent="0.3">
      <c r="A2674" s="8">
        <v>2672</v>
      </c>
      <c r="B2674" s="8" t="s">
        <v>4148</v>
      </c>
      <c r="C2674" s="8" t="s">
        <v>5498</v>
      </c>
      <c r="D2674" s="8" t="s">
        <v>5499</v>
      </c>
      <c r="E2674" s="13">
        <v>46296</v>
      </c>
      <c r="F2674" s="14">
        <v>46296</v>
      </c>
    </row>
    <row r="2675" spans="1:6" x14ac:dyDescent="0.3">
      <c r="A2675" s="8">
        <v>2673</v>
      </c>
      <c r="B2675" s="8" t="s">
        <v>4148</v>
      </c>
      <c r="C2675" s="8" t="s">
        <v>5500</v>
      </c>
      <c r="D2675" s="8" t="s">
        <v>5501</v>
      </c>
      <c r="E2675" s="13">
        <v>90600</v>
      </c>
      <c r="F2675" s="14">
        <v>179000</v>
      </c>
    </row>
    <row r="2676" spans="1:6" x14ac:dyDescent="0.3">
      <c r="A2676" s="8">
        <v>2674</v>
      </c>
      <c r="B2676" s="8" t="s">
        <v>4148</v>
      </c>
      <c r="C2676" s="8" t="s">
        <v>5502</v>
      </c>
      <c r="D2676" s="8" t="s">
        <v>5503</v>
      </c>
      <c r="E2676" s="13">
        <v>121000</v>
      </c>
      <c r="F2676" s="14">
        <v>208000</v>
      </c>
    </row>
    <row r="2677" spans="1:6" x14ac:dyDescent="0.3">
      <c r="A2677" s="8">
        <v>2675</v>
      </c>
      <c r="B2677" s="8" t="s">
        <v>4148</v>
      </c>
      <c r="C2677" s="8" t="s">
        <v>5504</v>
      </c>
      <c r="D2677" s="8" t="s">
        <v>5505</v>
      </c>
      <c r="E2677" s="13">
        <v>0</v>
      </c>
      <c r="F2677" s="14">
        <v>0</v>
      </c>
    </row>
    <row r="2678" spans="1:6" x14ac:dyDescent="0.3">
      <c r="A2678" s="8">
        <v>2676</v>
      </c>
      <c r="B2678" s="8" t="s">
        <v>4148</v>
      </c>
      <c r="C2678" s="8" t="s">
        <v>5506</v>
      </c>
      <c r="D2678" s="8" t="s">
        <v>5507</v>
      </c>
      <c r="E2678" s="13">
        <v>45800</v>
      </c>
      <c r="F2678" s="14">
        <v>82000</v>
      </c>
    </row>
    <row r="2679" spans="1:6" x14ac:dyDescent="0.3">
      <c r="A2679" s="8">
        <v>2677</v>
      </c>
      <c r="B2679" s="8" t="s">
        <v>4148</v>
      </c>
      <c r="C2679" s="8" t="s">
        <v>5508</v>
      </c>
      <c r="D2679" s="8" t="s">
        <v>5509</v>
      </c>
      <c r="E2679" s="13">
        <v>79500</v>
      </c>
      <c r="F2679" s="14">
        <v>159259</v>
      </c>
    </row>
    <row r="2680" spans="1:6" x14ac:dyDescent="0.3">
      <c r="A2680" s="8">
        <v>2678</v>
      </c>
      <c r="B2680" s="8" t="s">
        <v>4148</v>
      </c>
      <c r="C2680" s="8" t="s">
        <v>5510</v>
      </c>
      <c r="D2680" s="8" t="s">
        <v>5511</v>
      </c>
      <c r="E2680" s="13">
        <v>79500</v>
      </c>
      <c r="F2680" s="14">
        <v>159259</v>
      </c>
    </row>
    <row r="2681" spans="1:6" x14ac:dyDescent="0.3">
      <c r="A2681" s="8">
        <v>2679</v>
      </c>
      <c r="B2681" s="8" t="s">
        <v>4148</v>
      </c>
      <c r="C2681" s="8" t="s">
        <v>5512</v>
      </c>
      <c r="D2681" s="8" t="s">
        <v>5513</v>
      </c>
      <c r="E2681" s="13">
        <v>79500</v>
      </c>
      <c r="F2681" s="14">
        <v>159259</v>
      </c>
    </row>
    <row r="2682" spans="1:6" x14ac:dyDescent="0.3">
      <c r="A2682" s="8">
        <v>2680</v>
      </c>
      <c r="B2682" s="8" t="s">
        <v>4148</v>
      </c>
      <c r="C2682" s="8" t="s">
        <v>5514</v>
      </c>
      <c r="D2682" s="8" t="s">
        <v>5515</v>
      </c>
      <c r="E2682" s="13">
        <v>45800</v>
      </c>
      <c r="F2682" s="14">
        <v>82407</v>
      </c>
    </row>
    <row r="2683" spans="1:6" x14ac:dyDescent="0.3">
      <c r="A2683" s="8">
        <v>2681</v>
      </c>
      <c r="B2683" s="8" t="s">
        <v>4148</v>
      </c>
      <c r="C2683" s="8" t="s">
        <v>5516</v>
      </c>
      <c r="D2683" s="8" t="s">
        <v>5517</v>
      </c>
      <c r="E2683" s="13">
        <v>80000</v>
      </c>
      <c r="F2683" s="14">
        <v>174074</v>
      </c>
    </row>
    <row r="2684" spans="1:6" x14ac:dyDescent="0.3">
      <c r="A2684" s="8">
        <v>2682</v>
      </c>
      <c r="B2684" s="8" t="s">
        <v>4148</v>
      </c>
      <c r="C2684" s="8" t="s">
        <v>5518</v>
      </c>
      <c r="D2684" s="8" t="s">
        <v>5519</v>
      </c>
      <c r="E2684" s="13">
        <v>87700</v>
      </c>
      <c r="F2684" s="14">
        <v>197222</v>
      </c>
    </row>
    <row r="2685" spans="1:6" x14ac:dyDescent="0.3">
      <c r="A2685" s="8">
        <v>2683</v>
      </c>
      <c r="B2685" s="8" t="s">
        <v>4148</v>
      </c>
      <c r="C2685" s="8" t="s">
        <v>5520</v>
      </c>
      <c r="D2685" s="8" t="s">
        <v>5521</v>
      </c>
      <c r="E2685" s="13">
        <v>0</v>
      </c>
      <c r="F2685" s="14">
        <v>0</v>
      </c>
    </row>
    <row r="2686" spans="1:6" x14ac:dyDescent="0.3">
      <c r="A2686" s="8">
        <v>2684</v>
      </c>
      <c r="B2686" s="8" t="s">
        <v>4148</v>
      </c>
      <c r="C2686" s="8" t="s">
        <v>5522</v>
      </c>
      <c r="D2686" s="8" t="s">
        <v>5523</v>
      </c>
      <c r="E2686" s="13">
        <v>92900</v>
      </c>
      <c r="F2686" s="14">
        <v>210185</v>
      </c>
    </row>
    <row r="2687" spans="1:6" x14ac:dyDescent="0.3">
      <c r="A2687" s="8">
        <v>2685</v>
      </c>
      <c r="B2687" s="8" t="s">
        <v>4148</v>
      </c>
      <c r="C2687" s="8" t="s">
        <v>5524</v>
      </c>
      <c r="D2687" s="8" t="s">
        <v>5525</v>
      </c>
      <c r="E2687" s="13">
        <v>70100</v>
      </c>
      <c r="F2687" s="14">
        <v>139815</v>
      </c>
    </row>
    <row r="2688" spans="1:6" x14ac:dyDescent="0.3">
      <c r="A2688" s="8">
        <v>2686</v>
      </c>
      <c r="B2688" s="8" t="s">
        <v>4148</v>
      </c>
      <c r="C2688" s="8" t="s">
        <v>5526</v>
      </c>
      <c r="D2688" s="8" t="s">
        <v>5527</v>
      </c>
      <c r="E2688" s="13">
        <v>70100</v>
      </c>
      <c r="F2688" s="14">
        <v>139815</v>
      </c>
    </row>
    <row r="2689" spans="1:6" x14ac:dyDescent="0.3">
      <c r="A2689" s="8">
        <v>2687</v>
      </c>
      <c r="B2689" s="8" t="s">
        <v>4148</v>
      </c>
      <c r="C2689" s="8" t="s">
        <v>5528</v>
      </c>
      <c r="D2689" s="8" t="s">
        <v>5529</v>
      </c>
      <c r="E2689" s="13">
        <v>100000</v>
      </c>
      <c r="F2689" s="14">
        <v>220370</v>
      </c>
    </row>
    <row r="2690" spans="1:6" x14ac:dyDescent="0.3">
      <c r="A2690" s="8">
        <v>2688</v>
      </c>
      <c r="B2690" s="8" t="s">
        <v>4148</v>
      </c>
      <c r="C2690" s="8" t="s">
        <v>5530</v>
      </c>
      <c r="D2690" s="8" t="s">
        <v>5531</v>
      </c>
      <c r="E2690" s="13">
        <v>61500</v>
      </c>
      <c r="F2690" s="14">
        <v>134000</v>
      </c>
    </row>
    <row r="2691" spans="1:6" x14ac:dyDescent="0.3">
      <c r="A2691" s="8">
        <v>2689</v>
      </c>
      <c r="B2691" s="8" t="s">
        <v>4148</v>
      </c>
      <c r="C2691" s="8" t="s">
        <v>5532</v>
      </c>
      <c r="D2691" s="8" t="s">
        <v>5533</v>
      </c>
      <c r="E2691" s="13">
        <v>0</v>
      </c>
      <c r="F2691" s="14">
        <v>174000</v>
      </c>
    </row>
    <row r="2692" spans="1:6" x14ac:dyDescent="0.3">
      <c r="A2692" s="8">
        <v>2690</v>
      </c>
      <c r="B2692" s="8" t="s">
        <v>4148</v>
      </c>
      <c r="C2692" s="8" t="s">
        <v>5534</v>
      </c>
      <c r="D2692" s="8" t="s">
        <v>5535</v>
      </c>
      <c r="E2692" s="13">
        <v>0</v>
      </c>
      <c r="F2692" s="14">
        <v>386000</v>
      </c>
    </row>
    <row r="2693" spans="1:6" x14ac:dyDescent="0.3">
      <c r="A2693" s="8">
        <v>2691</v>
      </c>
      <c r="B2693" s="8" t="s">
        <v>4148</v>
      </c>
      <c r="C2693" s="8" t="s">
        <v>5536</v>
      </c>
      <c r="D2693" s="8" t="s">
        <v>5537</v>
      </c>
      <c r="E2693" s="13">
        <v>0</v>
      </c>
      <c r="F2693" s="14">
        <v>316000</v>
      </c>
    </row>
    <row r="2694" spans="1:6" x14ac:dyDescent="0.3">
      <c r="A2694" s="8">
        <v>2692</v>
      </c>
      <c r="B2694" s="8" t="s">
        <v>4148</v>
      </c>
      <c r="C2694" s="8" t="s">
        <v>5538</v>
      </c>
      <c r="D2694" s="8" t="s">
        <v>5539</v>
      </c>
      <c r="E2694" s="13">
        <v>178000</v>
      </c>
      <c r="F2694" s="14">
        <v>355556</v>
      </c>
    </row>
    <row r="2695" spans="1:6" x14ac:dyDescent="0.3">
      <c r="A2695" s="8">
        <v>2693</v>
      </c>
      <c r="B2695" s="8" t="s">
        <v>4148</v>
      </c>
      <c r="C2695" s="8" t="s">
        <v>5540</v>
      </c>
      <c r="D2695" s="8" t="s">
        <v>5541</v>
      </c>
      <c r="E2695" s="13">
        <v>0</v>
      </c>
      <c r="F2695" s="14">
        <v>0</v>
      </c>
    </row>
    <row r="2696" spans="1:6" x14ac:dyDescent="0.3">
      <c r="A2696" s="8">
        <v>2694</v>
      </c>
      <c r="B2696" s="8" t="s">
        <v>4148</v>
      </c>
      <c r="C2696" s="8" t="s">
        <v>5542</v>
      </c>
      <c r="D2696" s="8" t="s">
        <v>5543</v>
      </c>
      <c r="E2696" s="13">
        <v>112000</v>
      </c>
      <c r="F2696" s="14">
        <v>224074</v>
      </c>
    </row>
    <row r="2697" spans="1:6" x14ac:dyDescent="0.3">
      <c r="A2697" s="8">
        <v>2695</v>
      </c>
      <c r="B2697" s="8" t="s">
        <v>4148</v>
      </c>
      <c r="C2697" s="8" t="s">
        <v>5544</v>
      </c>
      <c r="D2697" s="8" t="s">
        <v>5545</v>
      </c>
      <c r="E2697" s="13">
        <v>92900</v>
      </c>
      <c r="F2697" s="14">
        <v>210185</v>
      </c>
    </row>
    <row r="2698" spans="1:6" x14ac:dyDescent="0.3">
      <c r="A2698" s="8">
        <v>2696</v>
      </c>
      <c r="B2698" s="8" t="s">
        <v>4148</v>
      </c>
      <c r="C2698" s="8" t="s">
        <v>5546</v>
      </c>
      <c r="D2698" s="8" t="s">
        <v>5547</v>
      </c>
      <c r="E2698" s="13">
        <v>71000</v>
      </c>
      <c r="F2698" s="14">
        <v>158333</v>
      </c>
    </row>
    <row r="2699" spans="1:6" x14ac:dyDescent="0.3">
      <c r="A2699" s="8">
        <v>2697</v>
      </c>
      <c r="B2699" s="8" t="s">
        <v>4148</v>
      </c>
      <c r="C2699" s="8" t="s">
        <v>5548</v>
      </c>
      <c r="D2699" s="8" t="s">
        <v>5549</v>
      </c>
      <c r="E2699" s="13">
        <v>79500</v>
      </c>
      <c r="F2699" s="14">
        <v>159259</v>
      </c>
    </row>
    <row r="2700" spans="1:6" x14ac:dyDescent="0.3">
      <c r="A2700" s="8">
        <v>2698</v>
      </c>
      <c r="B2700" s="8" t="s">
        <v>4148</v>
      </c>
      <c r="C2700" s="8" t="s">
        <v>5550</v>
      </c>
      <c r="D2700" s="8" t="s">
        <v>5551</v>
      </c>
      <c r="E2700" s="13">
        <v>97200</v>
      </c>
      <c r="F2700" s="14">
        <v>194444</v>
      </c>
    </row>
    <row r="2701" spans="1:6" x14ac:dyDescent="0.3">
      <c r="A2701" s="8">
        <v>2699</v>
      </c>
      <c r="B2701" s="8" t="s">
        <v>4148</v>
      </c>
      <c r="C2701" s="8" t="s">
        <v>5552</v>
      </c>
      <c r="D2701" s="8" t="s">
        <v>5553</v>
      </c>
      <c r="E2701" s="13">
        <v>0</v>
      </c>
      <c r="F2701" s="14">
        <v>0</v>
      </c>
    </row>
    <row r="2702" spans="1:6" x14ac:dyDescent="0.3">
      <c r="A2702" s="8">
        <v>2700</v>
      </c>
      <c r="B2702" s="8" t="s">
        <v>4148</v>
      </c>
      <c r="C2702" s="8" t="s">
        <v>5554</v>
      </c>
      <c r="D2702" s="8" t="s">
        <v>5555</v>
      </c>
      <c r="E2702" s="13">
        <v>220000</v>
      </c>
      <c r="F2702" s="14">
        <v>439815</v>
      </c>
    </row>
    <row r="2703" spans="1:6" x14ac:dyDescent="0.3">
      <c r="A2703" s="8">
        <v>2701</v>
      </c>
      <c r="B2703" s="8" t="s">
        <v>4148</v>
      </c>
      <c r="C2703" s="8" t="s">
        <v>5556</v>
      </c>
      <c r="D2703" s="8" t="s">
        <v>5557</v>
      </c>
      <c r="E2703" s="13">
        <v>72700</v>
      </c>
      <c r="F2703" s="14">
        <v>145370</v>
      </c>
    </row>
    <row r="2704" spans="1:6" x14ac:dyDescent="0.3">
      <c r="A2704" s="8">
        <v>2702</v>
      </c>
      <c r="B2704" s="8" t="s">
        <v>4148</v>
      </c>
      <c r="C2704" s="8" t="s">
        <v>5558</v>
      </c>
      <c r="D2704" s="8" t="s">
        <v>5559</v>
      </c>
      <c r="E2704" s="13">
        <v>0</v>
      </c>
      <c r="F2704" s="14">
        <v>2241667</v>
      </c>
    </row>
    <row r="2705" spans="1:6" x14ac:dyDescent="0.3">
      <c r="A2705" s="8">
        <v>2703</v>
      </c>
      <c r="B2705" s="8" t="s">
        <v>4148</v>
      </c>
      <c r="C2705" s="8" t="s">
        <v>5560</v>
      </c>
      <c r="D2705" s="8" t="s">
        <v>5561</v>
      </c>
      <c r="E2705" s="13">
        <v>88000</v>
      </c>
      <c r="F2705" s="14">
        <v>175926</v>
      </c>
    </row>
    <row r="2706" spans="1:6" x14ac:dyDescent="0.3">
      <c r="A2706" s="8">
        <v>2704</v>
      </c>
      <c r="B2706" s="8" t="s">
        <v>4148</v>
      </c>
      <c r="C2706" s="8" t="s">
        <v>5562</v>
      </c>
      <c r="D2706" s="8" t="s">
        <v>5563</v>
      </c>
      <c r="E2706" s="13">
        <v>57400</v>
      </c>
      <c r="F2706" s="14">
        <v>114815</v>
      </c>
    </row>
    <row r="2707" spans="1:6" x14ac:dyDescent="0.3">
      <c r="A2707" s="8">
        <v>2705</v>
      </c>
      <c r="B2707" s="8" t="s">
        <v>4148</v>
      </c>
      <c r="C2707" s="8" t="s">
        <v>5564</v>
      </c>
      <c r="D2707" s="8" t="s">
        <v>5565</v>
      </c>
      <c r="E2707" s="13">
        <v>97200</v>
      </c>
      <c r="F2707" s="14">
        <v>194444</v>
      </c>
    </row>
    <row r="2708" spans="1:6" x14ac:dyDescent="0.3">
      <c r="A2708" s="8">
        <v>2706</v>
      </c>
      <c r="B2708" s="8" t="s">
        <v>4148</v>
      </c>
      <c r="C2708" s="8" t="s">
        <v>5566</v>
      </c>
      <c r="D2708" s="8" t="s">
        <v>5567</v>
      </c>
      <c r="E2708" s="13">
        <v>0</v>
      </c>
      <c r="F2708" s="14">
        <v>0</v>
      </c>
    </row>
    <row r="2709" spans="1:6" x14ac:dyDescent="0.3">
      <c r="A2709" s="8">
        <v>2707</v>
      </c>
      <c r="B2709" s="8" t="s">
        <v>4148</v>
      </c>
      <c r="C2709" s="8" t="s">
        <v>5568</v>
      </c>
      <c r="D2709" s="8" t="s">
        <v>5569</v>
      </c>
      <c r="E2709" s="13">
        <v>83200</v>
      </c>
      <c r="F2709" s="14">
        <v>166667</v>
      </c>
    </row>
    <row r="2710" spans="1:6" x14ac:dyDescent="0.3">
      <c r="A2710" s="8">
        <v>2708</v>
      </c>
      <c r="B2710" s="8" t="s">
        <v>4148</v>
      </c>
      <c r="C2710" s="8" t="s">
        <v>5570</v>
      </c>
      <c r="D2710" s="8" t="s">
        <v>5571</v>
      </c>
      <c r="E2710" s="13">
        <v>485000</v>
      </c>
      <c r="F2710" s="14">
        <v>970370</v>
      </c>
    </row>
    <row r="2711" spans="1:6" x14ac:dyDescent="0.3">
      <c r="A2711" s="8">
        <v>2709</v>
      </c>
      <c r="B2711" s="8" t="s">
        <v>4148</v>
      </c>
      <c r="C2711" s="8" t="s">
        <v>5572</v>
      </c>
      <c r="D2711" s="8" t="s">
        <v>5573</v>
      </c>
      <c r="E2711" s="13">
        <v>0</v>
      </c>
      <c r="F2711" s="14">
        <v>1160185</v>
      </c>
    </row>
    <row r="2712" spans="1:6" x14ac:dyDescent="0.3">
      <c r="A2712" s="8">
        <v>2710</v>
      </c>
      <c r="B2712" s="8" t="s">
        <v>4148</v>
      </c>
      <c r="C2712" s="8" t="s">
        <v>5574</v>
      </c>
      <c r="D2712" s="8" t="s">
        <v>5575</v>
      </c>
      <c r="E2712" s="13">
        <v>0</v>
      </c>
      <c r="F2712" s="14">
        <v>0</v>
      </c>
    </row>
    <row r="2713" spans="1:6" x14ac:dyDescent="0.3">
      <c r="A2713" s="8">
        <v>2711</v>
      </c>
      <c r="B2713" s="8" t="s">
        <v>4148</v>
      </c>
      <c r="C2713" s="8" t="s">
        <v>5576</v>
      </c>
      <c r="D2713" s="8" t="s">
        <v>5577</v>
      </c>
      <c r="E2713" s="13">
        <v>54400</v>
      </c>
      <c r="F2713" s="14">
        <v>122222</v>
      </c>
    </row>
    <row r="2714" spans="1:6" x14ac:dyDescent="0.3">
      <c r="A2714" s="8">
        <v>2712</v>
      </c>
      <c r="B2714" s="8" t="s">
        <v>4148</v>
      </c>
      <c r="C2714" s="8" t="s">
        <v>5578</v>
      </c>
      <c r="D2714" s="8" t="s">
        <v>5579</v>
      </c>
      <c r="E2714" s="13">
        <v>0</v>
      </c>
      <c r="F2714" s="14">
        <v>0</v>
      </c>
    </row>
    <row r="2715" spans="1:6" x14ac:dyDescent="0.3">
      <c r="A2715" s="8">
        <v>2713</v>
      </c>
      <c r="B2715" s="8" t="s">
        <v>4148</v>
      </c>
      <c r="C2715" s="8" t="s">
        <v>5580</v>
      </c>
      <c r="D2715" s="8" t="s">
        <v>5581</v>
      </c>
      <c r="E2715" s="13">
        <v>0</v>
      </c>
      <c r="F2715" s="14">
        <v>0</v>
      </c>
    </row>
    <row r="2716" spans="1:6" x14ac:dyDescent="0.3">
      <c r="A2716" s="8">
        <v>2714</v>
      </c>
      <c r="B2716" s="8" t="s">
        <v>4148</v>
      </c>
      <c r="C2716" s="8" t="s">
        <v>5582</v>
      </c>
      <c r="D2716" s="8" t="s">
        <v>5583</v>
      </c>
      <c r="E2716" s="13">
        <v>83200</v>
      </c>
      <c r="F2716" s="14">
        <v>166667</v>
      </c>
    </row>
    <row r="2717" spans="1:6" x14ac:dyDescent="0.3">
      <c r="A2717" s="8">
        <v>2715</v>
      </c>
      <c r="B2717" s="8" t="s">
        <v>4148</v>
      </c>
      <c r="C2717" s="8" t="s">
        <v>5584</v>
      </c>
      <c r="D2717" s="8" t="s">
        <v>5585</v>
      </c>
      <c r="E2717" s="13">
        <v>83200</v>
      </c>
      <c r="F2717" s="14">
        <v>166667</v>
      </c>
    </row>
    <row r="2718" spans="1:6" x14ac:dyDescent="0.3">
      <c r="A2718" s="8">
        <v>2716</v>
      </c>
      <c r="B2718" s="8" t="s">
        <v>4148</v>
      </c>
      <c r="C2718" s="8" t="s">
        <v>5586</v>
      </c>
      <c r="D2718" s="8" t="s">
        <v>5587</v>
      </c>
      <c r="E2718" s="13">
        <v>83200</v>
      </c>
      <c r="F2718" s="14">
        <v>166667</v>
      </c>
    </row>
    <row r="2719" spans="1:6" x14ac:dyDescent="0.3">
      <c r="A2719" s="8">
        <v>2717</v>
      </c>
      <c r="B2719" s="8" t="s">
        <v>4148</v>
      </c>
      <c r="C2719" s="8" t="s">
        <v>5588</v>
      </c>
      <c r="D2719" s="8" t="s">
        <v>5589</v>
      </c>
      <c r="E2719" s="13">
        <v>76300</v>
      </c>
      <c r="F2719" s="14">
        <v>170370</v>
      </c>
    </row>
    <row r="2720" spans="1:6" x14ac:dyDescent="0.3">
      <c r="A2720" s="8">
        <v>2718</v>
      </c>
      <c r="B2720" s="8" t="s">
        <v>4148</v>
      </c>
      <c r="C2720" s="8" t="s">
        <v>5590</v>
      </c>
      <c r="D2720" s="8" t="s">
        <v>5591</v>
      </c>
      <c r="E2720" s="13">
        <v>0</v>
      </c>
      <c r="F2720" s="14">
        <v>589815</v>
      </c>
    </row>
    <row r="2721" spans="1:6" x14ac:dyDescent="0.3">
      <c r="A2721" s="8">
        <v>2719</v>
      </c>
      <c r="B2721" s="8" t="s">
        <v>4148</v>
      </c>
      <c r="C2721" s="8" t="s">
        <v>5592</v>
      </c>
      <c r="D2721" s="8" t="s">
        <v>5593</v>
      </c>
      <c r="E2721" s="13">
        <v>94600</v>
      </c>
      <c r="F2721" s="14">
        <v>188889</v>
      </c>
    </row>
    <row r="2722" spans="1:6" x14ac:dyDescent="0.3">
      <c r="A2722" s="8">
        <v>2720</v>
      </c>
      <c r="B2722" s="8" t="s">
        <v>4148</v>
      </c>
      <c r="C2722" s="8" t="s">
        <v>5594</v>
      </c>
      <c r="D2722" s="8" t="s">
        <v>5595</v>
      </c>
      <c r="E2722" s="13">
        <v>0</v>
      </c>
      <c r="F2722" s="14">
        <v>0</v>
      </c>
    </row>
    <row r="2723" spans="1:6" x14ac:dyDescent="0.3">
      <c r="A2723" s="8">
        <v>2721</v>
      </c>
      <c r="B2723" s="8" t="s">
        <v>4148</v>
      </c>
      <c r="C2723" s="8" t="s">
        <v>5596</v>
      </c>
      <c r="D2723" s="8" t="s">
        <v>5597</v>
      </c>
      <c r="E2723" s="13">
        <v>0</v>
      </c>
      <c r="F2723" s="14">
        <v>0</v>
      </c>
    </row>
    <row r="2724" spans="1:6" x14ac:dyDescent="0.3">
      <c r="A2724" s="8">
        <v>2722</v>
      </c>
      <c r="B2724" s="8" t="s">
        <v>4148</v>
      </c>
      <c r="C2724" s="8" t="s">
        <v>5598</v>
      </c>
      <c r="D2724" s="8" t="s">
        <v>5599</v>
      </c>
      <c r="E2724" s="13">
        <v>0</v>
      </c>
      <c r="F2724" s="14">
        <v>0</v>
      </c>
    </row>
    <row r="2725" spans="1:6" x14ac:dyDescent="0.3">
      <c r="A2725" s="8">
        <v>2723</v>
      </c>
      <c r="B2725" s="8" t="s">
        <v>4148</v>
      </c>
      <c r="C2725" s="8" t="s">
        <v>5600</v>
      </c>
      <c r="D2725" s="8" t="s">
        <v>5601</v>
      </c>
      <c r="E2725" s="13">
        <v>0</v>
      </c>
      <c r="F2725" s="14">
        <v>0</v>
      </c>
    </row>
    <row r="2726" spans="1:6" x14ac:dyDescent="0.3">
      <c r="A2726" s="8">
        <v>2724</v>
      </c>
      <c r="B2726" s="8" t="s">
        <v>4148</v>
      </c>
      <c r="C2726" s="8" t="s">
        <v>5602</v>
      </c>
      <c r="D2726" s="8" t="s">
        <v>5603</v>
      </c>
      <c r="E2726" s="13">
        <v>0</v>
      </c>
      <c r="F2726" s="14">
        <v>0</v>
      </c>
    </row>
    <row r="2727" spans="1:6" x14ac:dyDescent="0.3">
      <c r="A2727" s="8">
        <v>2725</v>
      </c>
      <c r="B2727" s="8" t="s">
        <v>4148</v>
      </c>
      <c r="C2727" s="8" t="s">
        <v>5604</v>
      </c>
      <c r="D2727" s="8" t="s">
        <v>5605</v>
      </c>
      <c r="E2727" s="13">
        <v>0</v>
      </c>
      <c r="F2727" s="14">
        <v>0</v>
      </c>
    </row>
    <row r="2728" spans="1:6" x14ac:dyDescent="0.3">
      <c r="A2728" s="8">
        <v>2726</v>
      </c>
      <c r="B2728" s="8" t="s">
        <v>4148</v>
      </c>
      <c r="C2728" s="8" t="s">
        <v>5606</v>
      </c>
      <c r="D2728" s="8" t="s">
        <v>5607</v>
      </c>
      <c r="E2728" s="13">
        <v>0</v>
      </c>
      <c r="F2728" s="14">
        <v>0</v>
      </c>
    </row>
    <row r="2729" spans="1:6" x14ac:dyDescent="0.3">
      <c r="A2729" s="8">
        <v>2727</v>
      </c>
      <c r="B2729" s="8" t="s">
        <v>4148</v>
      </c>
      <c r="C2729" s="8" t="s">
        <v>5608</v>
      </c>
      <c r="D2729" s="8" t="s">
        <v>5609</v>
      </c>
      <c r="E2729" s="13">
        <v>0</v>
      </c>
      <c r="F2729" s="14">
        <v>0</v>
      </c>
    </row>
    <row r="2730" spans="1:6" x14ac:dyDescent="0.3">
      <c r="A2730" s="8">
        <v>2728</v>
      </c>
      <c r="B2730" s="8" t="s">
        <v>4148</v>
      </c>
      <c r="C2730" s="8" t="s">
        <v>5610</v>
      </c>
      <c r="D2730" s="8" t="s">
        <v>5611</v>
      </c>
      <c r="E2730" s="13">
        <v>65000</v>
      </c>
      <c r="F2730" s="14">
        <v>129630</v>
      </c>
    </row>
    <row r="2731" spans="1:6" x14ac:dyDescent="0.3">
      <c r="A2731" s="8">
        <v>2729</v>
      </c>
      <c r="B2731" s="8" t="s">
        <v>4148</v>
      </c>
      <c r="C2731" s="8" t="s">
        <v>5612</v>
      </c>
      <c r="D2731" s="8" t="s">
        <v>5613</v>
      </c>
      <c r="E2731" s="13">
        <v>90600</v>
      </c>
      <c r="F2731" s="14">
        <v>179000</v>
      </c>
    </row>
    <row r="2732" spans="1:6" x14ac:dyDescent="0.3">
      <c r="A2732" s="8">
        <v>2730</v>
      </c>
      <c r="B2732" s="8" t="s">
        <v>4148</v>
      </c>
      <c r="C2732" s="8" t="s">
        <v>5614</v>
      </c>
      <c r="D2732" s="8" t="s">
        <v>5615</v>
      </c>
      <c r="E2732" s="13">
        <v>0</v>
      </c>
      <c r="F2732" s="14">
        <v>0</v>
      </c>
    </row>
    <row r="2733" spans="1:6" x14ac:dyDescent="0.3">
      <c r="A2733" s="8">
        <v>2731</v>
      </c>
      <c r="B2733" s="8" t="s">
        <v>4148</v>
      </c>
      <c r="C2733" s="8" t="s">
        <v>5616</v>
      </c>
      <c r="D2733" s="8" t="s">
        <v>5617</v>
      </c>
      <c r="E2733" s="13">
        <v>83800</v>
      </c>
      <c r="F2733" s="14">
        <v>167593</v>
      </c>
    </row>
    <row r="2734" spans="1:6" x14ac:dyDescent="0.3">
      <c r="A2734" s="8">
        <v>2732</v>
      </c>
      <c r="B2734" s="8" t="s">
        <v>4148</v>
      </c>
      <c r="C2734" s="8" t="s">
        <v>5618</v>
      </c>
      <c r="D2734" s="8" t="s">
        <v>5619</v>
      </c>
      <c r="E2734" s="13">
        <v>72400</v>
      </c>
      <c r="F2734" s="14">
        <v>158000</v>
      </c>
    </row>
    <row r="2735" spans="1:6" x14ac:dyDescent="0.3">
      <c r="A2735" s="8">
        <v>2733</v>
      </c>
      <c r="B2735" s="8" t="s">
        <v>4148</v>
      </c>
      <c r="C2735" s="8" t="s">
        <v>5620</v>
      </c>
      <c r="D2735" s="8" t="s">
        <v>5621</v>
      </c>
      <c r="E2735" s="13">
        <v>83800</v>
      </c>
      <c r="F2735" s="14">
        <v>167593</v>
      </c>
    </row>
    <row r="2736" spans="1:6" x14ac:dyDescent="0.3">
      <c r="A2736" s="8">
        <v>2734</v>
      </c>
      <c r="B2736" s="8" t="s">
        <v>4148</v>
      </c>
      <c r="C2736" s="8" t="s">
        <v>5622</v>
      </c>
      <c r="D2736" s="8" t="s">
        <v>5623</v>
      </c>
      <c r="E2736" s="13">
        <v>70000</v>
      </c>
      <c r="F2736" s="14">
        <v>140000</v>
      </c>
    </row>
    <row r="2737" spans="1:6" x14ac:dyDescent="0.3">
      <c r="A2737" s="8">
        <v>2735</v>
      </c>
      <c r="B2737" s="8" t="s">
        <v>4148</v>
      </c>
      <c r="C2737" s="8" t="s">
        <v>5624</v>
      </c>
      <c r="D2737" s="8" t="s">
        <v>5625</v>
      </c>
      <c r="E2737" s="13">
        <v>0</v>
      </c>
      <c r="F2737" s="14">
        <v>161000</v>
      </c>
    </row>
    <row r="2738" spans="1:6" x14ac:dyDescent="0.3">
      <c r="A2738" s="8">
        <v>2736</v>
      </c>
      <c r="B2738" s="8" t="s">
        <v>4148</v>
      </c>
      <c r="C2738" s="8" t="s">
        <v>5626</v>
      </c>
      <c r="D2738" s="8" t="s">
        <v>5627</v>
      </c>
      <c r="E2738" s="13">
        <v>87700</v>
      </c>
      <c r="F2738" s="14">
        <v>197222</v>
      </c>
    </row>
    <row r="2739" spans="1:6" x14ac:dyDescent="0.3">
      <c r="A2739" s="8">
        <v>2737</v>
      </c>
      <c r="B2739" s="8" t="s">
        <v>4148</v>
      </c>
      <c r="C2739" s="8" t="s">
        <v>5628</v>
      </c>
      <c r="D2739" s="8" t="s">
        <v>5629</v>
      </c>
      <c r="E2739" s="13">
        <v>82400</v>
      </c>
      <c r="F2739" s="14">
        <v>185185</v>
      </c>
    </row>
    <row r="2740" spans="1:6" x14ac:dyDescent="0.3">
      <c r="A2740" s="8">
        <v>2738</v>
      </c>
      <c r="B2740" s="8" t="s">
        <v>4148</v>
      </c>
      <c r="C2740" s="8" t="s">
        <v>5630</v>
      </c>
      <c r="D2740" s="8" t="s">
        <v>5631</v>
      </c>
      <c r="E2740" s="13">
        <v>87700</v>
      </c>
      <c r="F2740" s="14">
        <v>197222</v>
      </c>
    </row>
    <row r="2741" spans="1:6" x14ac:dyDescent="0.3">
      <c r="A2741" s="8">
        <v>2739</v>
      </c>
      <c r="B2741" s="8" t="s">
        <v>4148</v>
      </c>
      <c r="C2741" s="8" t="s">
        <v>5632</v>
      </c>
      <c r="D2741" s="8" t="s">
        <v>5633</v>
      </c>
      <c r="E2741" s="13">
        <v>70100</v>
      </c>
      <c r="F2741" s="14">
        <v>156481</v>
      </c>
    </row>
    <row r="2742" spans="1:6" x14ac:dyDescent="0.3">
      <c r="A2742" s="8">
        <v>2740</v>
      </c>
      <c r="B2742" s="8" t="s">
        <v>4148</v>
      </c>
      <c r="C2742" s="8" t="s">
        <v>5634</v>
      </c>
      <c r="D2742" s="8" t="s">
        <v>5635</v>
      </c>
      <c r="E2742" s="13">
        <v>0</v>
      </c>
      <c r="F2742" s="14">
        <v>0</v>
      </c>
    </row>
    <row r="2743" spans="1:6" x14ac:dyDescent="0.3">
      <c r="A2743" s="8">
        <v>2741</v>
      </c>
      <c r="B2743" s="8" t="s">
        <v>4148</v>
      </c>
      <c r="C2743" s="8" t="s">
        <v>5636</v>
      </c>
      <c r="D2743" s="8" t="s">
        <v>5637</v>
      </c>
      <c r="E2743" s="13">
        <v>0</v>
      </c>
      <c r="F2743" s="14">
        <v>0</v>
      </c>
    </row>
    <row r="2744" spans="1:6" x14ac:dyDescent="0.3">
      <c r="A2744" s="8">
        <v>2742</v>
      </c>
      <c r="B2744" s="8" t="s">
        <v>4148</v>
      </c>
      <c r="C2744" s="8" t="s">
        <v>5638</v>
      </c>
      <c r="D2744" s="8" t="s">
        <v>5639</v>
      </c>
      <c r="E2744" s="13">
        <v>97200</v>
      </c>
      <c r="F2744" s="14">
        <v>194444</v>
      </c>
    </row>
    <row r="2745" spans="1:6" x14ac:dyDescent="0.3">
      <c r="A2745" s="8">
        <v>2743</v>
      </c>
      <c r="B2745" s="8" t="s">
        <v>4148</v>
      </c>
      <c r="C2745" s="8" t="s">
        <v>5640</v>
      </c>
      <c r="D2745" s="8" t="s">
        <v>5641</v>
      </c>
      <c r="E2745" s="13">
        <v>70100</v>
      </c>
      <c r="F2745" s="14">
        <v>156481</v>
      </c>
    </row>
    <row r="2746" spans="1:6" x14ac:dyDescent="0.3">
      <c r="A2746" s="8">
        <v>2744</v>
      </c>
      <c r="B2746" s="8" t="s">
        <v>4148</v>
      </c>
      <c r="C2746" s="8" t="s">
        <v>5642</v>
      </c>
      <c r="D2746" s="8" t="s">
        <v>5643</v>
      </c>
      <c r="E2746" s="13">
        <v>234000</v>
      </c>
      <c r="F2746" s="14">
        <v>467593</v>
      </c>
    </row>
    <row r="2747" spans="1:6" x14ac:dyDescent="0.3">
      <c r="A2747" s="8">
        <v>2745</v>
      </c>
      <c r="B2747" s="8" t="s">
        <v>4148</v>
      </c>
      <c r="C2747" s="8" t="s">
        <v>5644</v>
      </c>
      <c r="D2747" s="8" t="s">
        <v>5645</v>
      </c>
      <c r="E2747" s="13">
        <v>61400</v>
      </c>
      <c r="F2747" s="14">
        <v>136111</v>
      </c>
    </row>
    <row r="2748" spans="1:6" x14ac:dyDescent="0.3">
      <c r="A2748" s="8">
        <v>2746</v>
      </c>
      <c r="B2748" s="8" t="s">
        <v>4148</v>
      </c>
      <c r="C2748" s="8" t="s">
        <v>5646</v>
      </c>
      <c r="D2748" s="8" t="s">
        <v>5647</v>
      </c>
      <c r="E2748" s="13">
        <v>42300</v>
      </c>
      <c r="F2748" s="14">
        <v>84630</v>
      </c>
    </row>
    <row r="2749" spans="1:6" x14ac:dyDescent="0.3">
      <c r="A2749" s="8">
        <v>2747</v>
      </c>
      <c r="B2749" s="8" t="s">
        <v>4148</v>
      </c>
      <c r="C2749" s="8" t="s">
        <v>5648</v>
      </c>
      <c r="D2749" s="8" t="s">
        <v>5649</v>
      </c>
      <c r="E2749" s="13">
        <v>93000</v>
      </c>
      <c r="F2749" s="14">
        <v>203636</v>
      </c>
    </row>
    <row r="2750" spans="1:6" x14ac:dyDescent="0.3">
      <c r="A2750" s="8">
        <v>2748</v>
      </c>
      <c r="B2750" s="8" t="s">
        <v>4148</v>
      </c>
      <c r="C2750" s="8" t="s">
        <v>5650</v>
      </c>
      <c r="D2750" s="8" t="s">
        <v>5651</v>
      </c>
      <c r="E2750" s="13">
        <v>70100</v>
      </c>
      <c r="F2750" s="14">
        <v>156481</v>
      </c>
    </row>
    <row r="2751" spans="1:6" x14ac:dyDescent="0.3">
      <c r="A2751" s="8">
        <v>2749</v>
      </c>
      <c r="B2751" s="8" t="s">
        <v>4148</v>
      </c>
      <c r="C2751" s="8" t="s">
        <v>5652</v>
      </c>
      <c r="D2751" s="8" t="s">
        <v>5653</v>
      </c>
      <c r="E2751" s="13">
        <v>0</v>
      </c>
      <c r="F2751" s="14">
        <v>0</v>
      </c>
    </row>
    <row r="2752" spans="1:6" x14ac:dyDescent="0.3">
      <c r="A2752" s="8">
        <v>2750</v>
      </c>
      <c r="B2752" s="8" t="s">
        <v>4148</v>
      </c>
      <c r="C2752" s="8" t="s">
        <v>5654</v>
      </c>
      <c r="D2752" s="8" t="s">
        <v>5655</v>
      </c>
      <c r="E2752" s="13">
        <v>165000</v>
      </c>
      <c r="F2752" s="14">
        <v>329630</v>
      </c>
    </row>
    <row r="2753" spans="1:6" x14ac:dyDescent="0.3">
      <c r="A2753" s="8">
        <v>2751</v>
      </c>
      <c r="B2753" s="8" t="s">
        <v>4148</v>
      </c>
      <c r="C2753" s="8" t="s">
        <v>5656</v>
      </c>
      <c r="D2753" s="8" t="s">
        <v>5657</v>
      </c>
      <c r="E2753" s="13">
        <v>79500</v>
      </c>
      <c r="F2753" s="14">
        <v>159259</v>
      </c>
    </row>
    <row r="2754" spans="1:6" x14ac:dyDescent="0.3">
      <c r="A2754" s="8">
        <v>2752</v>
      </c>
      <c r="B2754" s="8" t="s">
        <v>4148</v>
      </c>
      <c r="C2754" s="8" t="s">
        <v>5658</v>
      </c>
      <c r="D2754" s="8" t="s">
        <v>5659</v>
      </c>
      <c r="E2754" s="13">
        <v>72700</v>
      </c>
      <c r="F2754" s="14">
        <v>145370</v>
      </c>
    </row>
    <row r="2755" spans="1:6" x14ac:dyDescent="0.3">
      <c r="A2755" s="8">
        <v>2753</v>
      </c>
      <c r="B2755" s="8" t="s">
        <v>4148</v>
      </c>
      <c r="C2755" s="8" t="s">
        <v>5660</v>
      </c>
      <c r="D2755" s="8" t="s">
        <v>5661</v>
      </c>
      <c r="E2755" s="13">
        <v>0</v>
      </c>
      <c r="F2755" s="14">
        <v>0</v>
      </c>
    </row>
    <row r="2756" spans="1:6" x14ac:dyDescent="0.3">
      <c r="A2756" s="8">
        <v>2754</v>
      </c>
      <c r="B2756" s="8" t="s">
        <v>4148</v>
      </c>
      <c r="C2756" s="8" t="s">
        <v>5662</v>
      </c>
      <c r="D2756" s="8" t="s">
        <v>5663</v>
      </c>
      <c r="E2756" s="13">
        <v>0</v>
      </c>
      <c r="F2756" s="14">
        <v>331000</v>
      </c>
    </row>
    <row r="2757" spans="1:6" x14ac:dyDescent="0.3">
      <c r="A2757" s="8">
        <v>2755</v>
      </c>
      <c r="B2757" s="8" t="s">
        <v>4148</v>
      </c>
      <c r="C2757" s="8" t="s">
        <v>5664</v>
      </c>
      <c r="D2757" s="8" t="s">
        <v>5665</v>
      </c>
      <c r="E2757" s="13">
        <v>71000</v>
      </c>
      <c r="F2757" s="14">
        <v>158333</v>
      </c>
    </row>
    <row r="2758" spans="1:6" x14ac:dyDescent="0.3">
      <c r="A2758" s="8">
        <v>2756</v>
      </c>
      <c r="B2758" s="8" t="s">
        <v>4148</v>
      </c>
      <c r="C2758" s="8" t="s">
        <v>5666</v>
      </c>
      <c r="D2758" s="8" t="s">
        <v>5667</v>
      </c>
      <c r="E2758" s="13">
        <v>61400</v>
      </c>
      <c r="F2758" s="14">
        <v>136111</v>
      </c>
    </row>
    <row r="2759" spans="1:6" x14ac:dyDescent="0.3">
      <c r="A2759" s="8">
        <v>2757</v>
      </c>
      <c r="B2759" s="8" t="s">
        <v>4148</v>
      </c>
      <c r="C2759" s="8" t="s">
        <v>5668</v>
      </c>
      <c r="D2759" s="8" t="s">
        <v>5669</v>
      </c>
      <c r="E2759" s="13">
        <v>83800</v>
      </c>
      <c r="F2759" s="14">
        <v>167593</v>
      </c>
    </row>
    <row r="2760" spans="1:6" x14ac:dyDescent="0.3">
      <c r="A2760" s="8">
        <v>2758</v>
      </c>
      <c r="B2760" s="8" t="s">
        <v>4148</v>
      </c>
      <c r="C2760" s="8" t="s">
        <v>5670</v>
      </c>
      <c r="D2760" s="8" t="s">
        <v>5671</v>
      </c>
      <c r="E2760" s="13">
        <v>94600</v>
      </c>
      <c r="F2760" s="14">
        <v>188889</v>
      </c>
    </row>
    <row r="2761" spans="1:6" x14ac:dyDescent="0.3">
      <c r="A2761" s="8">
        <v>2759</v>
      </c>
      <c r="B2761" s="8" t="s">
        <v>4148</v>
      </c>
      <c r="C2761" s="8" t="s">
        <v>5672</v>
      </c>
      <c r="D2761" s="8" t="s">
        <v>5673</v>
      </c>
      <c r="E2761" s="13">
        <v>0</v>
      </c>
      <c r="F2761" s="14">
        <v>0</v>
      </c>
    </row>
    <row r="2762" spans="1:6" x14ac:dyDescent="0.3">
      <c r="A2762" s="8">
        <v>2760</v>
      </c>
      <c r="B2762" s="8" t="s">
        <v>4148</v>
      </c>
      <c r="C2762" s="8" t="s">
        <v>5674</v>
      </c>
      <c r="D2762" s="8" t="s">
        <v>5675</v>
      </c>
      <c r="E2762" s="13">
        <v>70100</v>
      </c>
      <c r="F2762" s="14">
        <v>139815</v>
      </c>
    </row>
    <row r="2763" spans="1:6" x14ac:dyDescent="0.3">
      <c r="A2763" s="8">
        <v>2761</v>
      </c>
      <c r="B2763" s="8" t="s">
        <v>4148</v>
      </c>
      <c r="C2763" s="8" t="s">
        <v>5676</v>
      </c>
      <c r="D2763" s="8" t="s">
        <v>5677</v>
      </c>
      <c r="E2763" s="13">
        <v>0</v>
      </c>
      <c r="F2763" s="14">
        <v>0</v>
      </c>
    </row>
    <row r="2764" spans="1:6" x14ac:dyDescent="0.3">
      <c r="A2764" s="8">
        <v>2762</v>
      </c>
      <c r="B2764" s="8" t="s">
        <v>4148</v>
      </c>
      <c r="C2764" s="8" t="s">
        <v>5678</v>
      </c>
      <c r="D2764" s="8" t="s">
        <v>5679</v>
      </c>
      <c r="E2764" s="13">
        <v>0</v>
      </c>
      <c r="F2764" s="14">
        <v>0</v>
      </c>
    </row>
    <row r="2765" spans="1:6" x14ac:dyDescent="0.3">
      <c r="A2765" s="8">
        <v>2763</v>
      </c>
      <c r="B2765" s="8" t="s">
        <v>4148</v>
      </c>
      <c r="C2765" s="8" t="s">
        <v>5680</v>
      </c>
      <c r="D2765" s="8" t="s">
        <v>5681</v>
      </c>
      <c r="E2765" s="13">
        <v>79500</v>
      </c>
      <c r="F2765" s="14">
        <v>159259</v>
      </c>
    </row>
    <row r="2766" spans="1:6" x14ac:dyDescent="0.3">
      <c r="A2766" s="8">
        <v>2764</v>
      </c>
      <c r="B2766" s="8" t="s">
        <v>4148</v>
      </c>
      <c r="C2766" s="8" t="s">
        <v>5682</v>
      </c>
      <c r="D2766" s="8" t="s">
        <v>5683</v>
      </c>
      <c r="E2766" s="13">
        <v>153000</v>
      </c>
      <c r="F2766" s="14">
        <v>305556</v>
      </c>
    </row>
    <row r="2767" spans="1:6" x14ac:dyDescent="0.3">
      <c r="A2767" s="8">
        <v>2765</v>
      </c>
      <c r="B2767" s="8" t="s">
        <v>4148</v>
      </c>
      <c r="C2767" s="8" t="s">
        <v>5684</v>
      </c>
      <c r="D2767" s="8" t="s">
        <v>5685</v>
      </c>
      <c r="E2767" s="13">
        <v>0</v>
      </c>
      <c r="F2767" s="14">
        <v>0</v>
      </c>
    </row>
    <row r="2768" spans="1:6" x14ac:dyDescent="0.3">
      <c r="A2768" s="8">
        <v>2766</v>
      </c>
      <c r="B2768" s="8" t="s">
        <v>4148</v>
      </c>
      <c r="C2768" s="8" t="s">
        <v>5686</v>
      </c>
      <c r="D2768" s="8" t="s">
        <v>5687</v>
      </c>
      <c r="E2768" s="13">
        <v>0</v>
      </c>
      <c r="F2768" s="14">
        <v>200000</v>
      </c>
    </row>
    <row r="2769" spans="1:6" x14ac:dyDescent="0.3">
      <c r="A2769" s="8">
        <v>2767</v>
      </c>
      <c r="B2769" s="8" t="s">
        <v>4148</v>
      </c>
      <c r="C2769" s="8" t="s">
        <v>5688</v>
      </c>
      <c r="D2769" s="8" t="s">
        <v>5689</v>
      </c>
      <c r="E2769" s="13">
        <v>0</v>
      </c>
      <c r="F2769" s="14">
        <v>0</v>
      </c>
    </row>
    <row r="2770" spans="1:6" x14ac:dyDescent="0.3">
      <c r="A2770" s="8">
        <v>2768</v>
      </c>
      <c r="B2770" s="8" t="s">
        <v>4148</v>
      </c>
      <c r="C2770" s="8" t="s">
        <v>5690</v>
      </c>
      <c r="D2770" s="8" t="s">
        <v>5691</v>
      </c>
      <c r="E2770" s="13">
        <v>0</v>
      </c>
      <c r="F2770" s="14">
        <v>0</v>
      </c>
    </row>
    <row r="2771" spans="1:6" x14ac:dyDescent="0.3">
      <c r="A2771" s="8">
        <v>2769</v>
      </c>
      <c r="B2771" s="8" t="s">
        <v>4148</v>
      </c>
      <c r="C2771" s="8" t="s">
        <v>5692</v>
      </c>
      <c r="D2771" s="8" t="s">
        <v>5693</v>
      </c>
      <c r="E2771" s="13">
        <v>0</v>
      </c>
      <c r="F2771" s="14">
        <v>0</v>
      </c>
    </row>
    <row r="2772" spans="1:6" x14ac:dyDescent="0.3">
      <c r="A2772" s="8">
        <v>2770</v>
      </c>
      <c r="B2772" s="8" t="s">
        <v>4148</v>
      </c>
      <c r="C2772" s="8" t="s">
        <v>5694</v>
      </c>
      <c r="D2772" s="8" t="s">
        <v>5695</v>
      </c>
      <c r="E2772" s="13">
        <v>0</v>
      </c>
      <c r="F2772" s="14">
        <v>0</v>
      </c>
    </row>
    <row r="2773" spans="1:6" x14ac:dyDescent="0.3">
      <c r="A2773" s="8">
        <v>2771</v>
      </c>
      <c r="B2773" s="8" t="s">
        <v>4148</v>
      </c>
      <c r="C2773" s="8" t="s">
        <v>5696</v>
      </c>
      <c r="D2773" s="8" t="s">
        <v>5697</v>
      </c>
      <c r="E2773" s="13">
        <v>168000</v>
      </c>
      <c r="F2773" s="14">
        <v>336111</v>
      </c>
    </row>
    <row r="2774" spans="1:6" x14ac:dyDescent="0.3">
      <c r="A2774" s="8">
        <v>2772</v>
      </c>
      <c r="B2774" s="8" t="s">
        <v>4148</v>
      </c>
      <c r="C2774" s="8" t="s">
        <v>5698</v>
      </c>
      <c r="D2774" s="8" t="s">
        <v>5699</v>
      </c>
      <c r="E2774" s="13">
        <v>0</v>
      </c>
      <c r="F2774" s="14">
        <v>0</v>
      </c>
    </row>
    <row r="2775" spans="1:6" x14ac:dyDescent="0.3">
      <c r="A2775" s="8">
        <v>2773</v>
      </c>
      <c r="B2775" s="8" t="s">
        <v>4148</v>
      </c>
      <c r="C2775" s="8" t="s">
        <v>5700</v>
      </c>
      <c r="D2775" s="8" t="s">
        <v>5701</v>
      </c>
      <c r="E2775" s="13">
        <v>0</v>
      </c>
      <c r="F2775" s="14">
        <v>0</v>
      </c>
    </row>
    <row r="2776" spans="1:6" x14ac:dyDescent="0.3">
      <c r="A2776" s="8">
        <v>2774</v>
      </c>
      <c r="B2776" s="8" t="s">
        <v>4148</v>
      </c>
      <c r="C2776" s="8" t="s">
        <v>5702</v>
      </c>
      <c r="D2776" s="8" t="s">
        <v>5703</v>
      </c>
      <c r="E2776" s="13">
        <v>0</v>
      </c>
      <c r="F2776" s="14">
        <v>0</v>
      </c>
    </row>
    <row r="2777" spans="1:6" x14ac:dyDescent="0.3">
      <c r="A2777" s="8">
        <v>2775</v>
      </c>
      <c r="B2777" s="8" t="s">
        <v>2792</v>
      </c>
      <c r="C2777" s="8" t="s">
        <v>5704</v>
      </c>
      <c r="D2777" s="8" t="s">
        <v>5705</v>
      </c>
      <c r="E2777" s="13">
        <v>0</v>
      </c>
      <c r="F2777" s="14">
        <v>4000000</v>
      </c>
    </row>
    <row r="2778" spans="1:6" x14ac:dyDescent="0.3">
      <c r="A2778" s="8">
        <v>2776</v>
      </c>
      <c r="B2778" s="8" t="s">
        <v>2792</v>
      </c>
      <c r="C2778" s="8" t="s">
        <v>5706</v>
      </c>
      <c r="D2778" s="8" t="s">
        <v>5707</v>
      </c>
      <c r="E2778" s="13">
        <v>0</v>
      </c>
      <c r="F2778" s="14">
        <v>0</v>
      </c>
    </row>
    <row r="2779" spans="1:6" x14ac:dyDescent="0.3">
      <c r="A2779" s="8">
        <v>2777</v>
      </c>
      <c r="B2779" s="8" t="s">
        <v>2792</v>
      </c>
      <c r="C2779" s="8" t="s">
        <v>5708</v>
      </c>
      <c r="D2779" s="8" t="s">
        <v>5709</v>
      </c>
      <c r="E2779" s="13">
        <v>0</v>
      </c>
      <c r="F2779" s="14">
        <v>3600000</v>
      </c>
    </row>
    <row r="2780" spans="1:6" x14ac:dyDescent="0.3">
      <c r="A2780" s="8">
        <v>2778</v>
      </c>
      <c r="B2780" s="8" t="s">
        <v>2792</v>
      </c>
      <c r="C2780" s="8" t="s">
        <v>5710</v>
      </c>
      <c r="D2780" s="8" t="s">
        <v>5711</v>
      </c>
      <c r="E2780" s="13">
        <v>0</v>
      </c>
      <c r="F2780" s="14">
        <v>0</v>
      </c>
    </row>
    <row r="2781" spans="1:6" x14ac:dyDescent="0.3">
      <c r="A2781" s="8">
        <v>2779</v>
      </c>
      <c r="B2781" s="8" t="s">
        <v>2792</v>
      </c>
      <c r="C2781" s="8" t="s">
        <v>5712</v>
      </c>
      <c r="D2781" s="8" t="s">
        <v>5713</v>
      </c>
      <c r="E2781" s="13">
        <v>0</v>
      </c>
      <c r="F2781" s="14">
        <v>0</v>
      </c>
    </row>
    <row r="2782" spans="1:6" x14ac:dyDescent="0.3">
      <c r="A2782" s="8">
        <v>2780</v>
      </c>
      <c r="B2782" s="8" t="s">
        <v>2792</v>
      </c>
      <c r="C2782" s="8" t="s">
        <v>5714</v>
      </c>
      <c r="D2782" s="8" t="s">
        <v>5715</v>
      </c>
      <c r="E2782" s="13">
        <v>0</v>
      </c>
      <c r="F2782" s="14">
        <v>3300000</v>
      </c>
    </row>
    <row r="2783" spans="1:6" x14ac:dyDescent="0.3">
      <c r="A2783" s="8">
        <v>2781</v>
      </c>
      <c r="B2783" s="8" t="s">
        <v>2792</v>
      </c>
      <c r="C2783" s="8" t="s">
        <v>5716</v>
      </c>
      <c r="D2783" s="8" t="s">
        <v>5717</v>
      </c>
      <c r="E2783" s="13">
        <v>1385200</v>
      </c>
      <c r="F2783" s="14">
        <v>2314815</v>
      </c>
    </row>
    <row r="2784" spans="1:6" x14ac:dyDescent="0.3">
      <c r="A2784" s="8">
        <v>2782</v>
      </c>
      <c r="B2784" s="8" t="s">
        <v>2792</v>
      </c>
      <c r="C2784" s="8" t="s">
        <v>5718</v>
      </c>
      <c r="D2784" s="8" t="s">
        <v>5719</v>
      </c>
      <c r="E2784" s="13">
        <v>0</v>
      </c>
      <c r="F2784" s="14">
        <v>0</v>
      </c>
    </row>
    <row r="2785" spans="1:6" x14ac:dyDescent="0.3">
      <c r="A2785" s="8">
        <v>2783</v>
      </c>
      <c r="B2785" s="8" t="s">
        <v>2792</v>
      </c>
      <c r="C2785" s="8" t="s">
        <v>5720</v>
      </c>
      <c r="D2785" s="8" t="s">
        <v>5721</v>
      </c>
      <c r="E2785" s="13">
        <v>0</v>
      </c>
      <c r="F2785" s="14">
        <v>0</v>
      </c>
    </row>
    <row r="2786" spans="1:6" x14ac:dyDescent="0.3">
      <c r="A2786" s="8">
        <v>2784</v>
      </c>
      <c r="B2786" s="8" t="s">
        <v>2792</v>
      </c>
      <c r="C2786" s="8" t="s">
        <v>5722</v>
      </c>
      <c r="D2786" s="8" t="s">
        <v>5723</v>
      </c>
      <c r="E2786" s="13">
        <v>0</v>
      </c>
      <c r="F2786" s="14">
        <v>0</v>
      </c>
    </row>
    <row r="2787" spans="1:6" x14ac:dyDescent="0.3">
      <c r="A2787" s="8">
        <v>2785</v>
      </c>
      <c r="B2787" s="8" t="s">
        <v>2792</v>
      </c>
      <c r="C2787" s="8" t="s">
        <v>5724</v>
      </c>
      <c r="D2787" s="8" t="s">
        <v>5725</v>
      </c>
      <c r="E2787" s="13">
        <v>0</v>
      </c>
      <c r="F2787" s="14">
        <v>0</v>
      </c>
    </row>
    <row r="2788" spans="1:6" x14ac:dyDescent="0.3">
      <c r="A2788" s="8">
        <v>2786</v>
      </c>
      <c r="B2788" s="8" t="s">
        <v>2792</v>
      </c>
      <c r="C2788" s="8" t="s">
        <v>5726</v>
      </c>
      <c r="D2788" s="8" t="s">
        <v>5727</v>
      </c>
      <c r="E2788" s="13">
        <v>378000</v>
      </c>
      <c r="F2788" s="14">
        <v>755556</v>
      </c>
    </row>
    <row r="2789" spans="1:6" x14ac:dyDescent="0.3">
      <c r="A2789" s="8">
        <v>2787</v>
      </c>
      <c r="B2789" s="8" t="s">
        <v>2792</v>
      </c>
      <c r="C2789" s="8" t="s">
        <v>5728</v>
      </c>
      <c r="D2789" s="8" t="s">
        <v>5729</v>
      </c>
      <c r="E2789" s="13">
        <v>0</v>
      </c>
      <c r="F2789" s="14">
        <v>0</v>
      </c>
    </row>
    <row r="2790" spans="1:6" x14ac:dyDescent="0.3">
      <c r="A2790" s="8">
        <v>2788</v>
      </c>
      <c r="B2790" s="8" t="s">
        <v>2792</v>
      </c>
      <c r="C2790" s="8" t="s">
        <v>5730</v>
      </c>
      <c r="D2790" s="8" t="s">
        <v>5731</v>
      </c>
      <c r="E2790" s="13">
        <v>0</v>
      </c>
      <c r="F2790" s="14">
        <v>0</v>
      </c>
    </row>
    <row r="2791" spans="1:6" x14ac:dyDescent="0.3">
      <c r="A2791" s="8">
        <v>2789</v>
      </c>
      <c r="B2791" s="8" t="s">
        <v>2792</v>
      </c>
      <c r="C2791" s="8" t="s">
        <v>5732</v>
      </c>
      <c r="D2791" s="8" t="s">
        <v>5733</v>
      </c>
      <c r="E2791" s="13">
        <v>0</v>
      </c>
      <c r="F2791" s="14">
        <v>0</v>
      </c>
    </row>
    <row r="2792" spans="1:6" x14ac:dyDescent="0.3">
      <c r="A2792" s="8">
        <v>2790</v>
      </c>
      <c r="B2792" s="8" t="s">
        <v>2792</v>
      </c>
      <c r="C2792" s="8" t="s">
        <v>5734</v>
      </c>
      <c r="D2792" s="8" t="s">
        <v>5735</v>
      </c>
      <c r="E2792" s="13">
        <v>0</v>
      </c>
      <c r="F2792" s="14">
        <v>0</v>
      </c>
    </row>
    <row r="2793" spans="1:6" x14ac:dyDescent="0.3">
      <c r="A2793" s="8">
        <v>2791</v>
      </c>
      <c r="B2793" s="8" t="s">
        <v>2792</v>
      </c>
      <c r="C2793" s="8" t="s">
        <v>5736</v>
      </c>
      <c r="D2793" s="8" t="s">
        <v>5737</v>
      </c>
      <c r="E2793" s="13">
        <v>0</v>
      </c>
      <c r="F2793" s="14">
        <v>0</v>
      </c>
    </row>
    <row r="2794" spans="1:6" x14ac:dyDescent="0.3">
      <c r="A2794" s="8">
        <v>2792</v>
      </c>
      <c r="B2794" s="8" t="s">
        <v>2792</v>
      </c>
      <c r="C2794" s="8" t="s">
        <v>5738</v>
      </c>
      <c r="D2794" s="8" t="s">
        <v>5739</v>
      </c>
      <c r="E2794" s="13">
        <v>0</v>
      </c>
      <c r="F2794" s="14">
        <v>0</v>
      </c>
    </row>
    <row r="2795" spans="1:6" x14ac:dyDescent="0.3">
      <c r="A2795" s="8">
        <v>2793</v>
      </c>
      <c r="B2795" s="8" t="s">
        <v>2792</v>
      </c>
      <c r="C2795" s="8" t="s">
        <v>5740</v>
      </c>
      <c r="D2795" s="8" t="s">
        <v>5741</v>
      </c>
      <c r="E2795" s="13">
        <v>0</v>
      </c>
      <c r="F2795" s="14">
        <v>0</v>
      </c>
    </row>
    <row r="2796" spans="1:6" x14ac:dyDescent="0.3">
      <c r="A2796" s="8">
        <v>2794</v>
      </c>
      <c r="B2796" s="8" t="s">
        <v>2792</v>
      </c>
      <c r="C2796" s="8" t="s">
        <v>5742</v>
      </c>
      <c r="D2796" s="8" t="s">
        <v>5743</v>
      </c>
      <c r="E2796" s="13">
        <v>0</v>
      </c>
      <c r="F2796" s="14">
        <v>0</v>
      </c>
    </row>
    <row r="2797" spans="1:6" x14ac:dyDescent="0.3">
      <c r="A2797" s="8">
        <v>2795</v>
      </c>
      <c r="B2797" s="8" t="s">
        <v>2792</v>
      </c>
      <c r="C2797" s="8" t="s">
        <v>5744</v>
      </c>
      <c r="D2797" s="8" t="s">
        <v>5745</v>
      </c>
      <c r="E2797" s="13">
        <v>1137000</v>
      </c>
      <c r="F2797" s="14">
        <v>2274074</v>
      </c>
    </row>
    <row r="2798" spans="1:6" x14ac:dyDescent="0.3">
      <c r="A2798" s="8">
        <v>2796</v>
      </c>
      <c r="B2798" s="8" t="s">
        <v>2792</v>
      </c>
      <c r="C2798" s="8" t="s">
        <v>5746</v>
      </c>
      <c r="D2798" s="8" t="s">
        <v>5747</v>
      </c>
      <c r="E2798" s="13">
        <v>0</v>
      </c>
      <c r="F2798" s="14">
        <v>0</v>
      </c>
    </row>
    <row r="2799" spans="1:6" x14ac:dyDescent="0.3">
      <c r="A2799" s="8">
        <v>2797</v>
      </c>
      <c r="B2799" s="8" t="s">
        <v>2792</v>
      </c>
      <c r="C2799" s="8" t="s">
        <v>5748</v>
      </c>
      <c r="D2799" s="8" t="s">
        <v>5749</v>
      </c>
      <c r="E2799" s="13">
        <v>0</v>
      </c>
      <c r="F2799" s="14">
        <v>0</v>
      </c>
    </row>
    <row r="2800" spans="1:6" x14ac:dyDescent="0.3">
      <c r="A2800" s="8">
        <v>2798</v>
      </c>
      <c r="B2800" s="8" t="s">
        <v>2792</v>
      </c>
      <c r="C2800" s="8" t="s">
        <v>5750</v>
      </c>
      <c r="D2800" s="8" t="s">
        <v>5751</v>
      </c>
      <c r="E2800" s="13">
        <v>0</v>
      </c>
      <c r="F2800" s="14">
        <v>0</v>
      </c>
    </row>
    <row r="2801" spans="1:6" x14ac:dyDescent="0.3">
      <c r="A2801" s="8">
        <v>2799</v>
      </c>
      <c r="B2801" s="8" t="s">
        <v>2792</v>
      </c>
      <c r="C2801" s="8" t="s">
        <v>5752</v>
      </c>
      <c r="D2801" s="8" t="s">
        <v>5753</v>
      </c>
      <c r="E2801" s="13">
        <v>3080000</v>
      </c>
      <c r="F2801" s="14">
        <v>5300000</v>
      </c>
    </row>
    <row r="2802" spans="1:6" x14ac:dyDescent="0.3">
      <c r="A2802" s="8">
        <v>2800</v>
      </c>
      <c r="B2802" s="8" t="s">
        <v>2792</v>
      </c>
      <c r="C2802" s="8" t="s">
        <v>5754</v>
      </c>
      <c r="D2802" s="8" t="s">
        <v>5755</v>
      </c>
      <c r="E2802" s="13">
        <v>0</v>
      </c>
      <c r="F2802" s="14">
        <v>0</v>
      </c>
    </row>
    <row r="2803" spans="1:6" x14ac:dyDescent="0.3">
      <c r="A2803" s="8">
        <v>2801</v>
      </c>
      <c r="B2803" s="8" t="s">
        <v>2792</v>
      </c>
      <c r="C2803" s="8" t="s">
        <v>5756</v>
      </c>
      <c r="D2803" s="8" t="s">
        <v>5757</v>
      </c>
      <c r="E2803" s="13">
        <v>317000</v>
      </c>
      <c r="F2803" s="14">
        <v>634000</v>
      </c>
    </row>
    <row r="2804" spans="1:6" x14ac:dyDescent="0.3">
      <c r="A2804" s="8">
        <v>2802</v>
      </c>
      <c r="B2804" s="8" t="s">
        <v>2792</v>
      </c>
      <c r="C2804" s="8" t="s">
        <v>5758</v>
      </c>
      <c r="D2804" s="8" t="s">
        <v>5759</v>
      </c>
      <c r="E2804" s="13">
        <v>202000</v>
      </c>
      <c r="F2804" s="14">
        <v>378000</v>
      </c>
    </row>
    <row r="2805" spans="1:6" x14ac:dyDescent="0.3">
      <c r="A2805" s="8">
        <v>2803</v>
      </c>
      <c r="B2805" s="8" t="s">
        <v>2792</v>
      </c>
      <c r="C2805" s="8" t="s">
        <v>5760</v>
      </c>
      <c r="D2805" s="8" t="s">
        <v>5761</v>
      </c>
      <c r="E2805" s="13">
        <v>1344000</v>
      </c>
      <c r="F2805" s="14">
        <v>1405556</v>
      </c>
    </row>
    <row r="2806" spans="1:6" x14ac:dyDescent="0.3">
      <c r="A2806" s="8">
        <v>2804</v>
      </c>
      <c r="B2806" s="8" t="s">
        <v>2792</v>
      </c>
      <c r="C2806" s="8" t="s">
        <v>5762</v>
      </c>
      <c r="D2806" s="8" t="s">
        <v>5763</v>
      </c>
      <c r="E2806" s="13">
        <v>0</v>
      </c>
      <c r="F2806" s="14">
        <v>0</v>
      </c>
    </row>
    <row r="2807" spans="1:6" x14ac:dyDescent="0.3">
      <c r="A2807" s="8">
        <v>2805</v>
      </c>
      <c r="B2807" s="8" t="s">
        <v>2792</v>
      </c>
      <c r="C2807" s="8" t="s">
        <v>5764</v>
      </c>
      <c r="D2807" s="8" t="s">
        <v>5765</v>
      </c>
      <c r="E2807" s="13">
        <v>0</v>
      </c>
      <c r="F2807" s="14">
        <v>0</v>
      </c>
    </row>
    <row r="2808" spans="1:6" x14ac:dyDescent="0.3">
      <c r="A2808" s="8">
        <v>2806</v>
      </c>
      <c r="B2808" s="8" t="s">
        <v>2792</v>
      </c>
      <c r="C2808" s="8" t="s">
        <v>5766</v>
      </c>
      <c r="D2808" s="8" t="s">
        <v>5767</v>
      </c>
      <c r="E2808" s="13">
        <v>0</v>
      </c>
      <c r="F2808" s="14">
        <v>7700000</v>
      </c>
    </row>
    <row r="2809" spans="1:6" x14ac:dyDescent="0.3">
      <c r="A2809" s="8">
        <v>2807</v>
      </c>
      <c r="B2809" s="8" t="s">
        <v>2792</v>
      </c>
      <c r="C2809" s="8" t="s">
        <v>5768</v>
      </c>
      <c r="D2809" s="8" t="s">
        <v>5769</v>
      </c>
      <c r="E2809" s="13">
        <v>0</v>
      </c>
      <c r="F2809" s="14">
        <v>0</v>
      </c>
    </row>
    <row r="2810" spans="1:6" x14ac:dyDescent="0.3">
      <c r="A2810" s="8">
        <v>2808</v>
      </c>
      <c r="B2810" s="8" t="s">
        <v>2792</v>
      </c>
      <c r="C2810" s="8" t="s">
        <v>5770</v>
      </c>
      <c r="D2810" s="8" t="s">
        <v>5771</v>
      </c>
      <c r="E2810" s="13">
        <v>0</v>
      </c>
      <c r="F2810" s="14">
        <v>0</v>
      </c>
    </row>
    <row r="2811" spans="1:6" x14ac:dyDescent="0.3">
      <c r="A2811" s="8">
        <v>2809</v>
      </c>
      <c r="B2811" s="8" t="s">
        <v>2792</v>
      </c>
      <c r="C2811" s="8" t="s">
        <v>5772</v>
      </c>
      <c r="D2811" s="8" t="s">
        <v>5773</v>
      </c>
      <c r="E2811" s="13">
        <v>0</v>
      </c>
      <c r="F2811" s="14">
        <v>0</v>
      </c>
    </row>
    <row r="2812" spans="1:6" x14ac:dyDescent="0.3">
      <c r="A2812" s="8">
        <v>2810</v>
      </c>
      <c r="B2812" s="8" t="s">
        <v>2792</v>
      </c>
      <c r="C2812" s="8" t="s">
        <v>5774</v>
      </c>
      <c r="D2812" s="8" t="s">
        <v>5775</v>
      </c>
      <c r="E2812" s="13">
        <v>0</v>
      </c>
      <c r="F2812" s="14">
        <v>6489815</v>
      </c>
    </row>
    <row r="2813" spans="1:6" x14ac:dyDescent="0.3">
      <c r="A2813" s="8">
        <v>2811</v>
      </c>
      <c r="B2813" s="8" t="s">
        <v>2792</v>
      </c>
      <c r="C2813" s="8" t="s">
        <v>5776</v>
      </c>
      <c r="D2813" s="8" t="s">
        <v>5777</v>
      </c>
      <c r="E2813" s="13">
        <v>0</v>
      </c>
      <c r="F2813" s="14">
        <v>0</v>
      </c>
    </row>
    <row r="2814" spans="1:6" x14ac:dyDescent="0.3">
      <c r="A2814" s="8">
        <v>2812</v>
      </c>
      <c r="B2814" s="8" t="s">
        <v>2792</v>
      </c>
      <c r="C2814" s="8" t="s">
        <v>5778</v>
      </c>
      <c r="D2814" s="8" t="s">
        <v>5779</v>
      </c>
      <c r="E2814" s="13">
        <v>0</v>
      </c>
      <c r="F2814" s="14">
        <v>0</v>
      </c>
    </row>
    <row r="2815" spans="1:6" x14ac:dyDescent="0.3">
      <c r="A2815" s="8">
        <v>2813</v>
      </c>
      <c r="B2815" s="8" t="s">
        <v>2792</v>
      </c>
      <c r="C2815" s="8" t="s">
        <v>5780</v>
      </c>
      <c r="D2815" s="8" t="s">
        <v>5781</v>
      </c>
      <c r="E2815" s="13">
        <v>0</v>
      </c>
      <c r="F2815" s="14">
        <v>0</v>
      </c>
    </row>
    <row r="2816" spans="1:6" x14ac:dyDescent="0.3">
      <c r="A2816" s="8">
        <v>2814</v>
      </c>
      <c r="B2816" s="8" t="s">
        <v>2792</v>
      </c>
      <c r="C2816" s="8" t="s">
        <v>5782</v>
      </c>
      <c r="D2816" s="8" t="s">
        <v>5783</v>
      </c>
      <c r="E2816" s="13">
        <v>0</v>
      </c>
      <c r="F2816" s="14">
        <v>0</v>
      </c>
    </row>
    <row r="2817" spans="1:6" x14ac:dyDescent="0.3">
      <c r="A2817" s="8">
        <v>2815</v>
      </c>
      <c r="B2817" s="8" t="s">
        <v>2792</v>
      </c>
      <c r="C2817" s="8" t="s">
        <v>5784</v>
      </c>
      <c r="D2817" s="8" t="s">
        <v>5785</v>
      </c>
      <c r="E2817" s="13">
        <v>2371000</v>
      </c>
      <c r="F2817" s="14">
        <v>4741667</v>
      </c>
    </row>
    <row r="2818" spans="1:6" x14ac:dyDescent="0.3">
      <c r="A2818" s="8">
        <v>2816</v>
      </c>
      <c r="B2818" s="8" t="s">
        <v>2792</v>
      </c>
      <c r="C2818" s="8" t="s">
        <v>5786</v>
      </c>
      <c r="D2818" s="8" t="s">
        <v>5787</v>
      </c>
      <c r="E2818" s="13">
        <v>0</v>
      </c>
      <c r="F2818" s="14">
        <v>0</v>
      </c>
    </row>
    <row r="2819" spans="1:6" x14ac:dyDescent="0.3">
      <c r="A2819" s="8">
        <v>2817</v>
      </c>
      <c r="B2819" s="8" t="s">
        <v>2792</v>
      </c>
      <c r="C2819" s="8" t="s">
        <v>5788</v>
      </c>
      <c r="D2819" s="8" t="s">
        <v>5789</v>
      </c>
      <c r="E2819" s="13">
        <v>5935000</v>
      </c>
      <c r="F2819" s="14">
        <v>9420000</v>
      </c>
    </row>
    <row r="2820" spans="1:6" x14ac:dyDescent="0.3">
      <c r="A2820" s="8">
        <v>2818</v>
      </c>
      <c r="B2820" s="8" t="s">
        <v>2792</v>
      </c>
      <c r="C2820" s="8" t="s">
        <v>5790</v>
      </c>
      <c r="D2820" s="8" t="s">
        <v>5791</v>
      </c>
      <c r="E2820" s="13">
        <v>1769000</v>
      </c>
      <c r="F2820" s="14">
        <v>3537963</v>
      </c>
    </row>
    <row r="2821" spans="1:6" x14ac:dyDescent="0.3">
      <c r="A2821" s="8">
        <v>2819</v>
      </c>
      <c r="B2821" s="8" t="s">
        <v>2792</v>
      </c>
      <c r="C2821" s="8" t="s">
        <v>5792</v>
      </c>
      <c r="D2821" s="8" t="s">
        <v>5793</v>
      </c>
      <c r="E2821" s="13">
        <v>0</v>
      </c>
      <c r="F2821" s="14">
        <v>0</v>
      </c>
    </row>
    <row r="2822" spans="1:6" x14ac:dyDescent="0.3">
      <c r="A2822" s="8">
        <v>2820</v>
      </c>
      <c r="B2822" s="8" t="s">
        <v>2792</v>
      </c>
      <c r="C2822" s="8" t="s">
        <v>5794</v>
      </c>
      <c r="D2822" s="8" t="s">
        <v>5795</v>
      </c>
      <c r="E2822" s="13">
        <v>0</v>
      </c>
      <c r="F2822" s="14">
        <v>0</v>
      </c>
    </row>
    <row r="2823" spans="1:6" x14ac:dyDescent="0.3">
      <c r="A2823" s="8">
        <v>2821</v>
      </c>
      <c r="B2823" s="8" t="s">
        <v>2792</v>
      </c>
      <c r="C2823" s="8" t="s">
        <v>5796</v>
      </c>
      <c r="D2823" s="8" t="s">
        <v>5797</v>
      </c>
      <c r="E2823" s="13">
        <v>0</v>
      </c>
      <c r="F2823" s="14">
        <v>0</v>
      </c>
    </row>
    <row r="2824" spans="1:6" x14ac:dyDescent="0.3">
      <c r="A2824" s="8">
        <v>2822</v>
      </c>
      <c r="B2824" s="8" t="s">
        <v>2792</v>
      </c>
      <c r="C2824" s="8" t="s">
        <v>5798</v>
      </c>
      <c r="D2824" s="8" t="s">
        <v>5799</v>
      </c>
      <c r="E2824" s="13">
        <v>3270000</v>
      </c>
      <c r="F2824" s="14">
        <v>5190000</v>
      </c>
    </row>
    <row r="2825" spans="1:6" x14ac:dyDescent="0.3">
      <c r="A2825" s="8">
        <v>2823</v>
      </c>
      <c r="B2825" s="8" t="s">
        <v>2792</v>
      </c>
      <c r="C2825" s="8" t="s">
        <v>5800</v>
      </c>
      <c r="D2825" s="8" t="s">
        <v>5801</v>
      </c>
      <c r="E2825" s="13">
        <v>4983000</v>
      </c>
      <c r="F2825" s="14">
        <v>7910000</v>
      </c>
    </row>
    <row r="2826" spans="1:6" x14ac:dyDescent="0.3">
      <c r="A2826" s="8">
        <v>2824</v>
      </c>
      <c r="B2826" s="8" t="s">
        <v>2792</v>
      </c>
      <c r="C2826" s="8" t="s">
        <v>5802</v>
      </c>
      <c r="D2826" s="8" t="s">
        <v>5803</v>
      </c>
      <c r="E2826" s="13">
        <v>0</v>
      </c>
      <c r="F2826" s="14">
        <v>5500000</v>
      </c>
    </row>
    <row r="2827" spans="1:6" x14ac:dyDescent="0.3">
      <c r="A2827" s="8">
        <v>2825</v>
      </c>
      <c r="B2827" s="8" t="s">
        <v>2792</v>
      </c>
      <c r="C2827" s="8" t="s">
        <v>5804</v>
      </c>
      <c r="D2827" s="8" t="s">
        <v>5805</v>
      </c>
      <c r="E2827" s="13">
        <v>0</v>
      </c>
      <c r="F2827" s="14">
        <v>6900000</v>
      </c>
    </row>
    <row r="2828" spans="1:6" x14ac:dyDescent="0.3">
      <c r="A2828" s="8">
        <v>2826</v>
      </c>
      <c r="B2828" s="8" t="s">
        <v>2792</v>
      </c>
      <c r="C2828" s="8" t="s">
        <v>5806</v>
      </c>
      <c r="D2828" s="8" t="s">
        <v>5807</v>
      </c>
      <c r="E2828" s="13">
        <v>0</v>
      </c>
      <c r="F2828" s="14">
        <v>0</v>
      </c>
    </row>
    <row r="2829" spans="1:6" x14ac:dyDescent="0.3">
      <c r="A2829" s="8">
        <v>2827</v>
      </c>
      <c r="B2829" s="8" t="s">
        <v>2792</v>
      </c>
      <c r="C2829" s="8" t="s">
        <v>5808</v>
      </c>
      <c r="D2829" s="8" t="s">
        <v>5809</v>
      </c>
      <c r="E2829" s="13">
        <v>402000</v>
      </c>
      <c r="F2829" s="14">
        <v>803704</v>
      </c>
    </row>
    <row r="2830" spans="1:6" x14ac:dyDescent="0.3">
      <c r="A2830" s="8">
        <v>2828</v>
      </c>
      <c r="B2830" s="8" t="s">
        <v>2792</v>
      </c>
      <c r="C2830" s="8" t="s">
        <v>5810</v>
      </c>
      <c r="D2830" s="8" t="s">
        <v>5811</v>
      </c>
      <c r="E2830" s="13">
        <v>213000</v>
      </c>
      <c r="F2830" s="14">
        <v>425926</v>
      </c>
    </row>
    <row r="2831" spans="1:6" x14ac:dyDescent="0.3">
      <c r="A2831" s="8">
        <v>2829</v>
      </c>
      <c r="B2831" s="8" t="s">
        <v>2792</v>
      </c>
      <c r="C2831" s="8" t="s">
        <v>5812</v>
      </c>
      <c r="D2831" s="8" t="s">
        <v>5813</v>
      </c>
      <c r="E2831" s="13">
        <v>697000</v>
      </c>
      <c r="F2831" s="14">
        <v>1394444</v>
      </c>
    </row>
    <row r="2832" spans="1:6" x14ac:dyDescent="0.3">
      <c r="A2832" s="8">
        <v>2830</v>
      </c>
      <c r="B2832" s="8" t="s">
        <v>2792</v>
      </c>
      <c r="C2832" s="8" t="s">
        <v>5814</v>
      </c>
      <c r="D2832" s="8" t="s">
        <v>5815</v>
      </c>
      <c r="E2832" s="13">
        <v>0</v>
      </c>
      <c r="F2832" s="14">
        <v>0</v>
      </c>
    </row>
    <row r="2833" spans="1:6" x14ac:dyDescent="0.3">
      <c r="A2833" s="8">
        <v>2831</v>
      </c>
      <c r="B2833" s="8" t="s">
        <v>2792</v>
      </c>
      <c r="C2833" s="8" t="s">
        <v>5816</v>
      </c>
      <c r="D2833" s="8" t="s">
        <v>5817</v>
      </c>
      <c r="E2833" s="13">
        <v>0</v>
      </c>
      <c r="F2833" s="14">
        <v>0</v>
      </c>
    </row>
    <row r="2834" spans="1:6" x14ac:dyDescent="0.3">
      <c r="A2834" s="8">
        <v>2832</v>
      </c>
      <c r="B2834" s="8" t="s">
        <v>2792</v>
      </c>
      <c r="C2834" s="8" t="s">
        <v>5818</v>
      </c>
      <c r="D2834" s="8" t="s">
        <v>5819</v>
      </c>
      <c r="E2834" s="13">
        <v>1661000</v>
      </c>
      <c r="F2834" s="14">
        <v>3322222</v>
      </c>
    </row>
    <row r="2835" spans="1:6" x14ac:dyDescent="0.3">
      <c r="A2835" s="8">
        <v>2833</v>
      </c>
      <c r="B2835" s="8" t="s">
        <v>2792</v>
      </c>
      <c r="C2835" s="8" t="s">
        <v>5820</v>
      </c>
      <c r="D2835" s="8" t="s">
        <v>5821</v>
      </c>
      <c r="E2835" s="13">
        <v>0</v>
      </c>
      <c r="F2835" s="14">
        <v>0</v>
      </c>
    </row>
    <row r="2836" spans="1:6" x14ac:dyDescent="0.3">
      <c r="A2836" s="8">
        <v>2834</v>
      </c>
      <c r="B2836" s="8" t="s">
        <v>2792</v>
      </c>
      <c r="C2836" s="8" t="s">
        <v>5822</v>
      </c>
      <c r="D2836" s="8" t="s">
        <v>5823</v>
      </c>
      <c r="E2836" s="13">
        <v>0</v>
      </c>
      <c r="F2836" s="14">
        <v>0</v>
      </c>
    </row>
    <row r="2837" spans="1:6" x14ac:dyDescent="0.3">
      <c r="A2837" s="8">
        <v>2835</v>
      </c>
      <c r="B2837" s="8" t="s">
        <v>2792</v>
      </c>
      <c r="C2837" s="8" t="s">
        <v>5824</v>
      </c>
      <c r="D2837" s="8" t="s">
        <v>5825</v>
      </c>
      <c r="E2837" s="13">
        <v>0</v>
      </c>
      <c r="F2837" s="14">
        <v>0</v>
      </c>
    </row>
    <row r="2838" spans="1:6" x14ac:dyDescent="0.3">
      <c r="A2838" s="8">
        <v>2836</v>
      </c>
      <c r="B2838" s="8" t="s">
        <v>2792</v>
      </c>
      <c r="C2838" s="8" t="s">
        <v>5826</v>
      </c>
      <c r="D2838" s="8" t="s">
        <v>5827</v>
      </c>
      <c r="E2838" s="13">
        <v>0</v>
      </c>
      <c r="F2838" s="14">
        <v>0</v>
      </c>
    </row>
    <row r="2839" spans="1:6" x14ac:dyDescent="0.3">
      <c r="A2839" s="8">
        <v>2837</v>
      </c>
      <c r="B2839" s="8" t="s">
        <v>2792</v>
      </c>
      <c r="C2839" s="8" t="s">
        <v>5828</v>
      </c>
      <c r="D2839" s="8" t="s">
        <v>5829</v>
      </c>
      <c r="E2839" s="13">
        <v>0</v>
      </c>
      <c r="F2839" s="14">
        <v>0</v>
      </c>
    </row>
    <row r="2840" spans="1:6" x14ac:dyDescent="0.3">
      <c r="A2840" s="8">
        <v>2838</v>
      </c>
      <c r="B2840" s="8" t="s">
        <v>2792</v>
      </c>
      <c r="C2840" s="8" t="s">
        <v>5830</v>
      </c>
      <c r="D2840" s="8" t="s">
        <v>5831</v>
      </c>
      <c r="E2840" s="13">
        <v>121000</v>
      </c>
      <c r="F2840" s="14">
        <v>241667</v>
      </c>
    </row>
    <row r="2841" spans="1:6" x14ac:dyDescent="0.3">
      <c r="A2841" s="8">
        <v>2839</v>
      </c>
      <c r="B2841" s="8" t="s">
        <v>2792</v>
      </c>
      <c r="C2841" s="8" t="s">
        <v>5832</v>
      </c>
      <c r="D2841" s="8" t="s">
        <v>5833</v>
      </c>
      <c r="E2841" s="13">
        <v>0</v>
      </c>
      <c r="F2841" s="14">
        <v>0</v>
      </c>
    </row>
    <row r="2842" spans="1:6" x14ac:dyDescent="0.3">
      <c r="A2842" s="8">
        <v>2840</v>
      </c>
      <c r="B2842" s="8" t="s">
        <v>2792</v>
      </c>
      <c r="C2842" s="8" t="s">
        <v>5834</v>
      </c>
      <c r="D2842" s="8" t="s">
        <v>5835</v>
      </c>
      <c r="E2842" s="13">
        <v>0</v>
      </c>
      <c r="F2842" s="14">
        <v>0</v>
      </c>
    </row>
    <row r="2843" spans="1:6" x14ac:dyDescent="0.3">
      <c r="A2843" s="8">
        <v>2841</v>
      </c>
      <c r="B2843" s="8" t="s">
        <v>2792</v>
      </c>
      <c r="C2843" s="8" t="s">
        <v>5836</v>
      </c>
      <c r="D2843" s="8" t="s">
        <v>5837</v>
      </c>
      <c r="E2843" s="13">
        <v>1161000</v>
      </c>
      <c r="F2843" s="14">
        <v>2322222</v>
      </c>
    </row>
    <row r="2844" spans="1:6" x14ac:dyDescent="0.3">
      <c r="A2844" s="8">
        <v>2842</v>
      </c>
      <c r="B2844" s="8" t="s">
        <v>2792</v>
      </c>
      <c r="C2844" s="8" t="s">
        <v>5838</v>
      </c>
      <c r="D2844" s="8" t="s">
        <v>5839</v>
      </c>
      <c r="E2844" s="13">
        <v>0</v>
      </c>
      <c r="F2844" s="14">
        <v>5700000</v>
      </c>
    </row>
    <row r="2845" spans="1:6" x14ac:dyDescent="0.3">
      <c r="A2845" s="8">
        <v>2843</v>
      </c>
      <c r="B2845" s="8" t="s">
        <v>2792</v>
      </c>
      <c r="C2845" s="8" t="s">
        <v>5840</v>
      </c>
      <c r="D2845" s="8" t="s">
        <v>5841</v>
      </c>
      <c r="E2845" s="13">
        <v>0</v>
      </c>
      <c r="F2845" s="14">
        <v>0</v>
      </c>
    </row>
    <row r="2846" spans="1:6" x14ac:dyDescent="0.3">
      <c r="A2846" s="8">
        <v>2844</v>
      </c>
      <c r="B2846" s="8" t="s">
        <v>2792</v>
      </c>
      <c r="C2846" s="8" t="s">
        <v>5842</v>
      </c>
      <c r="D2846" s="8" t="s">
        <v>5843</v>
      </c>
      <c r="E2846" s="13">
        <v>0</v>
      </c>
      <c r="F2846" s="14">
        <v>0</v>
      </c>
    </row>
    <row r="2847" spans="1:6" x14ac:dyDescent="0.3">
      <c r="A2847" s="8">
        <v>2845</v>
      </c>
      <c r="B2847" s="8" t="s">
        <v>2792</v>
      </c>
      <c r="C2847" s="8" t="s">
        <v>5844</v>
      </c>
      <c r="D2847" s="8" t="s">
        <v>5845</v>
      </c>
      <c r="E2847" s="13">
        <v>0</v>
      </c>
      <c r="F2847" s="14">
        <v>0</v>
      </c>
    </row>
    <row r="2848" spans="1:6" x14ac:dyDescent="0.3">
      <c r="A2848" s="8">
        <v>2846</v>
      </c>
      <c r="B2848" s="8" t="s">
        <v>2792</v>
      </c>
      <c r="C2848" s="8" t="s">
        <v>5846</v>
      </c>
      <c r="D2848" s="8" t="s">
        <v>5847</v>
      </c>
      <c r="E2848" s="13">
        <v>96800</v>
      </c>
      <c r="F2848" s="14">
        <v>193519</v>
      </c>
    </row>
    <row r="2849" spans="1:6" x14ac:dyDescent="0.3">
      <c r="A2849" s="8">
        <v>2847</v>
      </c>
      <c r="B2849" s="8" t="s">
        <v>2792</v>
      </c>
      <c r="C2849" s="8" t="s">
        <v>5848</v>
      </c>
      <c r="D2849" s="8" t="s">
        <v>5849</v>
      </c>
      <c r="E2849" s="13">
        <v>0</v>
      </c>
      <c r="F2849" s="14">
        <v>0</v>
      </c>
    </row>
    <row r="2850" spans="1:6" x14ac:dyDescent="0.3">
      <c r="A2850" s="8">
        <v>2848</v>
      </c>
      <c r="B2850" s="8" t="s">
        <v>2792</v>
      </c>
      <c r="C2850" s="8" t="s">
        <v>5850</v>
      </c>
      <c r="D2850" s="8" t="s">
        <v>5851</v>
      </c>
      <c r="E2850" s="13">
        <v>1760000</v>
      </c>
      <c r="F2850" s="14">
        <v>3520000</v>
      </c>
    </row>
    <row r="2851" spans="1:6" x14ac:dyDescent="0.3">
      <c r="A2851" s="8">
        <v>2849</v>
      </c>
      <c r="B2851" s="8" t="s">
        <v>2792</v>
      </c>
      <c r="C2851" s="8" t="s">
        <v>5852</v>
      </c>
      <c r="D2851" s="8" t="s">
        <v>5853</v>
      </c>
      <c r="E2851" s="13">
        <v>0</v>
      </c>
      <c r="F2851" s="14">
        <v>0</v>
      </c>
    </row>
    <row r="2852" spans="1:6" x14ac:dyDescent="0.3">
      <c r="A2852" s="8">
        <v>2850</v>
      </c>
      <c r="B2852" s="8" t="s">
        <v>2792</v>
      </c>
      <c r="C2852" s="8" t="s">
        <v>5854</v>
      </c>
      <c r="D2852" s="8" t="s">
        <v>5855</v>
      </c>
      <c r="E2852" s="13">
        <v>0</v>
      </c>
      <c r="F2852" s="14">
        <v>0</v>
      </c>
    </row>
    <row r="2853" spans="1:6" x14ac:dyDescent="0.3">
      <c r="A2853" s="8">
        <v>2851</v>
      </c>
      <c r="B2853" s="8" t="s">
        <v>4148</v>
      </c>
      <c r="C2853" s="8" t="s">
        <v>5856</v>
      </c>
      <c r="D2853" s="8" t="s">
        <v>5857</v>
      </c>
      <c r="E2853" s="13">
        <v>66200</v>
      </c>
      <c r="F2853" s="14">
        <v>144000</v>
      </c>
    </row>
    <row r="2854" spans="1:6" x14ac:dyDescent="0.3">
      <c r="A2854" s="8">
        <v>2852</v>
      </c>
      <c r="B2854" s="8" t="s">
        <v>4148</v>
      </c>
      <c r="C2854" s="8" t="s">
        <v>5858</v>
      </c>
      <c r="D2854" s="8" t="s">
        <v>5859</v>
      </c>
      <c r="E2854" s="13">
        <v>0</v>
      </c>
      <c r="F2854" s="14">
        <v>0</v>
      </c>
    </row>
    <row r="2855" spans="1:6" x14ac:dyDescent="0.3">
      <c r="A2855" s="8">
        <v>2853</v>
      </c>
      <c r="B2855" s="8" t="s">
        <v>4148</v>
      </c>
      <c r="C2855" s="8" t="s">
        <v>5860</v>
      </c>
      <c r="D2855" s="8" t="s">
        <v>5861</v>
      </c>
      <c r="E2855" s="13">
        <v>90600</v>
      </c>
      <c r="F2855" s="14">
        <v>179000</v>
      </c>
    </row>
    <row r="2856" spans="1:6" x14ac:dyDescent="0.3">
      <c r="A2856" s="8">
        <v>2854</v>
      </c>
      <c r="B2856" s="8" t="s">
        <v>4148</v>
      </c>
      <c r="C2856" s="8" t="s">
        <v>5862</v>
      </c>
      <c r="D2856" s="8" t="s">
        <v>5863</v>
      </c>
      <c r="E2856" s="13">
        <v>178000</v>
      </c>
      <c r="F2856" s="14">
        <v>355556</v>
      </c>
    </row>
    <row r="2857" spans="1:6" x14ac:dyDescent="0.3">
      <c r="A2857" s="8">
        <v>2855</v>
      </c>
      <c r="B2857" s="8" t="s">
        <v>4148</v>
      </c>
      <c r="C2857" s="8" t="s">
        <v>5864</v>
      </c>
      <c r="D2857" s="8" t="s">
        <v>5865</v>
      </c>
      <c r="E2857" s="13">
        <v>65000</v>
      </c>
      <c r="F2857" s="14">
        <v>129630</v>
      </c>
    </row>
    <row r="2858" spans="1:6" x14ac:dyDescent="0.3">
      <c r="A2858" s="8">
        <v>2856</v>
      </c>
      <c r="B2858" s="8" t="s">
        <v>4148</v>
      </c>
      <c r="C2858" s="8" t="s">
        <v>5866</v>
      </c>
      <c r="D2858" s="8" t="s">
        <v>5867</v>
      </c>
      <c r="E2858" s="13">
        <v>76300</v>
      </c>
      <c r="F2858" s="14">
        <v>137273</v>
      </c>
    </row>
    <row r="2859" spans="1:6" x14ac:dyDescent="0.3">
      <c r="A2859" s="8">
        <v>2857</v>
      </c>
      <c r="B2859" s="8" t="s">
        <v>4148</v>
      </c>
      <c r="C2859" s="8" t="s">
        <v>5868</v>
      </c>
      <c r="D2859" s="8" t="s">
        <v>5869</v>
      </c>
      <c r="E2859" s="13">
        <v>61400</v>
      </c>
      <c r="F2859" s="14">
        <v>136111</v>
      </c>
    </row>
    <row r="2860" spans="1:6" x14ac:dyDescent="0.3">
      <c r="A2860" s="8">
        <v>2858</v>
      </c>
      <c r="B2860" s="8" t="s">
        <v>4148</v>
      </c>
      <c r="C2860" s="8" t="s">
        <v>5870</v>
      </c>
      <c r="D2860" s="8" t="s">
        <v>5871</v>
      </c>
      <c r="E2860" s="13">
        <v>80000</v>
      </c>
      <c r="F2860" s="14">
        <v>174074</v>
      </c>
    </row>
    <row r="2861" spans="1:6" x14ac:dyDescent="0.3">
      <c r="A2861" s="8">
        <v>2859</v>
      </c>
      <c r="B2861" s="8" t="s">
        <v>4148</v>
      </c>
      <c r="C2861" s="8" t="s">
        <v>5872</v>
      </c>
      <c r="D2861" s="8" t="s">
        <v>5873</v>
      </c>
      <c r="E2861" s="13">
        <v>87000</v>
      </c>
      <c r="F2861" s="14">
        <v>189815</v>
      </c>
    </row>
    <row r="2862" spans="1:6" x14ac:dyDescent="0.3">
      <c r="A2862" s="8">
        <v>2860</v>
      </c>
      <c r="B2862" s="8" t="s">
        <v>4148</v>
      </c>
      <c r="C2862" s="8" t="s">
        <v>5874</v>
      </c>
      <c r="D2862" s="8" t="s">
        <v>5875</v>
      </c>
      <c r="E2862" s="13">
        <v>88000</v>
      </c>
      <c r="F2862" s="14">
        <v>175926</v>
      </c>
    </row>
    <row r="2863" spans="1:6" x14ac:dyDescent="0.3">
      <c r="A2863" s="8">
        <v>2861</v>
      </c>
      <c r="B2863" s="8" t="s">
        <v>4148</v>
      </c>
      <c r="C2863" s="8" t="s">
        <v>5876</v>
      </c>
      <c r="D2863" s="8" t="s">
        <v>5877</v>
      </c>
      <c r="E2863" s="13">
        <v>42300</v>
      </c>
      <c r="F2863" s="14">
        <v>84630</v>
      </c>
    </row>
    <row r="2864" spans="1:6" x14ac:dyDescent="0.3">
      <c r="A2864" s="8">
        <v>2862</v>
      </c>
      <c r="B2864" s="8" t="s">
        <v>4148</v>
      </c>
      <c r="C2864" s="8" t="s">
        <v>5878</v>
      </c>
      <c r="D2864" s="8" t="s">
        <v>5879</v>
      </c>
      <c r="E2864" s="13">
        <v>87700</v>
      </c>
      <c r="F2864" s="14">
        <v>197222</v>
      </c>
    </row>
    <row r="2865" spans="1:6" x14ac:dyDescent="0.3">
      <c r="A2865" s="8">
        <v>2863</v>
      </c>
      <c r="B2865" s="8" t="s">
        <v>4148</v>
      </c>
      <c r="C2865" s="8" t="s">
        <v>5880</v>
      </c>
      <c r="D2865" s="8" t="s">
        <v>5881</v>
      </c>
      <c r="E2865" s="13">
        <v>61400</v>
      </c>
      <c r="F2865" s="14">
        <v>136111</v>
      </c>
    </row>
    <row r="2866" spans="1:6" x14ac:dyDescent="0.3">
      <c r="A2866" s="8">
        <v>2864</v>
      </c>
      <c r="B2866" s="8" t="s">
        <v>4148</v>
      </c>
      <c r="C2866" s="8" t="s">
        <v>5882</v>
      </c>
      <c r="D2866" s="8" t="s">
        <v>5883</v>
      </c>
      <c r="E2866" s="13">
        <v>172000</v>
      </c>
      <c r="F2866" s="14">
        <v>296000</v>
      </c>
    </row>
    <row r="2867" spans="1:6" x14ac:dyDescent="0.3">
      <c r="A2867" s="8">
        <v>2865</v>
      </c>
      <c r="B2867" s="8" t="s">
        <v>4148</v>
      </c>
      <c r="C2867" s="8" t="s">
        <v>5884</v>
      </c>
      <c r="D2867" s="8" t="s">
        <v>5885</v>
      </c>
      <c r="E2867" s="13">
        <v>94800</v>
      </c>
      <c r="F2867" s="14">
        <v>189815</v>
      </c>
    </row>
    <row r="2868" spans="1:6" x14ac:dyDescent="0.3">
      <c r="A2868" s="8">
        <v>2866</v>
      </c>
      <c r="B2868" s="8" t="s">
        <v>4148</v>
      </c>
      <c r="C2868" s="8" t="s">
        <v>5886</v>
      </c>
      <c r="D2868" s="8" t="s">
        <v>5887</v>
      </c>
      <c r="E2868" s="13">
        <v>79500</v>
      </c>
      <c r="F2868" s="14">
        <v>159259</v>
      </c>
    </row>
    <row r="2869" spans="1:6" x14ac:dyDescent="0.3">
      <c r="A2869" s="8">
        <v>2867</v>
      </c>
      <c r="B2869" s="8" t="s">
        <v>4148</v>
      </c>
      <c r="C2869" s="8" t="s">
        <v>5888</v>
      </c>
      <c r="D2869" s="8" t="s">
        <v>5889</v>
      </c>
      <c r="E2869" s="13">
        <v>0</v>
      </c>
      <c r="F2869" s="14">
        <v>0</v>
      </c>
    </row>
    <row r="2870" spans="1:6" x14ac:dyDescent="0.3">
      <c r="A2870" s="8">
        <v>2868</v>
      </c>
      <c r="B2870" s="8" t="s">
        <v>4148</v>
      </c>
      <c r="C2870" s="8" t="s">
        <v>5890</v>
      </c>
      <c r="D2870" s="8" t="s">
        <v>5891</v>
      </c>
      <c r="E2870" s="13">
        <v>45800</v>
      </c>
      <c r="F2870" s="14">
        <v>82000</v>
      </c>
    </row>
    <row r="2871" spans="1:6" x14ac:dyDescent="0.3">
      <c r="A2871" s="8">
        <v>2869</v>
      </c>
      <c r="B2871" s="8" t="s">
        <v>4148</v>
      </c>
      <c r="C2871" s="8" t="s">
        <v>5892</v>
      </c>
      <c r="D2871" s="8" t="s">
        <v>5893</v>
      </c>
      <c r="E2871" s="13">
        <v>38700</v>
      </c>
      <c r="F2871" s="14">
        <v>70370</v>
      </c>
    </row>
    <row r="2872" spans="1:6" x14ac:dyDescent="0.3">
      <c r="A2872" s="8">
        <v>2870</v>
      </c>
      <c r="B2872" s="8" t="s">
        <v>4148</v>
      </c>
      <c r="C2872" s="8" t="s">
        <v>5894</v>
      </c>
      <c r="D2872" s="8" t="s">
        <v>5895</v>
      </c>
      <c r="E2872" s="13">
        <v>88000</v>
      </c>
      <c r="F2872" s="14">
        <v>175926</v>
      </c>
    </row>
    <row r="2873" spans="1:6" x14ac:dyDescent="0.3">
      <c r="A2873" s="8">
        <v>2871</v>
      </c>
      <c r="B2873" s="8" t="s">
        <v>4148</v>
      </c>
      <c r="C2873" s="8" t="s">
        <v>5896</v>
      </c>
      <c r="D2873" s="8" t="s">
        <v>5897</v>
      </c>
      <c r="E2873" s="13">
        <v>46296</v>
      </c>
      <c r="F2873" s="14">
        <v>46296</v>
      </c>
    </row>
    <row r="2874" spans="1:6" x14ac:dyDescent="0.3">
      <c r="A2874" s="8">
        <v>2872</v>
      </c>
      <c r="B2874" s="8" t="s">
        <v>4148</v>
      </c>
      <c r="C2874" s="8" t="s">
        <v>5898</v>
      </c>
      <c r="D2874" s="8" t="s">
        <v>5899</v>
      </c>
      <c r="E2874" s="13">
        <v>0</v>
      </c>
      <c r="F2874" s="14">
        <v>0</v>
      </c>
    </row>
    <row r="2875" spans="1:6" x14ac:dyDescent="0.3">
      <c r="A2875" s="8">
        <v>2873</v>
      </c>
      <c r="B2875" s="8" t="s">
        <v>4148</v>
      </c>
      <c r="C2875" s="8" t="s">
        <v>5900</v>
      </c>
      <c r="D2875" s="8" t="s">
        <v>5901</v>
      </c>
      <c r="E2875" s="13">
        <v>76300</v>
      </c>
      <c r="F2875" s="14">
        <v>137037</v>
      </c>
    </row>
    <row r="2876" spans="1:6" x14ac:dyDescent="0.3">
      <c r="A2876" s="8">
        <v>2874</v>
      </c>
      <c r="B2876" s="8" t="s">
        <v>4148</v>
      </c>
      <c r="C2876" s="8" t="s">
        <v>5902</v>
      </c>
      <c r="D2876" s="8" t="s">
        <v>5903</v>
      </c>
      <c r="E2876" s="13">
        <v>94000</v>
      </c>
      <c r="F2876" s="14">
        <v>205556</v>
      </c>
    </row>
    <row r="2877" spans="1:6" x14ac:dyDescent="0.3">
      <c r="A2877" s="8">
        <v>2875</v>
      </c>
      <c r="B2877" s="8" t="s">
        <v>4148</v>
      </c>
      <c r="C2877" s="8" t="s">
        <v>5904</v>
      </c>
      <c r="D2877" s="8" t="s">
        <v>5905</v>
      </c>
      <c r="E2877" s="13">
        <v>0</v>
      </c>
      <c r="F2877" s="14">
        <v>0</v>
      </c>
    </row>
    <row r="2878" spans="1:6" x14ac:dyDescent="0.3">
      <c r="A2878" s="8">
        <v>2876</v>
      </c>
      <c r="B2878" s="8" t="s">
        <v>4148</v>
      </c>
      <c r="C2878" s="8" t="s">
        <v>5906</v>
      </c>
      <c r="D2878" s="8" t="s">
        <v>5907</v>
      </c>
      <c r="E2878" s="13">
        <v>0</v>
      </c>
      <c r="F2878" s="14">
        <v>196000</v>
      </c>
    </row>
    <row r="2879" spans="1:6" x14ac:dyDescent="0.3">
      <c r="A2879" s="8">
        <v>2877</v>
      </c>
      <c r="B2879" s="8" t="s">
        <v>4148</v>
      </c>
      <c r="C2879" s="8" t="s">
        <v>5908</v>
      </c>
      <c r="D2879" s="8" t="s">
        <v>5909</v>
      </c>
      <c r="E2879" s="13">
        <v>0</v>
      </c>
      <c r="F2879" s="14">
        <v>0</v>
      </c>
    </row>
    <row r="2880" spans="1:6" x14ac:dyDescent="0.3">
      <c r="A2880" s="8">
        <v>2878</v>
      </c>
      <c r="B2880" s="8" t="s">
        <v>4148</v>
      </c>
      <c r="C2880" s="8" t="s">
        <v>5910</v>
      </c>
      <c r="D2880" s="8" t="s">
        <v>5911</v>
      </c>
      <c r="E2880" s="13">
        <v>0</v>
      </c>
      <c r="F2880" s="14">
        <v>0</v>
      </c>
    </row>
    <row r="2881" spans="1:6" x14ac:dyDescent="0.3">
      <c r="A2881" s="8">
        <v>2879</v>
      </c>
      <c r="B2881" s="8" t="s">
        <v>4148</v>
      </c>
      <c r="C2881" s="8" t="s">
        <v>5912</v>
      </c>
      <c r="D2881" s="8" t="s">
        <v>5913</v>
      </c>
      <c r="E2881" s="13">
        <v>70100</v>
      </c>
      <c r="F2881" s="14">
        <v>139815</v>
      </c>
    </row>
    <row r="2882" spans="1:6" x14ac:dyDescent="0.3">
      <c r="A2882" s="8">
        <v>2880</v>
      </c>
      <c r="B2882" s="8" t="s">
        <v>4148</v>
      </c>
      <c r="C2882" s="8" t="s">
        <v>5914</v>
      </c>
      <c r="D2882" s="8" t="s">
        <v>5915</v>
      </c>
      <c r="E2882" s="13">
        <v>88000</v>
      </c>
      <c r="F2882" s="14">
        <v>175926</v>
      </c>
    </row>
    <row r="2883" spans="1:6" x14ac:dyDescent="0.3">
      <c r="A2883" s="8">
        <v>2881</v>
      </c>
      <c r="B2883" s="8" t="s">
        <v>4148</v>
      </c>
      <c r="C2883" s="8" t="s">
        <v>5916</v>
      </c>
      <c r="D2883" s="8" t="s">
        <v>5917</v>
      </c>
      <c r="E2883" s="13">
        <v>79500</v>
      </c>
      <c r="F2883" s="14">
        <v>159259</v>
      </c>
    </row>
    <row r="2884" spans="1:6" x14ac:dyDescent="0.3">
      <c r="A2884" s="8">
        <v>2882</v>
      </c>
      <c r="B2884" s="8" t="s">
        <v>4148</v>
      </c>
      <c r="C2884" s="8" t="s">
        <v>5918</v>
      </c>
      <c r="D2884" s="8" t="s">
        <v>5919</v>
      </c>
      <c r="E2884" s="13">
        <v>210000</v>
      </c>
      <c r="F2884" s="14">
        <v>420370</v>
      </c>
    </row>
    <row r="2885" spans="1:6" x14ac:dyDescent="0.3">
      <c r="A2885" s="8">
        <v>2883</v>
      </c>
      <c r="B2885" s="8" t="s">
        <v>4148</v>
      </c>
      <c r="C2885" s="8" t="s">
        <v>5920</v>
      </c>
      <c r="D2885" s="8" t="s">
        <v>5921</v>
      </c>
      <c r="E2885" s="13">
        <v>153000</v>
      </c>
      <c r="F2885" s="14">
        <v>305556</v>
      </c>
    </row>
    <row r="2886" spans="1:6" x14ac:dyDescent="0.3">
      <c r="A2886" s="8">
        <v>2884</v>
      </c>
      <c r="B2886" s="8" t="s">
        <v>4148</v>
      </c>
      <c r="C2886" s="8" t="s">
        <v>5922</v>
      </c>
      <c r="D2886" s="8" t="s">
        <v>5923</v>
      </c>
      <c r="E2886" s="13">
        <v>94600</v>
      </c>
      <c r="F2886" s="14">
        <v>188889</v>
      </c>
    </row>
    <row r="2887" spans="1:6" x14ac:dyDescent="0.3">
      <c r="A2887" s="8">
        <v>2885</v>
      </c>
      <c r="B2887" s="8" t="s">
        <v>4148</v>
      </c>
      <c r="C2887" s="8" t="s">
        <v>5924</v>
      </c>
      <c r="D2887" s="8" t="s">
        <v>5925</v>
      </c>
      <c r="E2887" s="13">
        <v>0</v>
      </c>
      <c r="F2887" s="14">
        <v>589815</v>
      </c>
    </row>
    <row r="2888" spans="1:6" x14ac:dyDescent="0.3">
      <c r="A2888" s="8">
        <v>2886</v>
      </c>
      <c r="B2888" s="8" t="s">
        <v>4148</v>
      </c>
      <c r="C2888" s="8" t="s">
        <v>5926</v>
      </c>
      <c r="D2888" s="8" t="s">
        <v>5927</v>
      </c>
      <c r="E2888" s="13">
        <v>153000</v>
      </c>
      <c r="F2888" s="14">
        <v>305556</v>
      </c>
    </row>
    <row r="2889" spans="1:6" x14ac:dyDescent="0.3">
      <c r="A2889" s="8">
        <v>2887</v>
      </c>
      <c r="B2889" s="8" t="s">
        <v>4148</v>
      </c>
      <c r="C2889" s="8" t="s">
        <v>5928</v>
      </c>
      <c r="D2889" s="8" t="s">
        <v>5929</v>
      </c>
      <c r="E2889" s="13">
        <v>54400</v>
      </c>
      <c r="F2889" s="14">
        <v>122222</v>
      </c>
    </row>
    <row r="2890" spans="1:6" x14ac:dyDescent="0.3">
      <c r="A2890" s="8">
        <v>2888</v>
      </c>
      <c r="B2890" s="8" t="s">
        <v>4148</v>
      </c>
      <c r="C2890" s="8" t="s">
        <v>5930</v>
      </c>
      <c r="D2890" s="8" t="s">
        <v>5931</v>
      </c>
      <c r="E2890" s="13">
        <v>0</v>
      </c>
      <c r="F2890" s="14">
        <v>0</v>
      </c>
    </row>
    <row r="2891" spans="1:6" x14ac:dyDescent="0.3">
      <c r="A2891" s="8">
        <v>2889</v>
      </c>
      <c r="B2891" s="8" t="s">
        <v>4148</v>
      </c>
      <c r="C2891" s="8" t="s">
        <v>5932</v>
      </c>
      <c r="D2891" s="8" t="s">
        <v>5933</v>
      </c>
      <c r="E2891" s="13">
        <v>0</v>
      </c>
      <c r="F2891" s="14">
        <v>0</v>
      </c>
    </row>
    <row r="2892" spans="1:6" x14ac:dyDescent="0.3">
      <c r="A2892" s="8">
        <v>2890</v>
      </c>
      <c r="B2892" s="8" t="s">
        <v>4148</v>
      </c>
      <c r="C2892" s="8" t="s">
        <v>5934</v>
      </c>
      <c r="D2892" s="8" t="s">
        <v>5935</v>
      </c>
      <c r="E2892" s="13">
        <v>0</v>
      </c>
      <c r="F2892" s="14">
        <v>0</v>
      </c>
    </row>
    <row r="2893" spans="1:6" x14ac:dyDescent="0.3">
      <c r="A2893" s="8">
        <v>2891</v>
      </c>
      <c r="B2893" s="8" t="s">
        <v>287</v>
      </c>
      <c r="C2893" s="8" t="s">
        <v>5936</v>
      </c>
      <c r="D2893" s="8" t="s">
        <v>5937</v>
      </c>
      <c r="E2893" s="13">
        <v>108000</v>
      </c>
      <c r="F2893" s="14">
        <v>215741</v>
      </c>
    </row>
    <row r="2894" spans="1:6" x14ac:dyDescent="0.3">
      <c r="A2894" s="8">
        <v>2892</v>
      </c>
      <c r="B2894" s="8" t="s">
        <v>287</v>
      </c>
      <c r="C2894" s="8" t="s">
        <v>5938</v>
      </c>
      <c r="D2894" s="8" t="s">
        <v>5939</v>
      </c>
      <c r="E2894" s="13">
        <v>0</v>
      </c>
      <c r="F2894" s="14">
        <v>0</v>
      </c>
    </row>
    <row r="2895" spans="1:6" x14ac:dyDescent="0.3">
      <c r="A2895" s="8">
        <v>2893</v>
      </c>
      <c r="B2895" s="8" t="s">
        <v>1259</v>
      </c>
      <c r="C2895" s="8" t="s">
        <v>5940</v>
      </c>
      <c r="D2895" s="8" t="s">
        <v>5941</v>
      </c>
      <c r="E2895" s="13">
        <v>0</v>
      </c>
      <c r="F2895" s="14">
        <v>0</v>
      </c>
    </row>
    <row r="2896" spans="1:6" x14ac:dyDescent="0.3">
      <c r="A2896" s="8">
        <v>2894</v>
      </c>
      <c r="B2896" s="8" t="s">
        <v>1259</v>
      </c>
      <c r="C2896" s="8" t="s">
        <v>5942</v>
      </c>
      <c r="D2896" s="8" t="s">
        <v>5943</v>
      </c>
      <c r="E2896" s="13">
        <v>89210</v>
      </c>
      <c r="F2896" s="14">
        <v>140000</v>
      </c>
    </row>
    <row r="2897" spans="1:6" x14ac:dyDescent="0.3">
      <c r="A2897" s="8">
        <v>2895</v>
      </c>
      <c r="B2897" s="8" t="s">
        <v>1259</v>
      </c>
      <c r="C2897" s="8" t="s">
        <v>5944</v>
      </c>
      <c r="D2897" s="8" t="s">
        <v>5945</v>
      </c>
      <c r="E2897" s="13">
        <v>0</v>
      </c>
      <c r="F2897" s="14">
        <v>0</v>
      </c>
    </row>
    <row r="2898" spans="1:6" x14ac:dyDescent="0.3">
      <c r="A2898" s="8">
        <v>2896</v>
      </c>
      <c r="B2898" s="8" t="s">
        <v>1259</v>
      </c>
      <c r="C2898" s="8" t="s">
        <v>5946</v>
      </c>
      <c r="D2898" s="8" t="s">
        <v>5947</v>
      </c>
      <c r="E2898" s="13">
        <v>49350</v>
      </c>
      <c r="F2898" s="14">
        <v>85000</v>
      </c>
    </row>
    <row r="2899" spans="1:6" x14ac:dyDescent="0.3">
      <c r="A2899" s="8">
        <v>2897</v>
      </c>
      <c r="B2899" s="8" t="s">
        <v>1259</v>
      </c>
      <c r="C2899" s="8" t="s">
        <v>5948</v>
      </c>
      <c r="D2899" s="8" t="s">
        <v>5949</v>
      </c>
      <c r="E2899" s="13">
        <v>106560</v>
      </c>
      <c r="F2899" s="14">
        <v>169000</v>
      </c>
    </row>
    <row r="2900" spans="1:6" x14ac:dyDescent="0.3">
      <c r="A2900" s="8">
        <v>2898</v>
      </c>
      <c r="B2900" s="8" t="s">
        <v>1259</v>
      </c>
      <c r="C2900" s="8" t="s">
        <v>5950</v>
      </c>
      <c r="D2900" s="8" t="s">
        <v>5951</v>
      </c>
      <c r="E2900" s="13">
        <v>0</v>
      </c>
      <c r="F2900" s="14">
        <v>0</v>
      </c>
    </row>
    <row r="2901" spans="1:6" x14ac:dyDescent="0.3">
      <c r="A2901" s="8">
        <v>2899</v>
      </c>
      <c r="B2901" s="8" t="s">
        <v>1259</v>
      </c>
      <c r="C2901" s="8" t="s">
        <v>5952</v>
      </c>
      <c r="D2901" s="8" t="s">
        <v>5953</v>
      </c>
      <c r="E2901" s="13">
        <v>25370</v>
      </c>
      <c r="F2901" s="14">
        <v>45000</v>
      </c>
    </row>
    <row r="2902" spans="1:6" x14ac:dyDescent="0.3">
      <c r="A2902" s="8">
        <v>2900</v>
      </c>
      <c r="B2902" s="8" t="s">
        <v>1259</v>
      </c>
      <c r="C2902" s="8" t="s">
        <v>5954</v>
      </c>
      <c r="D2902" s="8" t="s">
        <v>5955</v>
      </c>
      <c r="E2902" s="13">
        <v>77320</v>
      </c>
      <c r="F2902" s="14">
        <v>129000</v>
      </c>
    </row>
    <row r="2903" spans="1:6" x14ac:dyDescent="0.3">
      <c r="A2903" s="8">
        <v>2901</v>
      </c>
      <c r="B2903" s="8" t="s">
        <v>1259</v>
      </c>
      <c r="C2903" s="8" t="s">
        <v>5956</v>
      </c>
      <c r="D2903" s="8" t="s">
        <v>5957</v>
      </c>
      <c r="E2903" s="13">
        <v>0</v>
      </c>
      <c r="F2903" s="14">
        <v>0</v>
      </c>
    </row>
    <row r="2904" spans="1:6" x14ac:dyDescent="0.3">
      <c r="A2904" s="8">
        <v>2902</v>
      </c>
      <c r="B2904" s="8" t="s">
        <v>1259</v>
      </c>
      <c r="C2904" s="8" t="s">
        <v>5958</v>
      </c>
      <c r="D2904" s="8" t="s">
        <v>5959</v>
      </c>
      <c r="E2904" s="13">
        <v>0</v>
      </c>
      <c r="F2904" s="14">
        <v>0</v>
      </c>
    </row>
    <row r="2905" spans="1:6" x14ac:dyDescent="0.3">
      <c r="A2905" s="8">
        <v>2903</v>
      </c>
      <c r="B2905" s="8" t="s">
        <v>1280</v>
      </c>
      <c r="C2905" s="8" t="s">
        <v>5960</v>
      </c>
      <c r="D2905" s="8" t="s">
        <v>5961</v>
      </c>
      <c r="E2905" s="13">
        <v>0</v>
      </c>
      <c r="F2905" s="14">
        <v>0</v>
      </c>
    </row>
    <row r="2906" spans="1:6" x14ac:dyDescent="0.3">
      <c r="A2906" s="8">
        <v>2904</v>
      </c>
      <c r="B2906" s="8" t="s">
        <v>1280</v>
      </c>
      <c r="C2906" s="8" t="s">
        <v>5962</v>
      </c>
      <c r="D2906" s="8" t="s">
        <v>5963</v>
      </c>
      <c r="E2906" s="13">
        <v>22800</v>
      </c>
      <c r="F2906" s="14">
        <v>46364</v>
      </c>
    </row>
    <row r="2907" spans="1:6" x14ac:dyDescent="0.3">
      <c r="A2907" s="8">
        <v>2905</v>
      </c>
      <c r="B2907" s="8" t="s">
        <v>1293</v>
      </c>
      <c r="C2907" s="8" t="s">
        <v>5964</v>
      </c>
      <c r="D2907" s="8" t="s">
        <v>5965</v>
      </c>
      <c r="E2907" s="13">
        <v>0</v>
      </c>
      <c r="F2907" s="14">
        <v>0</v>
      </c>
    </row>
    <row r="2908" spans="1:6" x14ac:dyDescent="0.3">
      <c r="A2908" s="8">
        <v>2906</v>
      </c>
      <c r="B2908" s="8" t="s">
        <v>1293</v>
      </c>
      <c r="C2908" s="8" t="s">
        <v>5966</v>
      </c>
      <c r="D2908" s="8" t="s">
        <v>5967</v>
      </c>
      <c r="E2908" s="13">
        <v>301000</v>
      </c>
      <c r="F2908" s="14">
        <v>601852</v>
      </c>
    </row>
    <row r="2909" spans="1:6" x14ac:dyDescent="0.3">
      <c r="A2909" s="8">
        <v>2907</v>
      </c>
      <c r="B2909" s="8" t="s">
        <v>1293</v>
      </c>
      <c r="C2909" s="8" t="s">
        <v>5968</v>
      </c>
      <c r="D2909" s="8" t="s">
        <v>5969</v>
      </c>
      <c r="E2909" s="13">
        <v>213600</v>
      </c>
      <c r="F2909" s="14">
        <v>426852</v>
      </c>
    </row>
    <row r="2910" spans="1:6" x14ac:dyDescent="0.3">
      <c r="A2910" s="8">
        <v>2908</v>
      </c>
      <c r="B2910" s="8" t="s">
        <v>1293</v>
      </c>
      <c r="C2910" s="8" t="s">
        <v>5970</v>
      </c>
      <c r="D2910" s="8" t="s">
        <v>5971</v>
      </c>
      <c r="E2910" s="13">
        <v>106000</v>
      </c>
      <c r="F2910" s="14">
        <v>212037</v>
      </c>
    </row>
    <row r="2911" spans="1:6" x14ac:dyDescent="0.3">
      <c r="A2911" s="8">
        <v>2909</v>
      </c>
      <c r="B2911" s="8" t="s">
        <v>1293</v>
      </c>
      <c r="C2911" s="8" t="s">
        <v>5972</v>
      </c>
      <c r="D2911" s="8" t="s">
        <v>5973</v>
      </c>
      <c r="E2911" s="13">
        <v>280000</v>
      </c>
      <c r="F2911" s="14">
        <v>560185</v>
      </c>
    </row>
    <row r="2912" spans="1:6" x14ac:dyDescent="0.3">
      <c r="A2912" s="8">
        <v>2910</v>
      </c>
      <c r="B2912" s="8" t="s">
        <v>1293</v>
      </c>
      <c r="C2912" s="8" t="s">
        <v>5974</v>
      </c>
      <c r="D2912" s="8" t="s">
        <v>5975</v>
      </c>
      <c r="E2912" s="13">
        <v>120000</v>
      </c>
      <c r="F2912" s="14">
        <v>239815</v>
      </c>
    </row>
    <row r="2913" spans="1:6" x14ac:dyDescent="0.3">
      <c r="A2913" s="8">
        <v>2911</v>
      </c>
      <c r="B2913" s="8" t="s">
        <v>1293</v>
      </c>
      <c r="C2913" s="8" t="s">
        <v>5976</v>
      </c>
      <c r="D2913" s="8" t="s">
        <v>5977</v>
      </c>
      <c r="E2913" s="13">
        <v>160000</v>
      </c>
      <c r="F2913" s="14">
        <v>320370</v>
      </c>
    </row>
    <row r="2914" spans="1:6" x14ac:dyDescent="0.3">
      <c r="A2914" s="8">
        <v>2912</v>
      </c>
      <c r="B2914" s="8" t="s">
        <v>2229</v>
      </c>
      <c r="C2914" s="8" t="s">
        <v>5978</v>
      </c>
      <c r="D2914" s="8" t="s">
        <v>5979</v>
      </c>
      <c r="E2914" s="13">
        <v>35200</v>
      </c>
      <c r="F2914" s="14">
        <v>70370</v>
      </c>
    </row>
    <row r="2915" spans="1:6" x14ac:dyDescent="0.3">
      <c r="A2915" s="8">
        <v>2913</v>
      </c>
      <c r="B2915" s="8" t="s">
        <v>2229</v>
      </c>
      <c r="C2915" s="8" t="s">
        <v>5980</v>
      </c>
      <c r="D2915" s="8" t="s">
        <v>5981</v>
      </c>
      <c r="E2915" s="13">
        <v>2232200</v>
      </c>
      <c r="F2915" s="14">
        <v>4342593</v>
      </c>
    </row>
    <row r="2916" spans="1:6" x14ac:dyDescent="0.3">
      <c r="A2916" s="8">
        <v>2914</v>
      </c>
      <c r="B2916" s="8" t="s">
        <v>2229</v>
      </c>
      <c r="C2916" s="8" t="s">
        <v>5982</v>
      </c>
      <c r="D2916" s="8" t="s">
        <v>5983</v>
      </c>
      <c r="E2916" s="13">
        <v>2862200</v>
      </c>
      <c r="F2916" s="14">
        <v>5567593</v>
      </c>
    </row>
    <row r="2917" spans="1:6" x14ac:dyDescent="0.3">
      <c r="A2917" s="8">
        <v>2915</v>
      </c>
      <c r="B2917" s="8" t="s">
        <v>2229</v>
      </c>
      <c r="C2917" s="8" t="s">
        <v>5984</v>
      </c>
      <c r="D2917" s="8" t="s">
        <v>5985</v>
      </c>
      <c r="E2917" s="13">
        <v>2540600</v>
      </c>
      <c r="F2917" s="14">
        <v>5900000</v>
      </c>
    </row>
    <row r="2918" spans="1:6" x14ac:dyDescent="0.3">
      <c r="A2918" s="8">
        <v>2916</v>
      </c>
      <c r="B2918" s="8" t="s">
        <v>4148</v>
      </c>
      <c r="C2918" s="8" t="s">
        <v>5986</v>
      </c>
      <c r="D2918" s="8" t="s">
        <v>5987</v>
      </c>
      <c r="E2918" s="13">
        <v>0</v>
      </c>
      <c r="F2918" s="14">
        <v>0</v>
      </c>
    </row>
    <row r="2919" spans="1:6" x14ac:dyDescent="0.3">
      <c r="A2919" s="8">
        <v>2917</v>
      </c>
      <c r="B2919" s="8" t="s">
        <v>4148</v>
      </c>
      <c r="C2919" s="8" t="s">
        <v>5988</v>
      </c>
      <c r="D2919" s="8" t="s">
        <v>5989</v>
      </c>
      <c r="E2919" s="13">
        <v>0</v>
      </c>
      <c r="F2919" s="14">
        <v>0</v>
      </c>
    </row>
    <row r="2920" spans="1:6" x14ac:dyDescent="0.3">
      <c r="A2920" s="8">
        <v>2918</v>
      </c>
      <c r="B2920" s="8" t="s">
        <v>4148</v>
      </c>
      <c r="C2920" s="8" t="s">
        <v>5990</v>
      </c>
      <c r="D2920" s="8" t="s">
        <v>5991</v>
      </c>
      <c r="E2920" s="13">
        <v>0</v>
      </c>
      <c r="F2920" s="14">
        <v>0</v>
      </c>
    </row>
    <row r="2921" spans="1:6" x14ac:dyDescent="0.3">
      <c r="A2921" s="8">
        <v>2919</v>
      </c>
      <c r="B2921" s="8" t="s">
        <v>4148</v>
      </c>
      <c r="C2921" s="8" t="s">
        <v>5992</v>
      </c>
      <c r="D2921" s="8" t="s">
        <v>5993</v>
      </c>
      <c r="E2921" s="13">
        <v>0</v>
      </c>
      <c r="F2921" s="14">
        <v>0</v>
      </c>
    </row>
    <row r="2922" spans="1:6" x14ac:dyDescent="0.3">
      <c r="A2922" s="8">
        <v>2920</v>
      </c>
      <c r="B2922" s="8" t="s">
        <v>4148</v>
      </c>
      <c r="C2922" s="8" t="s">
        <v>5994</v>
      </c>
      <c r="D2922" s="8" t="s">
        <v>5995</v>
      </c>
      <c r="E2922" s="13">
        <v>40200</v>
      </c>
      <c r="F2922" s="14">
        <v>80370</v>
      </c>
    </row>
    <row r="2923" spans="1:6" x14ac:dyDescent="0.3">
      <c r="A2923" s="8">
        <v>2921</v>
      </c>
      <c r="B2923" s="8" t="s">
        <v>4148</v>
      </c>
      <c r="C2923" s="8" t="s">
        <v>5996</v>
      </c>
      <c r="D2923" s="8" t="s">
        <v>5997</v>
      </c>
      <c r="E2923" s="13">
        <v>0</v>
      </c>
      <c r="F2923" s="14">
        <v>0</v>
      </c>
    </row>
    <row r="2924" spans="1:6" x14ac:dyDescent="0.3">
      <c r="A2924" s="8">
        <v>2922</v>
      </c>
      <c r="B2924" s="8" t="s">
        <v>4148</v>
      </c>
      <c r="C2924" s="8" t="s">
        <v>5998</v>
      </c>
      <c r="D2924" s="8" t="s">
        <v>5999</v>
      </c>
      <c r="E2924" s="13">
        <v>0</v>
      </c>
      <c r="F2924" s="14">
        <v>0</v>
      </c>
    </row>
    <row r="2925" spans="1:6" x14ac:dyDescent="0.3">
      <c r="A2925" s="8">
        <v>2923</v>
      </c>
      <c r="B2925" s="8" t="s">
        <v>4148</v>
      </c>
      <c r="C2925" s="8" t="s">
        <v>6000</v>
      </c>
      <c r="D2925" s="8" t="s">
        <v>6001</v>
      </c>
      <c r="E2925" s="13">
        <v>83200</v>
      </c>
      <c r="F2925" s="14">
        <v>166667</v>
      </c>
    </row>
    <row r="2926" spans="1:6" x14ac:dyDescent="0.3">
      <c r="A2926" s="8">
        <v>2924</v>
      </c>
      <c r="B2926" s="8" t="s">
        <v>4148</v>
      </c>
      <c r="C2926" s="8" t="s">
        <v>6002</v>
      </c>
      <c r="D2926" s="8" t="s">
        <v>6003</v>
      </c>
      <c r="E2926" s="13">
        <v>83800</v>
      </c>
      <c r="F2926" s="14">
        <v>167593</v>
      </c>
    </row>
    <row r="2927" spans="1:6" x14ac:dyDescent="0.3">
      <c r="A2927" s="8">
        <v>2925</v>
      </c>
      <c r="B2927" s="8" t="s">
        <v>4148</v>
      </c>
      <c r="C2927" s="8" t="s">
        <v>6004</v>
      </c>
      <c r="D2927" s="8" t="s">
        <v>6005</v>
      </c>
      <c r="E2927" s="13">
        <v>0</v>
      </c>
      <c r="F2927" s="14">
        <v>0</v>
      </c>
    </row>
    <row r="2928" spans="1:6" x14ac:dyDescent="0.3">
      <c r="A2928" s="8">
        <v>2926</v>
      </c>
      <c r="B2928" s="8" t="s">
        <v>4148</v>
      </c>
      <c r="C2928" s="8" t="s">
        <v>6006</v>
      </c>
      <c r="D2928" s="8" t="s">
        <v>6007</v>
      </c>
      <c r="E2928" s="13">
        <v>0</v>
      </c>
      <c r="F2928" s="14">
        <v>0</v>
      </c>
    </row>
    <row r="2929" spans="1:6" x14ac:dyDescent="0.3">
      <c r="A2929" s="8">
        <v>2927</v>
      </c>
      <c r="B2929" s="8" t="s">
        <v>4148</v>
      </c>
      <c r="C2929" s="8" t="s">
        <v>6008</v>
      </c>
      <c r="D2929" s="8" t="s">
        <v>6009</v>
      </c>
      <c r="E2929" s="13">
        <v>97200</v>
      </c>
      <c r="F2929" s="14">
        <v>194444</v>
      </c>
    </row>
    <row r="2930" spans="1:6" x14ac:dyDescent="0.3">
      <c r="A2930" s="8">
        <v>2928</v>
      </c>
      <c r="B2930" s="8" t="s">
        <v>4148</v>
      </c>
      <c r="C2930" s="8" t="s">
        <v>6010</v>
      </c>
      <c r="D2930" s="8" t="s">
        <v>6011</v>
      </c>
      <c r="E2930" s="13">
        <v>0</v>
      </c>
      <c r="F2930" s="14">
        <v>0</v>
      </c>
    </row>
    <row r="2931" spans="1:6" x14ac:dyDescent="0.3">
      <c r="A2931" s="8">
        <v>2929</v>
      </c>
      <c r="B2931" s="8" t="s">
        <v>4148</v>
      </c>
      <c r="C2931" s="8" t="s">
        <v>6012</v>
      </c>
      <c r="D2931" s="8" t="s">
        <v>6013</v>
      </c>
      <c r="E2931" s="13">
        <v>0</v>
      </c>
      <c r="F2931" s="14">
        <v>0</v>
      </c>
    </row>
    <row r="2932" spans="1:6" x14ac:dyDescent="0.3">
      <c r="A2932" s="8">
        <v>2930</v>
      </c>
      <c r="B2932" s="8" t="s">
        <v>4148</v>
      </c>
      <c r="C2932" s="8" t="s">
        <v>6014</v>
      </c>
      <c r="D2932" s="8" t="s">
        <v>6015</v>
      </c>
      <c r="E2932" s="13">
        <v>0</v>
      </c>
      <c r="F2932" s="14">
        <v>0</v>
      </c>
    </row>
    <row r="2933" spans="1:6" x14ac:dyDescent="0.3">
      <c r="A2933" s="8">
        <v>2931</v>
      </c>
      <c r="B2933" s="8" t="s">
        <v>4148</v>
      </c>
      <c r="C2933" s="8" t="s">
        <v>6016</v>
      </c>
      <c r="D2933" s="8" t="s">
        <v>6017</v>
      </c>
      <c r="E2933" s="13">
        <v>0</v>
      </c>
      <c r="F2933" s="14">
        <v>0</v>
      </c>
    </row>
    <row r="2934" spans="1:6" x14ac:dyDescent="0.3">
      <c r="A2934" s="8">
        <v>2932</v>
      </c>
      <c r="B2934" s="8" t="s">
        <v>4148</v>
      </c>
      <c r="C2934" s="8" t="s">
        <v>6018</v>
      </c>
      <c r="D2934" s="8" t="s">
        <v>6019</v>
      </c>
      <c r="E2934" s="13">
        <v>0</v>
      </c>
      <c r="F2934" s="14">
        <v>0</v>
      </c>
    </row>
    <row r="2935" spans="1:6" x14ac:dyDescent="0.3">
      <c r="A2935" s="8">
        <v>2933</v>
      </c>
      <c r="B2935" s="8" t="s">
        <v>4148</v>
      </c>
      <c r="C2935" s="8" t="s">
        <v>6020</v>
      </c>
      <c r="D2935" s="8" t="s">
        <v>6021</v>
      </c>
      <c r="E2935" s="13">
        <v>0</v>
      </c>
      <c r="F2935" s="14">
        <v>0</v>
      </c>
    </row>
    <row r="2936" spans="1:6" x14ac:dyDescent="0.3">
      <c r="A2936" s="8">
        <v>2934</v>
      </c>
      <c r="B2936" s="8" t="s">
        <v>6022</v>
      </c>
      <c r="C2936" s="8" t="s">
        <v>6023</v>
      </c>
      <c r="D2936" s="8" t="s">
        <v>6024</v>
      </c>
      <c r="E2936" s="13">
        <v>290000</v>
      </c>
      <c r="F2936" s="14">
        <v>500000</v>
      </c>
    </row>
    <row r="2937" spans="1:6" x14ac:dyDescent="0.3">
      <c r="A2937" s="8">
        <v>2935</v>
      </c>
      <c r="B2937" s="8" t="s">
        <v>6022</v>
      </c>
      <c r="C2937" s="8" t="s">
        <v>6025</v>
      </c>
      <c r="D2937" s="8" t="s">
        <v>6026</v>
      </c>
      <c r="E2937" s="13">
        <v>0</v>
      </c>
      <c r="F2937" s="14">
        <v>0</v>
      </c>
    </row>
    <row r="2938" spans="1:6" x14ac:dyDescent="0.3">
      <c r="A2938" s="8">
        <v>2936</v>
      </c>
      <c r="B2938" s="8" t="s">
        <v>6022</v>
      </c>
      <c r="C2938" s="8" t="s">
        <v>6027</v>
      </c>
      <c r="D2938" s="8" t="s">
        <v>6028</v>
      </c>
      <c r="E2938" s="13">
        <v>122100</v>
      </c>
      <c r="F2938" s="14">
        <v>220000</v>
      </c>
    </row>
    <row r="2939" spans="1:6" x14ac:dyDescent="0.3">
      <c r="A2939" s="8">
        <v>2937</v>
      </c>
      <c r="B2939" s="8" t="s">
        <v>6029</v>
      </c>
      <c r="C2939" s="8" t="s">
        <v>6030</v>
      </c>
      <c r="D2939" s="8" t="s">
        <v>6031</v>
      </c>
      <c r="E2939" s="13">
        <v>228000</v>
      </c>
      <c r="F2939" s="14">
        <v>456000</v>
      </c>
    </row>
    <row r="2940" spans="1:6" x14ac:dyDescent="0.3">
      <c r="A2940" s="8">
        <v>2938</v>
      </c>
      <c r="B2940" s="8" t="s">
        <v>2792</v>
      </c>
      <c r="C2940" s="8" t="s">
        <v>6032</v>
      </c>
      <c r="D2940" s="8" t="s">
        <v>6033</v>
      </c>
      <c r="E2940" s="13">
        <v>317000</v>
      </c>
      <c r="F2940" s="14">
        <v>546000</v>
      </c>
    </row>
    <row r="2941" spans="1:6" x14ac:dyDescent="0.3">
      <c r="A2941" s="8">
        <v>2939</v>
      </c>
      <c r="B2941" s="8" t="s">
        <v>2792</v>
      </c>
      <c r="C2941" s="8" t="s">
        <v>6034</v>
      </c>
      <c r="D2941" s="8" t="s">
        <v>6035</v>
      </c>
      <c r="E2941" s="13">
        <v>0</v>
      </c>
      <c r="F2941" s="14">
        <v>7100000</v>
      </c>
    </row>
    <row r="2942" spans="1:6" x14ac:dyDescent="0.3">
      <c r="A2942" s="8">
        <v>2940</v>
      </c>
      <c r="B2942" s="8" t="s">
        <v>2792</v>
      </c>
      <c r="C2942" s="8" t="s">
        <v>6036</v>
      </c>
      <c r="D2942" s="8" t="s">
        <v>6037</v>
      </c>
      <c r="E2942" s="13">
        <v>0</v>
      </c>
      <c r="F2942" s="14">
        <v>3520000</v>
      </c>
    </row>
    <row r="2943" spans="1:6" x14ac:dyDescent="0.3">
      <c r="A2943" s="8">
        <v>2941</v>
      </c>
      <c r="B2943" s="8" t="s">
        <v>2792</v>
      </c>
      <c r="C2943" s="8" t="s">
        <v>6038</v>
      </c>
      <c r="D2943" s="8" t="s">
        <v>6039</v>
      </c>
      <c r="E2943" s="13">
        <v>0</v>
      </c>
      <c r="F2943" s="14">
        <v>3300000</v>
      </c>
    </row>
    <row r="2944" spans="1:6" x14ac:dyDescent="0.3">
      <c r="A2944" s="8">
        <v>2942</v>
      </c>
      <c r="B2944" s="8" t="s">
        <v>2792</v>
      </c>
      <c r="C2944" s="8" t="s">
        <v>6040</v>
      </c>
      <c r="D2944" s="8" t="s">
        <v>6041</v>
      </c>
      <c r="E2944" s="13">
        <v>0</v>
      </c>
      <c r="F2944" s="14">
        <v>0</v>
      </c>
    </row>
    <row r="2945" spans="1:6" x14ac:dyDescent="0.3">
      <c r="A2945" s="8">
        <v>2943</v>
      </c>
      <c r="B2945" s="8" t="s">
        <v>2792</v>
      </c>
      <c r="C2945" s="8" t="s">
        <v>6042</v>
      </c>
      <c r="D2945" s="8" t="s">
        <v>6043</v>
      </c>
      <c r="E2945" s="13">
        <v>0</v>
      </c>
      <c r="F2945" s="14">
        <v>7100000</v>
      </c>
    </row>
    <row r="2946" spans="1:6" x14ac:dyDescent="0.3">
      <c r="A2946" s="8">
        <v>2944</v>
      </c>
      <c r="B2946" s="8" t="s">
        <v>2792</v>
      </c>
      <c r="C2946" s="8" t="s">
        <v>6044</v>
      </c>
      <c r="D2946" s="8" t="s">
        <v>6045</v>
      </c>
      <c r="E2946" s="13">
        <v>0</v>
      </c>
      <c r="F2946" s="14">
        <v>6710185</v>
      </c>
    </row>
    <row r="2947" spans="1:6" x14ac:dyDescent="0.3">
      <c r="A2947" s="8">
        <v>2945</v>
      </c>
      <c r="B2947" s="8" t="s">
        <v>2792</v>
      </c>
      <c r="C2947" s="8" t="s">
        <v>6046</v>
      </c>
      <c r="D2947" s="8" t="s">
        <v>6047</v>
      </c>
      <c r="E2947" s="13">
        <v>829000</v>
      </c>
      <c r="F2947" s="14">
        <v>1658333</v>
      </c>
    </row>
    <row r="2948" spans="1:6" x14ac:dyDescent="0.3">
      <c r="A2948" s="8">
        <v>2946</v>
      </c>
      <c r="B2948" s="8" t="s">
        <v>2792</v>
      </c>
      <c r="C2948" s="8" t="s">
        <v>6048</v>
      </c>
      <c r="D2948" s="8" t="s">
        <v>6049</v>
      </c>
      <c r="E2948" s="13">
        <v>1236000</v>
      </c>
      <c r="F2948" s="14">
        <v>2472222</v>
      </c>
    </row>
    <row r="2949" spans="1:6" x14ac:dyDescent="0.3">
      <c r="A2949" s="8">
        <v>2947</v>
      </c>
      <c r="B2949" s="8" t="s">
        <v>2792</v>
      </c>
      <c r="C2949" s="8" t="s">
        <v>6050</v>
      </c>
      <c r="D2949" s="8" t="s">
        <v>6051</v>
      </c>
      <c r="E2949" s="13">
        <v>0</v>
      </c>
      <c r="F2949" s="14">
        <v>0</v>
      </c>
    </row>
    <row r="2950" spans="1:6" x14ac:dyDescent="0.3">
      <c r="A2950" s="8">
        <v>2948</v>
      </c>
      <c r="B2950" s="8" t="s">
        <v>2792</v>
      </c>
      <c r="C2950" s="8" t="s">
        <v>6052</v>
      </c>
      <c r="D2950" s="8" t="s">
        <v>6053</v>
      </c>
      <c r="E2950" s="13">
        <v>0</v>
      </c>
      <c r="F2950" s="14">
        <v>5595370</v>
      </c>
    </row>
    <row r="2951" spans="1:6" x14ac:dyDescent="0.3">
      <c r="A2951" s="8">
        <v>2949</v>
      </c>
      <c r="B2951" s="8" t="s">
        <v>2792</v>
      </c>
      <c r="C2951" s="8" t="s">
        <v>6054</v>
      </c>
      <c r="D2951" s="8" t="s">
        <v>6055</v>
      </c>
      <c r="E2951" s="13">
        <v>0</v>
      </c>
      <c r="F2951" s="14">
        <v>0</v>
      </c>
    </row>
    <row r="2952" spans="1:6" x14ac:dyDescent="0.3">
      <c r="A2952" s="8">
        <v>2950</v>
      </c>
      <c r="B2952" s="8" t="s">
        <v>2792</v>
      </c>
      <c r="C2952" s="8" t="s">
        <v>6056</v>
      </c>
      <c r="D2952" s="8" t="s">
        <v>6057</v>
      </c>
      <c r="E2952" s="13">
        <v>0</v>
      </c>
      <c r="F2952" s="14">
        <v>8000000</v>
      </c>
    </row>
    <row r="2953" spans="1:6" x14ac:dyDescent="0.3">
      <c r="A2953" s="8">
        <v>2951</v>
      </c>
      <c r="B2953" s="8" t="s">
        <v>2792</v>
      </c>
      <c r="C2953" s="8" t="s">
        <v>6058</v>
      </c>
      <c r="D2953" s="8" t="s">
        <v>6059</v>
      </c>
      <c r="E2953" s="13">
        <v>0</v>
      </c>
      <c r="F2953" s="14">
        <v>4600000</v>
      </c>
    </row>
    <row r="2954" spans="1:6" x14ac:dyDescent="0.3">
      <c r="A2954" s="8">
        <v>2952</v>
      </c>
      <c r="B2954" s="8" t="s">
        <v>2792</v>
      </c>
      <c r="C2954" s="8" t="s">
        <v>6060</v>
      </c>
      <c r="D2954" s="8" t="s">
        <v>6061</v>
      </c>
      <c r="E2954" s="13">
        <v>0</v>
      </c>
      <c r="F2954" s="14">
        <v>0</v>
      </c>
    </row>
    <row r="2955" spans="1:6" x14ac:dyDescent="0.3">
      <c r="A2955" s="8">
        <v>2953</v>
      </c>
      <c r="B2955" s="8" t="s">
        <v>2792</v>
      </c>
      <c r="C2955" s="8" t="s">
        <v>6062</v>
      </c>
      <c r="D2955" s="8" t="s">
        <v>6063</v>
      </c>
      <c r="E2955" s="13">
        <v>0</v>
      </c>
      <c r="F2955" s="14">
        <v>0</v>
      </c>
    </row>
    <row r="2956" spans="1:6" x14ac:dyDescent="0.3">
      <c r="A2956" s="8">
        <v>2954</v>
      </c>
      <c r="B2956" s="8" t="s">
        <v>2792</v>
      </c>
      <c r="C2956" s="8" t="s">
        <v>6064</v>
      </c>
      <c r="D2956" s="8" t="s">
        <v>6065</v>
      </c>
      <c r="E2956" s="13">
        <v>0</v>
      </c>
      <c r="F2956" s="14">
        <v>6400000</v>
      </c>
    </row>
    <row r="2957" spans="1:6" x14ac:dyDescent="0.3">
      <c r="A2957" s="8">
        <v>2955</v>
      </c>
      <c r="B2957" s="8" t="s">
        <v>2792</v>
      </c>
      <c r="C2957" s="8" t="s">
        <v>6066</v>
      </c>
      <c r="D2957" s="8" t="s">
        <v>6067</v>
      </c>
      <c r="E2957" s="13">
        <v>0</v>
      </c>
      <c r="F2957" s="14">
        <v>5000000</v>
      </c>
    </row>
    <row r="2958" spans="1:6" x14ac:dyDescent="0.3">
      <c r="A2958" s="8">
        <v>2956</v>
      </c>
      <c r="B2958" s="8" t="s">
        <v>2792</v>
      </c>
      <c r="C2958" s="8" t="s">
        <v>6068</v>
      </c>
      <c r="D2958" s="8" t="s">
        <v>6069</v>
      </c>
      <c r="E2958" s="13">
        <v>0</v>
      </c>
      <c r="F2958" s="14">
        <v>0</v>
      </c>
    </row>
    <row r="2959" spans="1:6" x14ac:dyDescent="0.3">
      <c r="A2959" s="8">
        <v>2957</v>
      </c>
      <c r="B2959" s="8" t="s">
        <v>2792</v>
      </c>
      <c r="C2959" s="8" t="s">
        <v>6070</v>
      </c>
      <c r="D2959" s="8" t="s">
        <v>6071</v>
      </c>
      <c r="E2959" s="13">
        <v>0</v>
      </c>
      <c r="F2959" s="14">
        <v>0</v>
      </c>
    </row>
    <row r="2960" spans="1:6" x14ac:dyDescent="0.3">
      <c r="A2960" s="8">
        <v>2958</v>
      </c>
      <c r="B2960" s="8" t="s">
        <v>2792</v>
      </c>
      <c r="C2960" s="8" t="s">
        <v>6072</v>
      </c>
      <c r="D2960" s="8" t="s">
        <v>6073</v>
      </c>
      <c r="E2960" s="13">
        <v>0</v>
      </c>
      <c r="F2960" s="14">
        <v>6200000</v>
      </c>
    </row>
    <row r="2961" spans="1:6" x14ac:dyDescent="0.3">
      <c r="A2961" s="8">
        <v>2959</v>
      </c>
      <c r="B2961" s="8" t="s">
        <v>2792</v>
      </c>
      <c r="C2961" s="8" t="s">
        <v>6074</v>
      </c>
      <c r="D2961" s="8" t="s">
        <v>6075</v>
      </c>
      <c r="E2961" s="13">
        <v>0</v>
      </c>
      <c r="F2961" s="14">
        <v>0</v>
      </c>
    </row>
    <row r="2962" spans="1:6" x14ac:dyDescent="0.3">
      <c r="A2962" s="8">
        <v>2960</v>
      </c>
      <c r="B2962" s="8" t="s">
        <v>2792</v>
      </c>
      <c r="C2962" s="8" t="s">
        <v>6076</v>
      </c>
      <c r="D2962" s="8" t="s">
        <v>6077</v>
      </c>
      <c r="E2962" s="13">
        <v>494000</v>
      </c>
      <c r="F2962" s="14">
        <v>987963</v>
      </c>
    </row>
    <row r="2963" spans="1:6" x14ac:dyDescent="0.3">
      <c r="A2963" s="8">
        <v>2961</v>
      </c>
      <c r="B2963" s="8" t="s">
        <v>2792</v>
      </c>
      <c r="C2963" s="8" t="s">
        <v>6078</v>
      </c>
      <c r="D2963" s="8" t="s">
        <v>6079</v>
      </c>
      <c r="E2963" s="13">
        <v>2094000</v>
      </c>
      <c r="F2963" s="14">
        <v>3500000</v>
      </c>
    </row>
    <row r="2964" spans="1:6" x14ac:dyDescent="0.3">
      <c r="A2964" s="8">
        <v>2962</v>
      </c>
      <c r="B2964" s="8" t="s">
        <v>4148</v>
      </c>
      <c r="C2964" s="8" t="s">
        <v>6080</v>
      </c>
      <c r="D2964" s="8" t="s">
        <v>6081</v>
      </c>
      <c r="E2964" s="13">
        <v>57400</v>
      </c>
      <c r="F2964" s="14">
        <v>114815</v>
      </c>
    </row>
    <row r="2965" spans="1:6" x14ac:dyDescent="0.3">
      <c r="A2965" s="8">
        <v>2963</v>
      </c>
      <c r="B2965" s="8" t="s">
        <v>4148</v>
      </c>
      <c r="C2965" s="8" t="s">
        <v>6082</v>
      </c>
      <c r="D2965" s="8" t="s">
        <v>6083</v>
      </c>
      <c r="E2965" s="13">
        <v>81200</v>
      </c>
      <c r="F2965" s="14">
        <v>162037</v>
      </c>
    </row>
    <row r="2966" spans="1:6" x14ac:dyDescent="0.3">
      <c r="A2966" s="8">
        <v>2964</v>
      </c>
      <c r="B2966" s="8" t="s">
        <v>4148</v>
      </c>
      <c r="C2966" s="8" t="s">
        <v>6084</v>
      </c>
      <c r="D2966" s="8" t="s">
        <v>6085</v>
      </c>
      <c r="E2966" s="13">
        <v>94600</v>
      </c>
      <c r="F2966" s="14">
        <v>188889</v>
      </c>
    </row>
    <row r="2967" spans="1:6" x14ac:dyDescent="0.3">
      <c r="A2967" s="8">
        <v>2965</v>
      </c>
      <c r="B2967" s="8" t="s">
        <v>4148</v>
      </c>
      <c r="C2967" s="8" t="s">
        <v>6086</v>
      </c>
      <c r="D2967" s="8" t="s">
        <v>6087</v>
      </c>
      <c r="E2967" s="13">
        <v>70100</v>
      </c>
      <c r="F2967" s="14">
        <v>139815</v>
      </c>
    </row>
    <row r="2968" spans="1:6" x14ac:dyDescent="0.3">
      <c r="A2968" s="8">
        <v>2966</v>
      </c>
      <c r="B2968" s="8" t="s">
        <v>4148</v>
      </c>
      <c r="C2968" s="8" t="s">
        <v>6088</v>
      </c>
      <c r="D2968" s="8" t="s">
        <v>6089</v>
      </c>
      <c r="E2968" s="13">
        <v>0</v>
      </c>
      <c r="F2968" s="14">
        <v>174000</v>
      </c>
    </row>
    <row r="2969" spans="1:6" x14ac:dyDescent="0.3">
      <c r="A2969" s="8">
        <v>2967</v>
      </c>
      <c r="B2969" s="8" t="s">
        <v>4148</v>
      </c>
      <c r="C2969" s="8" t="s">
        <v>6090</v>
      </c>
      <c r="D2969" s="8" t="s">
        <v>6091</v>
      </c>
      <c r="E2969" s="13">
        <v>0</v>
      </c>
      <c r="F2969" s="14">
        <v>161000</v>
      </c>
    </row>
    <row r="2970" spans="1:6" x14ac:dyDescent="0.3">
      <c r="A2970" s="8">
        <v>2968</v>
      </c>
      <c r="B2970" s="8" t="s">
        <v>4148</v>
      </c>
      <c r="C2970" s="8" t="s">
        <v>6092</v>
      </c>
      <c r="D2970" s="8" t="s">
        <v>6093</v>
      </c>
      <c r="E2970" s="13">
        <v>0</v>
      </c>
      <c r="F2970" s="14">
        <v>0</v>
      </c>
    </row>
    <row r="2971" spans="1:6" x14ac:dyDescent="0.3">
      <c r="A2971" s="8">
        <v>2969</v>
      </c>
      <c r="B2971" s="8" t="s">
        <v>4148</v>
      </c>
      <c r="C2971" s="8" t="s">
        <v>6094</v>
      </c>
      <c r="D2971" s="8" t="s">
        <v>6095</v>
      </c>
      <c r="E2971" s="13">
        <v>0</v>
      </c>
      <c r="F2971" s="14">
        <v>0</v>
      </c>
    </row>
    <row r="2972" spans="1:6" x14ac:dyDescent="0.3">
      <c r="A2972" s="8">
        <v>2970</v>
      </c>
      <c r="B2972" s="8" t="s">
        <v>4148</v>
      </c>
      <c r="C2972" s="8" t="s">
        <v>6096</v>
      </c>
      <c r="D2972" s="8" t="s">
        <v>6097</v>
      </c>
      <c r="E2972" s="13">
        <v>71000</v>
      </c>
      <c r="F2972" s="14">
        <v>158333</v>
      </c>
    </row>
    <row r="2973" spans="1:6" x14ac:dyDescent="0.3">
      <c r="A2973" s="8">
        <v>2971</v>
      </c>
      <c r="B2973" s="8" t="s">
        <v>4148</v>
      </c>
      <c r="C2973" s="8" t="s">
        <v>6098</v>
      </c>
      <c r="D2973" s="8" t="s">
        <v>6099</v>
      </c>
      <c r="E2973" s="13">
        <v>0</v>
      </c>
      <c r="F2973" s="14">
        <v>1340000</v>
      </c>
    </row>
    <row r="2974" spans="1:6" x14ac:dyDescent="0.3">
      <c r="A2974" s="8">
        <v>2972</v>
      </c>
      <c r="B2974" s="8" t="s">
        <v>4148</v>
      </c>
      <c r="C2974" s="8" t="s">
        <v>6100</v>
      </c>
      <c r="D2974" s="8" t="s">
        <v>6101</v>
      </c>
      <c r="E2974" s="13">
        <v>0</v>
      </c>
      <c r="F2974" s="14">
        <v>0</v>
      </c>
    </row>
    <row r="2975" spans="1:6" x14ac:dyDescent="0.3">
      <c r="A2975" s="8">
        <v>2973</v>
      </c>
      <c r="B2975" s="8" t="s">
        <v>4148</v>
      </c>
      <c r="C2975" s="8" t="s">
        <v>6102</v>
      </c>
      <c r="D2975" s="8" t="s">
        <v>6103</v>
      </c>
      <c r="E2975" s="13">
        <v>61400</v>
      </c>
      <c r="F2975" s="14">
        <v>136111</v>
      </c>
    </row>
    <row r="2976" spans="1:6" x14ac:dyDescent="0.3">
      <c r="A2976" s="8">
        <v>2974</v>
      </c>
      <c r="B2976" s="8" t="s">
        <v>4148</v>
      </c>
      <c r="C2976" s="8" t="s">
        <v>6104</v>
      </c>
      <c r="D2976" s="8" t="s">
        <v>6105</v>
      </c>
      <c r="E2976" s="13">
        <v>0</v>
      </c>
      <c r="F2976" s="14">
        <v>0</v>
      </c>
    </row>
    <row r="2977" spans="1:6" x14ac:dyDescent="0.3">
      <c r="A2977" s="8">
        <v>2975</v>
      </c>
      <c r="B2977" s="8" t="s">
        <v>4148</v>
      </c>
      <c r="C2977" s="8" t="s">
        <v>6106</v>
      </c>
      <c r="D2977" s="8" t="s">
        <v>6107</v>
      </c>
      <c r="E2977" s="13">
        <v>0</v>
      </c>
      <c r="F2977" s="14">
        <v>0</v>
      </c>
    </row>
    <row r="2978" spans="1:6" x14ac:dyDescent="0.3">
      <c r="A2978" s="8">
        <v>2976</v>
      </c>
      <c r="B2978" s="8" t="s">
        <v>4148</v>
      </c>
      <c r="C2978" s="8" t="s">
        <v>6108</v>
      </c>
      <c r="D2978" s="8" t="s">
        <v>6109</v>
      </c>
      <c r="E2978" s="13">
        <v>70100</v>
      </c>
      <c r="F2978" s="14">
        <v>139815</v>
      </c>
    </row>
    <row r="2979" spans="1:6" x14ac:dyDescent="0.3">
      <c r="A2979" s="8">
        <v>2977</v>
      </c>
      <c r="B2979" s="8" t="s">
        <v>4148</v>
      </c>
      <c r="C2979" s="8" t="s">
        <v>6110</v>
      </c>
      <c r="D2979" s="8" t="s">
        <v>6111</v>
      </c>
      <c r="E2979" s="13">
        <v>0</v>
      </c>
      <c r="F2979" s="14">
        <v>0</v>
      </c>
    </row>
    <row r="2980" spans="1:6" x14ac:dyDescent="0.3">
      <c r="A2980" s="8">
        <v>2978</v>
      </c>
      <c r="B2980" s="8" t="s">
        <v>4148</v>
      </c>
      <c r="C2980" s="8" t="s">
        <v>6112</v>
      </c>
      <c r="D2980" s="8" t="s">
        <v>6113</v>
      </c>
      <c r="E2980" s="13">
        <v>0</v>
      </c>
      <c r="F2980" s="14">
        <v>0</v>
      </c>
    </row>
    <row r="2981" spans="1:6" x14ac:dyDescent="0.3">
      <c r="A2981" s="8">
        <v>2979</v>
      </c>
      <c r="B2981" s="8" t="s">
        <v>4148</v>
      </c>
      <c r="C2981" s="8" t="s">
        <v>6114</v>
      </c>
      <c r="D2981" s="8" t="s">
        <v>6115</v>
      </c>
      <c r="E2981" s="13">
        <v>250000</v>
      </c>
      <c r="F2981" s="14">
        <v>500000</v>
      </c>
    </row>
    <row r="2982" spans="1:6" x14ac:dyDescent="0.3">
      <c r="A2982" s="8">
        <v>2980</v>
      </c>
      <c r="B2982" s="8" t="s">
        <v>4148</v>
      </c>
      <c r="C2982" s="8" t="s">
        <v>6116</v>
      </c>
      <c r="D2982" s="8" t="s">
        <v>6117</v>
      </c>
      <c r="E2982" s="13">
        <v>0</v>
      </c>
      <c r="F2982" s="14">
        <v>0</v>
      </c>
    </row>
    <row r="2983" spans="1:6" x14ac:dyDescent="0.3">
      <c r="A2983" s="8">
        <v>2981</v>
      </c>
      <c r="B2983" s="8" t="s">
        <v>4148</v>
      </c>
      <c r="C2983" s="8" t="s">
        <v>6118</v>
      </c>
      <c r="D2983" s="8" t="s">
        <v>6119</v>
      </c>
      <c r="E2983" s="13">
        <v>70100</v>
      </c>
      <c r="F2983" s="14">
        <v>139815</v>
      </c>
    </row>
    <row r="2984" spans="1:6" x14ac:dyDescent="0.3">
      <c r="A2984" s="8">
        <v>2982</v>
      </c>
      <c r="B2984" s="8" t="s">
        <v>4148</v>
      </c>
      <c r="C2984" s="8" t="s">
        <v>6120</v>
      </c>
      <c r="D2984" s="8" t="s">
        <v>6121</v>
      </c>
      <c r="E2984" s="13">
        <v>87700</v>
      </c>
      <c r="F2984" s="14">
        <v>197222</v>
      </c>
    </row>
    <row r="2985" spans="1:6" x14ac:dyDescent="0.3">
      <c r="A2985" s="8">
        <v>2983</v>
      </c>
      <c r="B2985" s="8" t="s">
        <v>4148</v>
      </c>
      <c r="C2985" s="8" t="s">
        <v>6122</v>
      </c>
      <c r="D2985" s="8" t="s">
        <v>6123</v>
      </c>
      <c r="E2985" s="13">
        <v>83200</v>
      </c>
      <c r="F2985" s="14">
        <v>166667</v>
      </c>
    </row>
    <row r="2986" spans="1:6" x14ac:dyDescent="0.3">
      <c r="A2986" s="8">
        <v>2984</v>
      </c>
      <c r="B2986" s="8" t="s">
        <v>4148</v>
      </c>
      <c r="C2986" s="8" t="s">
        <v>6124</v>
      </c>
      <c r="D2986" s="8" t="s">
        <v>6125</v>
      </c>
      <c r="E2986" s="13">
        <v>48500</v>
      </c>
      <c r="F2986" s="14">
        <v>97037</v>
      </c>
    </row>
    <row r="2987" spans="1:6" x14ac:dyDescent="0.3">
      <c r="A2987" s="8">
        <v>2985</v>
      </c>
      <c r="B2987" s="8" t="s">
        <v>2792</v>
      </c>
      <c r="C2987" s="8" t="s">
        <v>6126</v>
      </c>
      <c r="D2987" s="8" t="s">
        <v>6127</v>
      </c>
      <c r="E2987" s="13">
        <v>0</v>
      </c>
      <c r="F2987" s="14">
        <v>0</v>
      </c>
    </row>
    <row r="2988" spans="1:6" x14ac:dyDescent="0.3">
      <c r="A2988" s="8">
        <v>2986</v>
      </c>
      <c r="B2988" s="8" t="s">
        <v>2792</v>
      </c>
      <c r="C2988" s="8" t="s">
        <v>6128</v>
      </c>
      <c r="D2988" s="8" t="s">
        <v>6129</v>
      </c>
      <c r="E2988" s="13">
        <v>0</v>
      </c>
      <c r="F2988" s="14">
        <v>1100000</v>
      </c>
    </row>
    <row r="2989" spans="1:6" x14ac:dyDescent="0.3">
      <c r="A2989" s="8">
        <v>2987</v>
      </c>
      <c r="B2989" s="8" t="s">
        <v>2792</v>
      </c>
      <c r="C2989" s="8" t="s">
        <v>6130</v>
      </c>
      <c r="D2989" s="8" t="s">
        <v>6131</v>
      </c>
      <c r="E2989" s="13">
        <v>0</v>
      </c>
      <c r="F2989" s="14">
        <v>0</v>
      </c>
    </row>
    <row r="2990" spans="1:6" x14ac:dyDescent="0.3">
      <c r="A2990" s="8">
        <v>2988</v>
      </c>
      <c r="B2990" s="8" t="s">
        <v>2792</v>
      </c>
      <c r="C2990" s="8" t="s">
        <v>6132</v>
      </c>
      <c r="D2990" s="8" t="s">
        <v>6133</v>
      </c>
      <c r="E2990" s="13">
        <v>0</v>
      </c>
      <c r="F2990" s="14">
        <v>0</v>
      </c>
    </row>
    <row r="2991" spans="1:6" x14ac:dyDescent="0.3">
      <c r="A2991" s="8">
        <v>2989</v>
      </c>
      <c r="B2991" s="8" t="s">
        <v>2792</v>
      </c>
      <c r="C2991" s="8" t="s">
        <v>6134</v>
      </c>
      <c r="D2991" s="8" t="s">
        <v>6135</v>
      </c>
      <c r="E2991" s="13">
        <v>0</v>
      </c>
      <c r="F2991" s="14">
        <v>8000000</v>
      </c>
    </row>
    <row r="2992" spans="1:6" x14ac:dyDescent="0.3">
      <c r="A2992" s="8">
        <v>2990</v>
      </c>
      <c r="B2992" s="8" t="s">
        <v>2792</v>
      </c>
      <c r="C2992" s="8" t="s">
        <v>6136</v>
      </c>
      <c r="D2992" s="8" t="s">
        <v>6137</v>
      </c>
      <c r="E2992" s="13">
        <v>3949000</v>
      </c>
      <c r="F2992" s="14">
        <v>6600000</v>
      </c>
    </row>
    <row r="2993" spans="1:6" x14ac:dyDescent="0.3">
      <c r="A2993" s="8">
        <v>2991</v>
      </c>
      <c r="B2993" s="8" t="s">
        <v>2792</v>
      </c>
      <c r="C2993" s="8" t="s">
        <v>6138</v>
      </c>
      <c r="D2993" s="8" t="s">
        <v>6139</v>
      </c>
      <c r="E2993" s="13">
        <v>0</v>
      </c>
      <c r="F2993" s="14">
        <v>0</v>
      </c>
    </row>
    <row r="2994" spans="1:6" x14ac:dyDescent="0.3">
      <c r="A2994" s="8">
        <v>2992</v>
      </c>
      <c r="B2994" s="8" t="s">
        <v>2792</v>
      </c>
      <c r="C2994" s="8" t="s">
        <v>6140</v>
      </c>
      <c r="D2994" s="8" t="s">
        <v>6141</v>
      </c>
      <c r="E2994" s="13">
        <v>0</v>
      </c>
      <c r="F2994" s="14">
        <v>11000000</v>
      </c>
    </row>
    <row r="2995" spans="1:6" x14ac:dyDescent="0.3">
      <c r="A2995" s="8">
        <v>2993</v>
      </c>
      <c r="B2995" s="8" t="s">
        <v>2792</v>
      </c>
      <c r="C2995" s="8" t="s">
        <v>6142</v>
      </c>
      <c r="D2995" s="8" t="s">
        <v>6143</v>
      </c>
      <c r="E2995" s="13">
        <v>0</v>
      </c>
      <c r="F2995" s="14">
        <v>16600000</v>
      </c>
    </row>
    <row r="2996" spans="1:6" x14ac:dyDescent="0.3">
      <c r="A2996" s="8">
        <v>2994</v>
      </c>
      <c r="B2996" s="8" t="s">
        <v>2792</v>
      </c>
      <c r="C2996" s="8" t="s">
        <v>6144</v>
      </c>
      <c r="D2996" s="8" t="s">
        <v>6145</v>
      </c>
      <c r="E2996" s="13">
        <v>0</v>
      </c>
      <c r="F2996" s="14">
        <v>5500000</v>
      </c>
    </row>
    <row r="2997" spans="1:6" x14ac:dyDescent="0.3">
      <c r="A2997" s="8">
        <v>2995</v>
      </c>
      <c r="B2997" s="8" t="s">
        <v>2792</v>
      </c>
      <c r="C2997" s="8" t="s">
        <v>6146</v>
      </c>
      <c r="D2997" s="8" t="s">
        <v>6147</v>
      </c>
      <c r="E2997" s="13">
        <v>0</v>
      </c>
      <c r="F2997" s="14">
        <v>2000000</v>
      </c>
    </row>
    <row r="2998" spans="1:6" x14ac:dyDescent="0.3">
      <c r="A2998" s="8">
        <v>2996</v>
      </c>
      <c r="B2998" s="8" t="s">
        <v>2792</v>
      </c>
      <c r="C2998" s="8" t="s">
        <v>6148</v>
      </c>
      <c r="D2998" s="8" t="s">
        <v>6149</v>
      </c>
      <c r="E2998" s="13">
        <v>0</v>
      </c>
      <c r="F2998" s="14">
        <v>1200000</v>
      </c>
    </row>
    <row r="2999" spans="1:6" x14ac:dyDescent="0.3">
      <c r="A2999" s="8">
        <v>2997</v>
      </c>
      <c r="B2999" s="8" t="s">
        <v>2792</v>
      </c>
      <c r="C2999" s="8" t="s">
        <v>6150</v>
      </c>
      <c r="D2999" s="8" t="s">
        <v>6151</v>
      </c>
      <c r="E2999" s="13">
        <v>1082000</v>
      </c>
      <c r="F2999" s="14">
        <v>2163889</v>
      </c>
    </row>
    <row r="3000" spans="1:6" x14ac:dyDescent="0.3">
      <c r="A3000" s="8">
        <v>2998</v>
      </c>
      <c r="B3000" s="8" t="s">
        <v>2792</v>
      </c>
      <c r="C3000" s="8" t="s">
        <v>6152</v>
      </c>
      <c r="D3000" s="8" t="s">
        <v>6153</v>
      </c>
      <c r="E3000" s="13">
        <v>0</v>
      </c>
      <c r="F3000" s="14">
        <v>0</v>
      </c>
    </row>
    <row r="3001" spans="1:6" x14ac:dyDescent="0.3">
      <c r="A3001" s="8">
        <v>2999</v>
      </c>
      <c r="B3001" s="8" t="s">
        <v>2792</v>
      </c>
      <c r="C3001" s="8" t="s">
        <v>6154</v>
      </c>
      <c r="D3001" s="8" t="s">
        <v>6155</v>
      </c>
      <c r="E3001" s="13">
        <v>0</v>
      </c>
      <c r="F3001" s="14">
        <v>0</v>
      </c>
    </row>
    <row r="3002" spans="1:6" x14ac:dyDescent="0.3">
      <c r="A3002" s="8">
        <v>3000</v>
      </c>
      <c r="B3002" s="8" t="s">
        <v>2792</v>
      </c>
      <c r="C3002" s="8" t="s">
        <v>6156</v>
      </c>
      <c r="D3002" s="8" t="s">
        <v>6157</v>
      </c>
      <c r="E3002" s="13">
        <v>0</v>
      </c>
      <c r="F3002" s="14">
        <v>0</v>
      </c>
    </row>
    <row r="3003" spans="1:6" x14ac:dyDescent="0.3">
      <c r="A3003" s="8">
        <v>3001</v>
      </c>
      <c r="B3003" s="8" t="s">
        <v>2792</v>
      </c>
      <c r="C3003" s="8" t="s">
        <v>6158</v>
      </c>
      <c r="D3003" s="8" t="s">
        <v>6159</v>
      </c>
      <c r="E3003" s="13">
        <v>0</v>
      </c>
      <c r="F3003" s="14">
        <v>4000000</v>
      </c>
    </row>
    <row r="3004" spans="1:6" x14ac:dyDescent="0.3">
      <c r="A3004" s="8">
        <v>3002</v>
      </c>
      <c r="B3004" s="8" t="s">
        <v>2792</v>
      </c>
      <c r="C3004" s="8" t="s">
        <v>6160</v>
      </c>
      <c r="D3004" s="8" t="s">
        <v>6161</v>
      </c>
      <c r="E3004" s="13">
        <v>121000</v>
      </c>
      <c r="F3004" s="14">
        <v>241667</v>
      </c>
    </row>
    <row r="3005" spans="1:6" x14ac:dyDescent="0.3">
      <c r="A3005" s="8">
        <v>3003</v>
      </c>
      <c r="B3005" s="8" t="s">
        <v>2792</v>
      </c>
      <c r="C3005" s="8" t="s">
        <v>6162</v>
      </c>
      <c r="D3005" s="8" t="s">
        <v>6163</v>
      </c>
      <c r="E3005" s="13">
        <v>155000</v>
      </c>
      <c r="F3005" s="14">
        <v>310185</v>
      </c>
    </row>
    <row r="3006" spans="1:6" x14ac:dyDescent="0.3">
      <c r="A3006" s="8">
        <v>3004</v>
      </c>
      <c r="B3006" s="8" t="s">
        <v>2792</v>
      </c>
      <c r="C3006" s="8" t="s">
        <v>6164</v>
      </c>
      <c r="D3006" s="8" t="s">
        <v>6165</v>
      </c>
      <c r="E3006" s="13">
        <v>523000</v>
      </c>
      <c r="F3006" s="14">
        <v>1046296</v>
      </c>
    </row>
    <row r="3007" spans="1:6" x14ac:dyDescent="0.3">
      <c r="A3007" s="8">
        <v>3005</v>
      </c>
      <c r="B3007" s="8" t="s">
        <v>2792</v>
      </c>
      <c r="C3007" s="8" t="s">
        <v>6166</v>
      </c>
      <c r="D3007" s="8" t="s">
        <v>6167</v>
      </c>
      <c r="E3007" s="13">
        <v>0</v>
      </c>
      <c r="F3007" s="14">
        <v>0</v>
      </c>
    </row>
    <row r="3008" spans="1:6" x14ac:dyDescent="0.3">
      <c r="A3008" s="8">
        <v>3006</v>
      </c>
      <c r="B3008" s="8" t="s">
        <v>2792</v>
      </c>
      <c r="C3008" s="8" t="s">
        <v>6168</v>
      </c>
      <c r="D3008" s="8" t="s">
        <v>6169</v>
      </c>
      <c r="E3008" s="13">
        <v>0</v>
      </c>
      <c r="F3008" s="14">
        <v>0</v>
      </c>
    </row>
    <row r="3009" spans="1:6" x14ac:dyDescent="0.3">
      <c r="A3009" s="8">
        <v>3007</v>
      </c>
      <c r="B3009" s="8" t="s">
        <v>2792</v>
      </c>
      <c r="C3009" s="8" t="s">
        <v>6170</v>
      </c>
      <c r="D3009" s="8" t="s">
        <v>6171</v>
      </c>
      <c r="E3009" s="13">
        <v>1602000</v>
      </c>
      <c r="F3009" s="14">
        <v>3203704</v>
      </c>
    </row>
    <row r="3010" spans="1:6" x14ac:dyDescent="0.3">
      <c r="A3010" s="8">
        <v>3008</v>
      </c>
      <c r="B3010" s="8" t="s">
        <v>4148</v>
      </c>
      <c r="C3010" s="8" t="s">
        <v>6172</v>
      </c>
      <c r="D3010" s="8" t="s">
        <v>6173</v>
      </c>
      <c r="E3010" s="13">
        <v>88000</v>
      </c>
      <c r="F3010" s="14">
        <v>175926</v>
      </c>
    </row>
    <row r="3011" spans="1:6" x14ac:dyDescent="0.3">
      <c r="A3011" s="8">
        <v>3009</v>
      </c>
      <c r="B3011" s="8" t="s">
        <v>4148</v>
      </c>
      <c r="C3011" s="8" t="s">
        <v>6174</v>
      </c>
      <c r="D3011" s="8" t="s">
        <v>6175</v>
      </c>
      <c r="E3011" s="13">
        <v>47000</v>
      </c>
      <c r="F3011" s="14">
        <v>94444</v>
      </c>
    </row>
    <row r="3012" spans="1:6" x14ac:dyDescent="0.3">
      <c r="A3012" s="8">
        <v>3010</v>
      </c>
      <c r="B3012" s="8" t="s">
        <v>4148</v>
      </c>
      <c r="C3012" s="8" t="s">
        <v>6176</v>
      </c>
      <c r="D3012" s="8" t="s">
        <v>6177</v>
      </c>
      <c r="E3012" s="13">
        <v>72700</v>
      </c>
      <c r="F3012" s="14">
        <v>145370</v>
      </c>
    </row>
    <row r="3013" spans="1:6" x14ac:dyDescent="0.3">
      <c r="A3013" s="8">
        <v>3011</v>
      </c>
      <c r="B3013" s="8" t="s">
        <v>4148</v>
      </c>
      <c r="C3013" s="8" t="s">
        <v>6178</v>
      </c>
      <c r="D3013" s="8" t="s">
        <v>6179</v>
      </c>
      <c r="E3013" s="13">
        <v>97200</v>
      </c>
      <c r="F3013" s="14">
        <v>194444</v>
      </c>
    </row>
    <row r="3014" spans="1:6" x14ac:dyDescent="0.3">
      <c r="A3014" s="8">
        <v>3012</v>
      </c>
      <c r="B3014" s="8" t="s">
        <v>4148</v>
      </c>
      <c r="C3014" s="8" t="s">
        <v>6180</v>
      </c>
      <c r="D3014" s="8" t="s">
        <v>6181</v>
      </c>
      <c r="E3014" s="13">
        <v>176000</v>
      </c>
      <c r="F3014" s="14">
        <v>351852</v>
      </c>
    </row>
    <row r="3015" spans="1:6" x14ac:dyDescent="0.3">
      <c r="A3015" s="8">
        <v>3013</v>
      </c>
      <c r="B3015" s="8" t="s">
        <v>4148</v>
      </c>
      <c r="C3015" s="8" t="s">
        <v>6182</v>
      </c>
      <c r="D3015" s="8" t="s">
        <v>6183</v>
      </c>
      <c r="E3015" s="13">
        <v>0</v>
      </c>
      <c r="F3015" s="14">
        <v>0</v>
      </c>
    </row>
    <row r="3016" spans="1:6" x14ac:dyDescent="0.3">
      <c r="A3016" s="8">
        <v>3014</v>
      </c>
      <c r="B3016" s="8" t="s">
        <v>4148</v>
      </c>
      <c r="C3016" s="8" t="s">
        <v>6184</v>
      </c>
      <c r="D3016" s="8" t="s">
        <v>6185</v>
      </c>
      <c r="E3016" s="13">
        <v>0</v>
      </c>
      <c r="F3016" s="14">
        <v>0</v>
      </c>
    </row>
    <row r="3017" spans="1:6" x14ac:dyDescent="0.3">
      <c r="A3017" s="8">
        <v>3015</v>
      </c>
      <c r="B3017" s="8" t="s">
        <v>4148</v>
      </c>
      <c r="C3017" s="8" t="s">
        <v>6186</v>
      </c>
      <c r="D3017" s="8" t="s">
        <v>6187</v>
      </c>
      <c r="E3017" s="13">
        <v>0</v>
      </c>
      <c r="F3017" s="14">
        <v>0</v>
      </c>
    </row>
    <row r="3018" spans="1:6" x14ac:dyDescent="0.3">
      <c r="A3018" s="8">
        <v>3016</v>
      </c>
      <c r="B3018" s="8" t="s">
        <v>4148</v>
      </c>
      <c r="C3018" s="8" t="s">
        <v>6188</v>
      </c>
      <c r="D3018" s="8" t="s">
        <v>6189</v>
      </c>
      <c r="E3018" s="13">
        <v>0</v>
      </c>
      <c r="F3018" s="14">
        <v>0</v>
      </c>
    </row>
    <row r="3019" spans="1:6" x14ac:dyDescent="0.3">
      <c r="A3019" s="8">
        <v>3017</v>
      </c>
      <c r="B3019" s="8" t="s">
        <v>4148</v>
      </c>
      <c r="C3019" s="8" t="s">
        <v>6190</v>
      </c>
      <c r="D3019" s="8" t="s">
        <v>6191</v>
      </c>
      <c r="E3019" s="13">
        <v>0</v>
      </c>
      <c r="F3019" s="14">
        <v>0</v>
      </c>
    </row>
    <row r="3020" spans="1:6" x14ac:dyDescent="0.3">
      <c r="A3020" s="8">
        <v>3018</v>
      </c>
      <c r="B3020" s="8" t="s">
        <v>4148</v>
      </c>
      <c r="C3020" s="8" t="s">
        <v>6192</v>
      </c>
      <c r="D3020" s="8" t="s">
        <v>6193</v>
      </c>
      <c r="E3020" s="13">
        <v>0</v>
      </c>
      <c r="F3020" s="14">
        <v>0</v>
      </c>
    </row>
    <row r="3021" spans="1:6" x14ac:dyDescent="0.3">
      <c r="A3021" s="8">
        <v>3019</v>
      </c>
      <c r="B3021" s="8" t="s">
        <v>4148</v>
      </c>
      <c r="C3021" s="8" t="s">
        <v>6194</v>
      </c>
      <c r="D3021" s="8" t="s">
        <v>6195</v>
      </c>
      <c r="E3021" s="13">
        <v>0</v>
      </c>
      <c r="F3021" s="14">
        <v>0</v>
      </c>
    </row>
    <row r="3022" spans="1:6" x14ac:dyDescent="0.3">
      <c r="A3022" s="8">
        <v>3020</v>
      </c>
      <c r="B3022" s="8" t="s">
        <v>4148</v>
      </c>
      <c r="C3022" s="8" t="s">
        <v>6196</v>
      </c>
      <c r="D3022" s="8" t="s">
        <v>6197</v>
      </c>
      <c r="E3022" s="13">
        <v>0</v>
      </c>
      <c r="F3022" s="14">
        <v>0</v>
      </c>
    </row>
    <row r="3023" spans="1:6" x14ac:dyDescent="0.3">
      <c r="A3023" s="8">
        <v>3021</v>
      </c>
      <c r="B3023" s="8" t="s">
        <v>4148</v>
      </c>
      <c r="C3023" s="8" t="s">
        <v>6198</v>
      </c>
      <c r="D3023" s="8" t="s">
        <v>6199</v>
      </c>
      <c r="E3023" s="13">
        <v>0</v>
      </c>
      <c r="F3023" s="14">
        <v>0</v>
      </c>
    </row>
    <row r="3024" spans="1:6" x14ac:dyDescent="0.3">
      <c r="A3024" s="8">
        <v>3022</v>
      </c>
      <c r="B3024" s="8" t="s">
        <v>4148</v>
      </c>
      <c r="C3024" s="8" t="s">
        <v>6200</v>
      </c>
      <c r="D3024" s="8" t="s">
        <v>6201</v>
      </c>
      <c r="E3024" s="13">
        <v>0</v>
      </c>
      <c r="F3024" s="14">
        <v>0</v>
      </c>
    </row>
    <row r="3025" spans="1:6" x14ac:dyDescent="0.3">
      <c r="A3025" s="8">
        <v>3023</v>
      </c>
      <c r="B3025" s="8" t="s">
        <v>4148</v>
      </c>
      <c r="C3025" s="8" t="s">
        <v>6202</v>
      </c>
      <c r="D3025" s="8" t="s">
        <v>6203</v>
      </c>
      <c r="E3025" s="13">
        <v>130000</v>
      </c>
      <c r="F3025" s="14">
        <v>260185</v>
      </c>
    </row>
    <row r="3026" spans="1:6" x14ac:dyDescent="0.3">
      <c r="A3026" s="8">
        <v>3024</v>
      </c>
      <c r="B3026" s="8" t="s">
        <v>4148</v>
      </c>
      <c r="C3026" s="8" t="s">
        <v>6204</v>
      </c>
      <c r="D3026" s="8" t="s">
        <v>6205</v>
      </c>
      <c r="E3026" s="13">
        <v>72700</v>
      </c>
      <c r="F3026" s="14">
        <v>145370</v>
      </c>
    </row>
    <row r="3027" spans="1:6" x14ac:dyDescent="0.3">
      <c r="A3027" s="8">
        <v>3025</v>
      </c>
      <c r="B3027" s="8" t="s">
        <v>4148</v>
      </c>
      <c r="C3027" s="8" t="s">
        <v>6206</v>
      </c>
      <c r="D3027" s="8" t="s">
        <v>6207</v>
      </c>
      <c r="E3027" s="13">
        <v>0</v>
      </c>
      <c r="F3027" s="14">
        <v>0</v>
      </c>
    </row>
    <row r="3028" spans="1:6" x14ac:dyDescent="0.3">
      <c r="A3028" s="8">
        <v>3026</v>
      </c>
      <c r="B3028" s="8" t="s">
        <v>4148</v>
      </c>
      <c r="C3028" s="8" t="s">
        <v>6208</v>
      </c>
      <c r="D3028" s="8" t="s">
        <v>6209</v>
      </c>
      <c r="E3028" s="13">
        <v>94600</v>
      </c>
      <c r="F3028" s="14">
        <v>188889</v>
      </c>
    </row>
    <row r="3029" spans="1:6" x14ac:dyDescent="0.3">
      <c r="A3029" s="8">
        <v>3027</v>
      </c>
      <c r="B3029" s="8" t="s">
        <v>4148</v>
      </c>
      <c r="C3029" s="8" t="s">
        <v>6210</v>
      </c>
      <c r="D3029" s="8" t="s">
        <v>6211</v>
      </c>
      <c r="E3029" s="13">
        <v>130000</v>
      </c>
      <c r="F3029" s="14">
        <v>260185</v>
      </c>
    </row>
    <row r="3030" spans="1:6" x14ac:dyDescent="0.3">
      <c r="A3030" s="8">
        <v>3028</v>
      </c>
      <c r="B3030" s="8" t="s">
        <v>4148</v>
      </c>
      <c r="C3030" s="8" t="s">
        <v>6212</v>
      </c>
      <c r="D3030" s="8" t="s">
        <v>6213</v>
      </c>
      <c r="E3030" s="13">
        <v>0</v>
      </c>
      <c r="F3030" s="14">
        <v>0</v>
      </c>
    </row>
    <row r="3031" spans="1:6" x14ac:dyDescent="0.3">
      <c r="A3031" s="8">
        <v>3029</v>
      </c>
      <c r="B3031" s="8" t="s">
        <v>4148</v>
      </c>
      <c r="C3031" s="8" t="s">
        <v>6214</v>
      </c>
      <c r="D3031" s="8" t="s">
        <v>6215</v>
      </c>
      <c r="E3031" s="13">
        <v>0</v>
      </c>
      <c r="F3031" s="14">
        <v>0</v>
      </c>
    </row>
    <row r="3032" spans="1:6" x14ac:dyDescent="0.3">
      <c r="A3032" s="8">
        <v>3030</v>
      </c>
      <c r="B3032" s="8" t="s">
        <v>4148</v>
      </c>
      <c r="C3032" s="8" t="s">
        <v>6216</v>
      </c>
      <c r="D3032" s="8" t="s">
        <v>6217</v>
      </c>
      <c r="E3032" s="13">
        <v>0</v>
      </c>
      <c r="F3032" s="14">
        <v>0</v>
      </c>
    </row>
    <row r="3033" spans="1:6" x14ac:dyDescent="0.3">
      <c r="A3033" s="8">
        <v>3031</v>
      </c>
      <c r="B3033" s="8" t="s">
        <v>4148</v>
      </c>
      <c r="C3033" s="8" t="s">
        <v>6218</v>
      </c>
      <c r="D3033" s="8" t="s">
        <v>6219</v>
      </c>
      <c r="E3033" s="13">
        <v>0</v>
      </c>
      <c r="F3033" s="14">
        <v>0</v>
      </c>
    </row>
    <row r="3034" spans="1:6" x14ac:dyDescent="0.3">
      <c r="A3034" s="8">
        <v>3032</v>
      </c>
      <c r="B3034" s="8" t="s">
        <v>4148</v>
      </c>
      <c r="C3034" s="8" t="s">
        <v>6220</v>
      </c>
      <c r="D3034" s="8" t="s">
        <v>6221</v>
      </c>
      <c r="E3034" s="13">
        <v>83200</v>
      </c>
      <c r="F3034" s="14">
        <v>166667</v>
      </c>
    </row>
    <row r="3035" spans="1:6" x14ac:dyDescent="0.3">
      <c r="A3035" s="8">
        <v>3033</v>
      </c>
      <c r="B3035" s="8" t="s">
        <v>4148</v>
      </c>
      <c r="C3035" s="8" t="s">
        <v>6222</v>
      </c>
      <c r="D3035" s="8" t="s">
        <v>6223</v>
      </c>
      <c r="E3035" s="13">
        <v>61400</v>
      </c>
      <c r="F3035" s="14">
        <v>136111</v>
      </c>
    </row>
    <row r="3036" spans="1:6" x14ac:dyDescent="0.3">
      <c r="A3036" s="8">
        <v>3034</v>
      </c>
      <c r="B3036" s="8" t="s">
        <v>4148</v>
      </c>
      <c r="C3036" s="8" t="s">
        <v>6224</v>
      </c>
      <c r="D3036" s="8" t="s">
        <v>6225</v>
      </c>
      <c r="E3036" s="13">
        <v>76300</v>
      </c>
      <c r="F3036" s="14">
        <v>170370</v>
      </c>
    </row>
    <row r="3037" spans="1:6" x14ac:dyDescent="0.3">
      <c r="A3037" s="8">
        <v>3035</v>
      </c>
      <c r="B3037" s="8" t="s">
        <v>4148</v>
      </c>
      <c r="C3037" s="8" t="s">
        <v>6226</v>
      </c>
      <c r="D3037" s="8" t="s">
        <v>6227</v>
      </c>
      <c r="E3037" s="13">
        <v>70100</v>
      </c>
      <c r="F3037" s="14">
        <v>139815</v>
      </c>
    </row>
    <row r="3038" spans="1:6" x14ac:dyDescent="0.3">
      <c r="A3038" s="8">
        <v>3036</v>
      </c>
      <c r="B3038" s="8" t="s">
        <v>4148</v>
      </c>
      <c r="C3038" s="8" t="s">
        <v>6228</v>
      </c>
      <c r="D3038" s="8" t="s">
        <v>6229</v>
      </c>
      <c r="E3038" s="13">
        <v>79500</v>
      </c>
      <c r="F3038" s="14">
        <v>159259</v>
      </c>
    </row>
    <row r="3039" spans="1:6" x14ac:dyDescent="0.3">
      <c r="A3039" s="8">
        <v>3037</v>
      </c>
      <c r="B3039" s="8" t="s">
        <v>4148</v>
      </c>
      <c r="C3039" s="8" t="s">
        <v>6230</v>
      </c>
      <c r="D3039" s="8" t="s">
        <v>6231</v>
      </c>
      <c r="E3039" s="13">
        <v>83200</v>
      </c>
      <c r="F3039" s="14">
        <v>166667</v>
      </c>
    </row>
    <row r="3040" spans="1:6" x14ac:dyDescent="0.3">
      <c r="A3040" s="8">
        <v>3038</v>
      </c>
      <c r="B3040" s="8" t="s">
        <v>4148</v>
      </c>
      <c r="C3040" s="8" t="s">
        <v>6232</v>
      </c>
      <c r="D3040" s="8" t="s">
        <v>6233</v>
      </c>
      <c r="E3040" s="13">
        <v>61400</v>
      </c>
      <c r="F3040" s="14">
        <v>136111</v>
      </c>
    </row>
    <row r="3041" spans="1:6" x14ac:dyDescent="0.3">
      <c r="A3041" s="8">
        <v>3039</v>
      </c>
      <c r="B3041" s="8" t="s">
        <v>4148</v>
      </c>
      <c r="C3041" s="8" t="s">
        <v>6234</v>
      </c>
      <c r="D3041" s="8" t="s">
        <v>6235</v>
      </c>
      <c r="E3041" s="13">
        <v>61400</v>
      </c>
      <c r="F3041" s="14">
        <v>136111</v>
      </c>
    </row>
    <row r="3042" spans="1:6" x14ac:dyDescent="0.3">
      <c r="A3042" s="8">
        <v>3040</v>
      </c>
      <c r="B3042" s="8" t="s">
        <v>4148</v>
      </c>
      <c r="C3042" s="8" t="s">
        <v>6236</v>
      </c>
      <c r="D3042" s="8" t="s">
        <v>6237</v>
      </c>
      <c r="E3042" s="13">
        <v>178000</v>
      </c>
      <c r="F3042" s="14">
        <v>355556</v>
      </c>
    </row>
    <row r="3043" spans="1:6" x14ac:dyDescent="0.3">
      <c r="A3043" s="8">
        <v>3041</v>
      </c>
      <c r="B3043" s="8" t="s">
        <v>4148</v>
      </c>
      <c r="C3043" s="8" t="s">
        <v>6238</v>
      </c>
      <c r="D3043" s="8" t="s">
        <v>6239</v>
      </c>
      <c r="E3043" s="13">
        <v>79000</v>
      </c>
      <c r="F3043" s="14">
        <v>158333</v>
      </c>
    </row>
    <row r="3044" spans="1:6" x14ac:dyDescent="0.3">
      <c r="A3044" s="8">
        <v>3042</v>
      </c>
      <c r="B3044" s="8" t="s">
        <v>4148</v>
      </c>
      <c r="C3044" s="8" t="s">
        <v>6240</v>
      </c>
      <c r="D3044" s="8" t="s">
        <v>6241</v>
      </c>
      <c r="E3044" s="13">
        <v>84000</v>
      </c>
      <c r="F3044" s="14">
        <v>167593</v>
      </c>
    </row>
    <row r="3045" spans="1:6" x14ac:dyDescent="0.3">
      <c r="A3045" s="8">
        <v>3043</v>
      </c>
      <c r="B3045" s="8" t="s">
        <v>4148</v>
      </c>
      <c r="C3045" s="8" t="s">
        <v>6242</v>
      </c>
      <c r="D3045" s="8" t="s">
        <v>6243</v>
      </c>
      <c r="E3045" s="13">
        <v>94000</v>
      </c>
      <c r="F3045" s="14">
        <v>205556</v>
      </c>
    </row>
    <row r="3046" spans="1:6" x14ac:dyDescent="0.3">
      <c r="A3046" s="8">
        <v>3044</v>
      </c>
      <c r="B3046" s="8" t="s">
        <v>4148</v>
      </c>
      <c r="C3046" s="8" t="s">
        <v>6244</v>
      </c>
      <c r="D3046" s="8" t="s">
        <v>6245</v>
      </c>
      <c r="E3046" s="13">
        <v>92900</v>
      </c>
      <c r="F3046" s="14">
        <v>210185</v>
      </c>
    </row>
    <row r="3047" spans="1:6" x14ac:dyDescent="0.3">
      <c r="A3047" s="8">
        <v>3045</v>
      </c>
      <c r="B3047" s="8" t="s">
        <v>4148</v>
      </c>
      <c r="C3047" s="8" t="s">
        <v>6246</v>
      </c>
      <c r="D3047" s="8" t="s">
        <v>6247</v>
      </c>
      <c r="E3047" s="13">
        <v>54400</v>
      </c>
      <c r="F3047" s="14">
        <v>122222</v>
      </c>
    </row>
    <row r="3048" spans="1:6" x14ac:dyDescent="0.3">
      <c r="A3048" s="8">
        <v>3046</v>
      </c>
      <c r="B3048" s="8" t="s">
        <v>4148</v>
      </c>
      <c r="C3048" s="8" t="s">
        <v>6248</v>
      </c>
      <c r="D3048" s="8" t="s">
        <v>6249</v>
      </c>
      <c r="E3048" s="13">
        <v>57400</v>
      </c>
      <c r="F3048" s="14">
        <v>114815</v>
      </c>
    </row>
    <row r="3049" spans="1:6" x14ac:dyDescent="0.3">
      <c r="A3049" s="8">
        <v>3047</v>
      </c>
      <c r="B3049" s="8" t="s">
        <v>4148</v>
      </c>
      <c r="C3049" s="8" t="s">
        <v>6250</v>
      </c>
      <c r="D3049" s="8" t="s">
        <v>6251</v>
      </c>
      <c r="E3049" s="13">
        <v>57400</v>
      </c>
      <c r="F3049" s="14">
        <v>114815</v>
      </c>
    </row>
    <row r="3050" spans="1:6" x14ac:dyDescent="0.3">
      <c r="A3050" s="8">
        <v>3048</v>
      </c>
      <c r="B3050" s="8" t="s">
        <v>4148</v>
      </c>
      <c r="C3050" s="8" t="s">
        <v>6252</v>
      </c>
      <c r="D3050" s="8" t="s">
        <v>6253</v>
      </c>
      <c r="E3050" s="13">
        <v>83200</v>
      </c>
      <c r="F3050" s="14">
        <v>166667</v>
      </c>
    </row>
    <row r="3051" spans="1:6" x14ac:dyDescent="0.3">
      <c r="A3051" s="8">
        <v>3049</v>
      </c>
      <c r="B3051" s="8" t="s">
        <v>4148</v>
      </c>
      <c r="C3051" s="8" t="s">
        <v>6254</v>
      </c>
      <c r="D3051" s="8" t="s">
        <v>6255</v>
      </c>
      <c r="E3051" s="13">
        <v>0</v>
      </c>
      <c r="F3051" s="14">
        <v>185000</v>
      </c>
    </row>
    <row r="3052" spans="1:6" x14ac:dyDescent="0.3">
      <c r="A3052" s="8">
        <v>3050</v>
      </c>
      <c r="B3052" s="8" t="s">
        <v>4148</v>
      </c>
      <c r="C3052" s="8" t="s">
        <v>6256</v>
      </c>
      <c r="D3052" s="8" t="s">
        <v>6257</v>
      </c>
      <c r="E3052" s="13">
        <v>171300</v>
      </c>
      <c r="F3052" s="14">
        <v>342593</v>
      </c>
    </row>
    <row r="3053" spans="1:6" x14ac:dyDescent="0.3">
      <c r="A3053" s="8">
        <v>3051</v>
      </c>
      <c r="B3053" s="8" t="s">
        <v>4148</v>
      </c>
      <c r="C3053" s="8" t="s">
        <v>6258</v>
      </c>
      <c r="D3053" s="8" t="s">
        <v>6259</v>
      </c>
      <c r="E3053" s="13">
        <v>0</v>
      </c>
      <c r="F3053" s="14">
        <v>0</v>
      </c>
    </row>
    <row r="3054" spans="1:6" x14ac:dyDescent="0.3">
      <c r="A3054" s="8">
        <v>3052</v>
      </c>
      <c r="B3054" s="8" t="s">
        <v>4148</v>
      </c>
      <c r="C3054" s="8" t="s">
        <v>6260</v>
      </c>
      <c r="D3054" s="8" t="s">
        <v>6261</v>
      </c>
      <c r="E3054" s="13">
        <v>0</v>
      </c>
      <c r="F3054" s="14">
        <v>0</v>
      </c>
    </row>
    <row r="3055" spans="1:6" x14ac:dyDescent="0.3">
      <c r="A3055" s="8">
        <v>3053</v>
      </c>
      <c r="B3055" s="8" t="s">
        <v>2792</v>
      </c>
      <c r="C3055" s="8" t="s">
        <v>6262</v>
      </c>
      <c r="D3055" s="8" t="s">
        <v>6263</v>
      </c>
      <c r="E3055" s="13">
        <v>0</v>
      </c>
      <c r="F3055" s="14">
        <v>0</v>
      </c>
    </row>
    <row r="3056" spans="1:6" x14ac:dyDescent="0.3">
      <c r="A3056" s="8">
        <v>3054</v>
      </c>
      <c r="B3056" s="8" t="s">
        <v>2792</v>
      </c>
      <c r="C3056" s="8" t="s">
        <v>6264</v>
      </c>
      <c r="D3056" s="8" t="s">
        <v>6265</v>
      </c>
      <c r="E3056" s="13">
        <v>2952000</v>
      </c>
      <c r="F3056" s="14">
        <v>5903704</v>
      </c>
    </row>
    <row r="3057" spans="1:6" x14ac:dyDescent="0.3">
      <c r="A3057" s="8">
        <v>3055</v>
      </c>
      <c r="B3057" s="8" t="s">
        <v>2792</v>
      </c>
      <c r="C3057" s="8" t="s">
        <v>6266</v>
      </c>
      <c r="D3057" s="8" t="s">
        <v>6267</v>
      </c>
      <c r="E3057" s="13">
        <v>0</v>
      </c>
      <c r="F3057" s="14">
        <v>0</v>
      </c>
    </row>
    <row r="3058" spans="1:6" x14ac:dyDescent="0.3">
      <c r="A3058" s="8">
        <v>3056</v>
      </c>
      <c r="B3058" s="8" t="s">
        <v>2792</v>
      </c>
      <c r="C3058" s="8" t="s">
        <v>6268</v>
      </c>
      <c r="D3058" s="8" t="s">
        <v>6269</v>
      </c>
      <c r="E3058" s="13">
        <v>0</v>
      </c>
      <c r="F3058" s="14">
        <v>0</v>
      </c>
    </row>
    <row r="3059" spans="1:6" x14ac:dyDescent="0.3">
      <c r="A3059" s="8">
        <v>3057</v>
      </c>
      <c r="B3059" s="8" t="s">
        <v>2792</v>
      </c>
      <c r="C3059" s="8" t="s">
        <v>6270</v>
      </c>
      <c r="D3059" s="8" t="s">
        <v>6271</v>
      </c>
      <c r="E3059" s="13">
        <v>0</v>
      </c>
      <c r="F3059" s="14">
        <v>0</v>
      </c>
    </row>
    <row r="3060" spans="1:6" x14ac:dyDescent="0.3">
      <c r="A3060" s="8">
        <v>3058</v>
      </c>
      <c r="B3060" s="8" t="s">
        <v>2792</v>
      </c>
      <c r="C3060" s="8" t="s">
        <v>6272</v>
      </c>
      <c r="D3060" s="8" t="s">
        <v>6273</v>
      </c>
      <c r="E3060" s="13">
        <v>0</v>
      </c>
      <c r="F3060" s="14">
        <v>0</v>
      </c>
    </row>
    <row r="3061" spans="1:6" x14ac:dyDescent="0.3">
      <c r="A3061" s="8">
        <v>3059</v>
      </c>
      <c r="B3061" s="8" t="s">
        <v>2792</v>
      </c>
      <c r="C3061" s="8" t="s">
        <v>6274</v>
      </c>
      <c r="D3061" s="8" t="s">
        <v>6275</v>
      </c>
      <c r="E3061" s="13">
        <v>0</v>
      </c>
      <c r="F3061" s="14">
        <v>0</v>
      </c>
    </row>
    <row r="3062" spans="1:6" x14ac:dyDescent="0.3">
      <c r="A3062" s="8">
        <v>3060</v>
      </c>
      <c r="B3062" s="8" t="s">
        <v>2792</v>
      </c>
      <c r="C3062" s="8" t="s">
        <v>6276</v>
      </c>
      <c r="D3062" s="8" t="s">
        <v>6277</v>
      </c>
      <c r="E3062" s="13">
        <v>0</v>
      </c>
      <c r="F3062" s="14">
        <v>1289815</v>
      </c>
    </row>
    <row r="3063" spans="1:6" x14ac:dyDescent="0.3">
      <c r="A3063" s="8">
        <v>3061</v>
      </c>
      <c r="B3063" s="8" t="s">
        <v>2792</v>
      </c>
      <c r="C3063" s="8" t="s">
        <v>6278</v>
      </c>
      <c r="D3063" s="8" t="s">
        <v>6279</v>
      </c>
      <c r="E3063" s="13">
        <v>0</v>
      </c>
      <c r="F3063" s="14">
        <v>0</v>
      </c>
    </row>
    <row r="3064" spans="1:6" x14ac:dyDescent="0.3">
      <c r="A3064" s="8">
        <v>3062</v>
      </c>
      <c r="B3064" s="8" t="s">
        <v>2792</v>
      </c>
      <c r="C3064" s="8" t="s">
        <v>6280</v>
      </c>
      <c r="D3064" s="8" t="s">
        <v>6281</v>
      </c>
      <c r="E3064" s="13">
        <v>676000</v>
      </c>
      <c r="F3064" s="14">
        <v>1351852</v>
      </c>
    </row>
    <row r="3065" spans="1:6" x14ac:dyDescent="0.3">
      <c r="A3065" s="8">
        <v>3063</v>
      </c>
      <c r="B3065" s="8" t="s">
        <v>2792</v>
      </c>
      <c r="C3065" s="8" t="s">
        <v>6282</v>
      </c>
      <c r="D3065" s="8" t="s">
        <v>6283</v>
      </c>
      <c r="E3065" s="13">
        <v>0</v>
      </c>
      <c r="F3065" s="14">
        <v>0</v>
      </c>
    </row>
    <row r="3066" spans="1:6" x14ac:dyDescent="0.3">
      <c r="A3066" s="8">
        <v>3064</v>
      </c>
      <c r="B3066" s="8" t="s">
        <v>2792</v>
      </c>
      <c r="C3066" s="8" t="s">
        <v>6284</v>
      </c>
      <c r="D3066" s="8" t="s">
        <v>6285</v>
      </c>
      <c r="E3066" s="13">
        <v>842000</v>
      </c>
      <c r="F3066" s="14">
        <v>1684259</v>
      </c>
    </row>
    <row r="3067" spans="1:6" x14ac:dyDescent="0.3">
      <c r="A3067" s="8">
        <v>3065</v>
      </c>
      <c r="B3067" s="8" t="s">
        <v>2792</v>
      </c>
      <c r="C3067" s="8" t="s">
        <v>6286</v>
      </c>
      <c r="D3067" s="8" t="s">
        <v>6287</v>
      </c>
      <c r="E3067" s="13">
        <v>0</v>
      </c>
      <c r="F3067" s="14">
        <v>0</v>
      </c>
    </row>
    <row r="3068" spans="1:6" x14ac:dyDescent="0.3">
      <c r="A3068" s="8">
        <v>3066</v>
      </c>
      <c r="B3068" s="8" t="s">
        <v>2792</v>
      </c>
      <c r="C3068" s="8" t="s">
        <v>6288</v>
      </c>
      <c r="D3068" s="8" t="s">
        <v>6289</v>
      </c>
      <c r="E3068" s="13">
        <v>0</v>
      </c>
      <c r="F3068" s="14">
        <v>0</v>
      </c>
    </row>
    <row r="3069" spans="1:6" x14ac:dyDescent="0.3">
      <c r="A3069" s="8">
        <v>3067</v>
      </c>
      <c r="B3069" s="8" t="s">
        <v>2792</v>
      </c>
      <c r="C3069" s="8" t="s">
        <v>6290</v>
      </c>
      <c r="D3069" s="8" t="s">
        <v>6291</v>
      </c>
      <c r="E3069" s="13">
        <v>0</v>
      </c>
      <c r="F3069" s="14">
        <v>0</v>
      </c>
    </row>
    <row r="3070" spans="1:6" x14ac:dyDescent="0.3">
      <c r="A3070" s="8">
        <v>3068</v>
      </c>
      <c r="B3070" s="8" t="s">
        <v>2792</v>
      </c>
      <c r="C3070" s="8" t="s">
        <v>6292</v>
      </c>
      <c r="D3070" s="8" t="s">
        <v>6293</v>
      </c>
      <c r="E3070" s="13">
        <v>0</v>
      </c>
      <c r="F3070" s="14">
        <v>0</v>
      </c>
    </row>
    <row r="3071" spans="1:6" x14ac:dyDescent="0.3">
      <c r="A3071" s="8">
        <v>3069</v>
      </c>
      <c r="B3071" s="8" t="s">
        <v>2792</v>
      </c>
      <c r="C3071" s="8" t="s">
        <v>6294</v>
      </c>
      <c r="D3071" s="8" t="s">
        <v>6295</v>
      </c>
      <c r="E3071" s="13">
        <v>0</v>
      </c>
      <c r="F3071" s="14">
        <v>0</v>
      </c>
    </row>
    <row r="3072" spans="1:6" x14ac:dyDescent="0.3">
      <c r="A3072" s="8">
        <v>3070</v>
      </c>
      <c r="B3072" s="8" t="s">
        <v>2792</v>
      </c>
      <c r="C3072" s="8" t="s">
        <v>6296</v>
      </c>
      <c r="D3072" s="8" t="s">
        <v>6297</v>
      </c>
      <c r="E3072" s="13">
        <v>0</v>
      </c>
      <c r="F3072" s="14">
        <v>0</v>
      </c>
    </row>
    <row r="3073" spans="1:6" x14ac:dyDescent="0.3">
      <c r="A3073" s="8">
        <v>3071</v>
      </c>
      <c r="B3073" s="8" t="s">
        <v>2792</v>
      </c>
      <c r="C3073" s="8" t="s">
        <v>6298</v>
      </c>
      <c r="D3073" s="8" t="s">
        <v>6299</v>
      </c>
      <c r="E3073" s="13">
        <v>0</v>
      </c>
      <c r="F3073" s="14">
        <v>0</v>
      </c>
    </row>
    <row r="3074" spans="1:6" x14ac:dyDescent="0.3">
      <c r="A3074" s="8">
        <v>3072</v>
      </c>
      <c r="B3074" s="8" t="s">
        <v>4148</v>
      </c>
      <c r="C3074" s="8" t="s">
        <v>6300</v>
      </c>
      <c r="D3074" s="8" t="s">
        <v>6301</v>
      </c>
      <c r="E3074" s="13">
        <v>41667</v>
      </c>
      <c r="F3074" s="14">
        <v>41667</v>
      </c>
    </row>
    <row r="3075" spans="1:6" x14ac:dyDescent="0.3">
      <c r="A3075" s="8">
        <v>3073</v>
      </c>
      <c r="B3075" s="8" t="s">
        <v>4148</v>
      </c>
      <c r="C3075" s="8" t="s">
        <v>6302</v>
      </c>
      <c r="D3075" s="8" t="s">
        <v>6303</v>
      </c>
      <c r="E3075" s="13">
        <v>82400</v>
      </c>
      <c r="F3075" s="14">
        <v>142000</v>
      </c>
    </row>
    <row r="3076" spans="1:6" x14ac:dyDescent="0.3">
      <c r="A3076" s="8">
        <v>3074</v>
      </c>
      <c r="B3076" s="8" t="s">
        <v>4148</v>
      </c>
      <c r="C3076" s="8" t="s">
        <v>6304</v>
      </c>
      <c r="D3076" s="8" t="s">
        <v>6305</v>
      </c>
      <c r="E3076" s="13">
        <v>64400</v>
      </c>
      <c r="F3076" s="14">
        <v>128000</v>
      </c>
    </row>
    <row r="3077" spans="1:6" x14ac:dyDescent="0.3">
      <c r="A3077" s="8">
        <v>3075</v>
      </c>
      <c r="B3077" s="8" t="s">
        <v>4148</v>
      </c>
      <c r="C3077" s="8" t="s">
        <v>6306</v>
      </c>
      <c r="D3077" s="8" t="s">
        <v>6307</v>
      </c>
      <c r="E3077" s="13">
        <v>64400</v>
      </c>
      <c r="F3077" s="14">
        <v>128000</v>
      </c>
    </row>
    <row r="3078" spans="1:6" x14ac:dyDescent="0.3">
      <c r="A3078" s="8">
        <v>3076</v>
      </c>
      <c r="B3078" s="8" t="s">
        <v>4148</v>
      </c>
      <c r="C3078" s="8" t="s">
        <v>6308</v>
      </c>
      <c r="D3078" s="8" t="s">
        <v>6309</v>
      </c>
      <c r="E3078" s="13">
        <v>51300</v>
      </c>
      <c r="F3078" s="14">
        <v>112000</v>
      </c>
    </row>
    <row r="3079" spans="1:6" x14ac:dyDescent="0.3">
      <c r="A3079" s="8">
        <v>3077</v>
      </c>
      <c r="B3079" s="8" t="s">
        <v>4148</v>
      </c>
      <c r="C3079" s="8" t="s">
        <v>6310</v>
      </c>
      <c r="D3079" s="8" t="s">
        <v>6311</v>
      </c>
      <c r="E3079" s="13">
        <v>89590</v>
      </c>
      <c r="F3079" s="14">
        <v>168000</v>
      </c>
    </row>
    <row r="3080" spans="1:6" x14ac:dyDescent="0.3">
      <c r="A3080" s="8">
        <v>3078</v>
      </c>
      <c r="B3080" s="8" t="s">
        <v>4148</v>
      </c>
      <c r="C3080" s="8" t="s">
        <v>6312</v>
      </c>
      <c r="D3080" s="8" t="s">
        <v>6313</v>
      </c>
      <c r="E3080" s="13">
        <v>93000</v>
      </c>
      <c r="F3080" s="14">
        <v>203636</v>
      </c>
    </row>
    <row r="3081" spans="1:6" x14ac:dyDescent="0.3">
      <c r="A3081" s="8">
        <v>3079</v>
      </c>
      <c r="B3081" s="8" t="s">
        <v>4148</v>
      </c>
      <c r="C3081" s="8" t="s">
        <v>6314</v>
      </c>
      <c r="D3081" s="8" t="s">
        <v>6315</v>
      </c>
      <c r="E3081" s="13">
        <v>0</v>
      </c>
      <c r="F3081" s="14">
        <v>0</v>
      </c>
    </row>
    <row r="3082" spans="1:6" x14ac:dyDescent="0.3">
      <c r="A3082" s="8">
        <v>3080</v>
      </c>
      <c r="B3082" s="8" t="s">
        <v>4148</v>
      </c>
      <c r="C3082" s="8" t="s">
        <v>6316</v>
      </c>
      <c r="D3082" s="8" t="s">
        <v>6317</v>
      </c>
      <c r="E3082" s="13">
        <v>0</v>
      </c>
      <c r="F3082" s="14">
        <v>0</v>
      </c>
    </row>
    <row r="3083" spans="1:6" x14ac:dyDescent="0.3">
      <c r="A3083" s="8">
        <v>3081</v>
      </c>
      <c r="B3083" s="8" t="s">
        <v>4148</v>
      </c>
      <c r="C3083" s="8" t="s">
        <v>6318</v>
      </c>
      <c r="D3083" s="8" t="s">
        <v>6319</v>
      </c>
      <c r="E3083" s="13">
        <v>0</v>
      </c>
      <c r="F3083" s="14">
        <v>0</v>
      </c>
    </row>
    <row r="3084" spans="1:6" x14ac:dyDescent="0.3">
      <c r="A3084" s="8">
        <v>3082</v>
      </c>
      <c r="B3084" s="8" t="s">
        <v>4148</v>
      </c>
      <c r="C3084" s="8" t="s">
        <v>6320</v>
      </c>
      <c r="D3084" s="8" t="s">
        <v>6321</v>
      </c>
      <c r="E3084" s="13">
        <v>72700</v>
      </c>
      <c r="F3084" s="14">
        <v>145370</v>
      </c>
    </row>
    <row r="3085" spans="1:6" x14ac:dyDescent="0.3">
      <c r="A3085" s="8">
        <v>3083</v>
      </c>
      <c r="B3085" s="8" t="s">
        <v>4148</v>
      </c>
      <c r="C3085" s="8" t="s">
        <v>6322</v>
      </c>
      <c r="D3085" s="8" t="s">
        <v>6323</v>
      </c>
      <c r="E3085" s="13">
        <v>97200</v>
      </c>
      <c r="F3085" s="14">
        <v>194444</v>
      </c>
    </row>
    <row r="3086" spans="1:6" x14ac:dyDescent="0.3">
      <c r="A3086" s="8">
        <v>3084</v>
      </c>
      <c r="B3086" s="8" t="s">
        <v>4148</v>
      </c>
      <c r="C3086" s="8" t="s">
        <v>6324</v>
      </c>
      <c r="D3086" s="8" t="s">
        <v>6325</v>
      </c>
      <c r="E3086" s="13">
        <v>70100</v>
      </c>
      <c r="F3086" s="14">
        <v>139815</v>
      </c>
    </row>
    <row r="3087" spans="1:6" x14ac:dyDescent="0.3">
      <c r="A3087" s="8">
        <v>3085</v>
      </c>
      <c r="B3087" s="8" t="s">
        <v>4148</v>
      </c>
      <c r="C3087" s="8" t="s">
        <v>6326</v>
      </c>
      <c r="D3087" s="8" t="s">
        <v>6327</v>
      </c>
      <c r="E3087" s="13">
        <v>178000</v>
      </c>
      <c r="F3087" s="14">
        <v>355556</v>
      </c>
    </row>
    <row r="3088" spans="1:6" x14ac:dyDescent="0.3">
      <c r="A3088" s="8">
        <v>3086</v>
      </c>
      <c r="B3088" s="8" t="s">
        <v>4148</v>
      </c>
      <c r="C3088" s="8" t="s">
        <v>6328</v>
      </c>
      <c r="D3088" s="8" t="s">
        <v>6329</v>
      </c>
      <c r="E3088" s="13">
        <v>0</v>
      </c>
      <c r="F3088" s="14">
        <v>0</v>
      </c>
    </row>
    <row r="3089" spans="1:6" x14ac:dyDescent="0.3">
      <c r="A3089" s="8">
        <v>3087</v>
      </c>
      <c r="B3089" s="8" t="s">
        <v>4148</v>
      </c>
      <c r="C3089" s="8" t="s">
        <v>6330</v>
      </c>
      <c r="D3089" s="8" t="s">
        <v>6331</v>
      </c>
      <c r="E3089" s="13">
        <v>94600</v>
      </c>
      <c r="F3089" s="14">
        <v>188889</v>
      </c>
    </row>
    <row r="3090" spans="1:6" x14ac:dyDescent="0.3">
      <c r="A3090" s="8">
        <v>3088</v>
      </c>
      <c r="B3090" s="8" t="s">
        <v>4148</v>
      </c>
      <c r="C3090" s="8" t="s">
        <v>6332</v>
      </c>
      <c r="D3090" s="8" t="s">
        <v>6333</v>
      </c>
      <c r="E3090" s="13">
        <v>71000</v>
      </c>
      <c r="F3090" s="14">
        <v>158333</v>
      </c>
    </row>
    <row r="3091" spans="1:6" x14ac:dyDescent="0.3">
      <c r="A3091" s="8">
        <v>3089</v>
      </c>
      <c r="B3091" s="8" t="s">
        <v>4148</v>
      </c>
      <c r="C3091" s="8" t="s">
        <v>6334</v>
      </c>
      <c r="D3091" s="8" t="s">
        <v>6335</v>
      </c>
      <c r="E3091" s="13">
        <v>71000</v>
      </c>
      <c r="F3091" s="14">
        <v>158333</v>
      </c>
    </row>
    <row r="3092" spans="1:6" x14ac:dyDescent="0.3">
      <c r="A3092" s="8">
        <v>3090</v>
      </c>
      <c r="B3092" s="8" t="s">
        <v>4148</v>
      </c>
      <c r="C3092" s="8" t="s">
        <v>6336</v>
      </c>
      <c r="D3092" s="8" t="s">
        <v>6337</v>
      </c>
      <c r="E3092" s="13">
        <v>54400</v>
      </c>
      <c r="F3092" s="14">
        <v>122222</v>
      </c>
    </row>
    <row r="3093" spans="1:6" x14ac:dyDescent="0.3">
      <c r="A3093" s="8">
        <v>3091</v>
      </c>
      <c r="B3093" s="8" t="s">
        <v>4148</v>
      </c>
      <c r="C3093" s="8" t="s">
        <v>6338</v>
      </c>
      <c r="D3093" s="8" t="s">
        <v>6339</v>
      </c>
      <c r="E3093" s="13">
        <v>57400</v>
      </c>
      <c r="F3093" s="14">
        <v>114815</v>
      </c>
    </row>
    <row r="3094" spans="1:6" x14ac:dyDescent="0.3">
      <c r="A3094" s="8">
        <v>3092</v>
      </c>
      <c r="B3094" s="8" t="s">
        <v>4148</v>
      </c>
      <c r="C3094" s="8" t="s">
        <v>6340</v>
      </c>
      <c r="D3094" s="8" t="s">
        <v>6341</v>
      </c>
      <c r="E3094" s="13">
        <v>83200</v>
      </c>
      <c r="F3094" s="14">
        <v>166667</v>
      </c>
    </row>
    <row r="3095" spans="1:6" x14ac:dyDescent="0.3">
      <c r="A3095" s="8">
        <v>3093</v>
      </c>
      <c r="B3095" s="8" t="s">
        <v>4148</v>
      </c>
      <c r="C3095" s="8" t="s">
        <v>6342</v>
      </c>
      <c r="D3095" s="8" t="s">
        <v>6343</v>
      </c>
      <c r="E3095" s="13">
        <v>70100</v>
      </c>
      <c r="F3095" s="14">
        <v>139815</v>
      </c>
    </row>
    <row r="3096" spans="1:6" x14ac:dyDescent="0.3">
      <c r="A3096" s="8">
        <v>3094</v>
      </c>
      <c r="B3096" s="8" t="s">
        <v>4148</v>
      </c>
      <c r="C3096" s="8" t="s">
        <v>6344</v>
      </c>
      <c r="D3096" s="8" t="s">
        <v>6345</v>
      </c>
      <c r="E3096" s="13">
        <v>79500</v>
      </c>
      <c r="F3096" s="14">
        <v>159259</v>
      </c>
    </row>
    <row r="3097" spans="1:6" x14ac:dyDescent="0.3">
      <c r="A3097" s="8">
        <v>3095</v>
      </c>
      <c r="B3097" s="8" t="s">
        <v>4148</v>
      </c>
      <c r="C3097" s="8" t="s">
        <v>6346</v>
      </c>
      <c r="D3097" s="8" t="s">
        <v>6347</v>
      </c>
      <c r="E3097" s="13">
        <v>0</v>
      </c>
      <c r="F3097" s="14">
        <v>0</v>
      </c>
    </row>
    <row r="3098" spans="1:6" x14ac:dyDescent="0.3">
      <c r="A3098" s="8">
        <v>3096</v>
      </c>
      <c r="B3098" s="8" t="s">
        <v>4148</v>
      </c>
      <c r="C3098" s="8" t="s">
        <v>6348</v>
      </c>
      <c r="D3098" s="8" t="s">
        <v>6349</v>
      </c>
      <c r="E3098" s="13">
        <v>0</v>
      </c>
      <c r="F3098" s="14">
        <v>0</v>
      </c>
    </row>
    <row r="3099" spans="1:6" x14ac:dyDescent="0.3">
      <c r="A3099" s="8">
        <v>3097</v>
      </c>
      <c r="B3099" s="8" t="s">
        <v>4148</v>
      </c>
      <c r="C3099" s="8" t="s">
        <v>6350</v>
      </c>
      <c r="D3099" s="8" t="s">
        <v>6351</v>
      </c>
      <c r="E3099" s="13">
        <v>0</v>
      </c>
      <c r="F3099" s="14">
        <v>0</v>
      </c>
    </row>
    <row r="3100" spans="1:6" x14ac:dyDescent="0.3">
      <c r="A3100" s="8">
        <v>3098</v>
      </c>
      <c r="B3100" s="8" t="s">
        <v>4148</v>
      </c>
      <c r="C3100" s="8" t="s">
        <v>6352</v>
      </c>
      <c r="D3100" s="8" t="s">
        <v>6353</v>
      </c>
      <c r="E3100" s="13">
        <v>0</v>
      </c>
      <c r="F3100" s="14">
        <v>0</v>
      </c>
    </row>
    <row r="3101" spans="1:6" x14ac:dyDescent="0.3">
      <c r="A3101" s="8">
        <v>3099</v>
      </c>
      <c r="B3101" s="8" t="s">
        <v>4148</v>
      </c>
      <c r="C3101" s="8" t="s">
        <v>6354</v>
      </c>
      <c r="D3101" s="8" t="s">
        <v>6355</v>
      </c>
      <c r="E3101" s="13">
        <v>65500</v>
      </c>
      <c r="F3101" s="14">
        <v>130556</v>
      </c>
    </row>
    <row r="3102" spans="1:6" x14ac:dyDescent="0.3">
      <c r="A3102" s="8">
        <v>3100</v>
      </c>
      <c r="B3102" s="8" t="s">
        <v>4148</v>
      </c>
      <c r="C3102" s="8" t="s">
        <v>6356</v>
      </c>
      <c r="D3102" s="8" t="s">
        <v>6357</v>
      </c>
      <c r="E3102" s="13">
        <v>0</v>
      </c>
      <c r="F3102" s="14">
        <v>0</v>
      </c>
    </row>
    <row r="3103" spans="1:6" x14ac:dyDescent="0.3">
      <c r="A3103" s="8">
        <v>3101</v>
      </c>
      <c r="B3103" s="8" t="s">
        <v>4148</v>
      </c>
      <c r="C3103" s="8" t="s">
        <v>6358</v>
      </c>
      <c r="D3103" s="8" t="s">
        <v>6359</v>
      </c>
      <c r="E3103" s="13">
        <v>0</v>
      </c>
      <c r="F3103" s="14">
        <v>0</v>
      </c>
    </row>
    <row r="3104" spans="1:6" x14ac:dyDescent="0.3">
      <c r="A3104" s="8">
        <v>3102</v>
      </c>
      <c r="B3104" s="8" t="s">
        <v>4148</v>
      </c>
      <c r="C3104" s="8" t="s">
        <v>6360</v>
      </c>
      <c r="D3104" s="8" t="s">
        <v>6361</v>
      </c>
      <c r="E3104" s="13">
        <v>0</v>
      </c>
      <c r="F3104" s="14">
        <v>0</v>
      </c>
    </row>
    <row r="3105" spans="1:6" x14ac:dyDescent="0.3">
      <c r="A3105" s="8">
        <v>3103</v>
      </c>
      <c r="B3105" s="8" t="s">
        <v>4148</v>
      </c>
      <c r="C3105" s="8" t="s">
        <v>6362</v>
      </c>
      <c r="D3105" s="8" t="s">
        <v>6363</v>
      </c>
      <c r="E3105" s="13">
        <v>69200</v>
      </c>
      <c r="F3105" s="14">
        <v>137963</v>
      </c>
    </row>
    <row r="3106" spans="1:6" x14ac:dyDescent="0.3">
      <c r="A3106" s="8">
        <v>3104</v>
      </c>
      <c r="B3106" s="8" t="s">
        <v>4148</v>
      </c>
      <c r="C3106" s="8" t="s">
        <v>6364</v>
      </c>
      <c r="D3106" s="8" t="s">
        <v>6365</v>
      </c>
      <c r="E3106" s="13">
        <v>0</v>
      </c>
      <c r="F3106" s="14">
        <v>0</v>
      </c>
    </row>
    <row r="3107" spans="1:6" x14ac:dyDescent="0.3">
      <c r="A3107" s="8">
        <v>3105</v>
      </c>
      <c r="B3107" s="8" t="s">
        <v>4148</v>
      </c>
      <c r="C3107" s="8" t="s">
        <v>6366</v>
      </c>
      <c r="D3107" s="8" t="s">
        <v>6367</v>
      </c>
      <c r="E3107" s="13">
        <v>0</v>
      </c>
      <c r="F3107" s="14">
        <v>0</v>
      </c>
    </row>
    <row r="3108" spans="1:6" x14ac:dyDescent="0.3">
      <c r="A3108" s="8">
        <v>3106</v>
      </c>
      <c r="B3108" s="8" t="s">
        <v>4148</v>
      </c>
      <c r="C3108" s="8" t="s">
        <v>6368</v>
      </c>
      <c r="D3108" s="8" t="s">
        <v>6369</v>
      </c>
      <c r="E3108" s="13">
        <v>0</v>
      </c>
      <c r="F3108" s="14">
        <v>0</v>
      </c>
    </row>
    <row r="3109" spans="1:6" x14ac:dyDescent="0.3">
      <c r="A3109" s="8">
        <v>3107</v>
      </c>
      <c r="B3109" s="8" t="s">
        <v>4148</v>
      </c>
      <c r="C3109" s="8" t="s">
        <v>6370</v>
      </c>
      <c r="D3109" s="8" t="s">
        <v>6371</v>
      </c>
      <c r="E3109" s="13">
        <v>0</v>
      </c>
      <c r="F3109" s="14">
        <v>0</v>
      </c>
    </row>
    <row r="3110" spans="1:6" x14ac:dyDescent="0.3">
      <c r="A3110" s="8">
        <v>3108</v>
      </c>
      <c r="B3110" s="8" t="s">
        <v>4148</v>
      </c>
      <c r="C3110" s="8" t="s">
        <v>6372</v>
      </c>
      <c r="D3110" s="8" t="s">
        <v>6373</v>
      </c>
      <c r="E3110" s="13">
        <v>0</v>
      </c>
      <c r="F3110" s="14">
        <v>0</v>
      </c>
    </row>
    <row r="3111" spans="1:6" x14ac:dyDescent="0.3">
      <c r="A3111" s="8">
        <v>3109</v>
      </c>
      <c r="B3111" s="8" t="s">
        <v>4148</v>
      </c>
      <c r="C3111" s="8" t="s">
        <v>6374</v>
      </c>
      <c r="D3111" s="8" t="s">
        <v>6375</v>
      </c>
      <c r="E3111" s="13">
        <v>0</v>
      </c>
      <c r="F3111" s="14">
        <v>0</v>
      </c>
    </row>
    <row r="3112" spans="1:6" x14ac:dyDescent="0.3">
      <c r="A3112" s="8">
        <v>3110</v>
      </c>
      <c r="B3112" s="8" t="s">
        <v>4148</v>
      </c>
      <c r="C3112" s="8" t="s">
        <v>6376</v>
      </c>
      <c r="D3112" s="8" t="s">
        <v>6377</v>
      </c>
      <c r="E3112" s="13">
        <v>0</v>
      </c>
      <c r="F3112" s="14">
        <v>226852</v>
      </c>
    </row>
    <row r="3113" spans="1:6" x14ac:dyDescent="0.3">
      <c r="A3113" s="8">
        <v>3111</v>
      </c>
      <c r="B3113" s="8" t="s">
        <v>6022</v>
      </c>
      <c r="C3113" s="8" t="s">
        <v>6378</v>
      </c>
      <c r="D3113" s="8" t="s">
        <v>6379</v>
      </c>
      <c r="E3113" s="13">
        <v>0</v>
      </c>
      <c r="F3113" s="14">
        <v>0</v>
      </c>
    </row>
    <row r="3114" spans="1:6" x14ac:dyDescent="0.3">
      <c r="A3114" s="8">
        <v>3112</v>
      </c>
      <c r="B3114" s="8" t="s">
        <v>6022</v>
      </c>
      <c r="C3114" s="8" t="s">
        <v>6380</v>
      </c>
      <c r="D3114" s="8" t="s">
        <v>6381</v>
      </c>
      <c r="E3114" s="13">
        <v>0</v>
      </c>
      <c r="F3114" s="14">
        <v>0</v>
      </c>
    </row>
    <row r="3115" spans="1:6" x14ac:dyDescent="0.3">
      <c r="A3115" s="8">
        <v>3113</v>
      </c>
      <c r="B3115" s="8" t="s">
        <v>6029</v>
      </c>
      <c r="C3115" s="8" t="s">
        <v>6382</v>
      </c>
      <c r="D3115" s="8" t="s">
        <v>6383</v>
      </c>
      <c r="E3115" s="13">
        <v>121000</v>
      </c>
      <c r="F3115" s="14">
        <v>241667</v>
      </c>
    </row>
    <row r="3116" spans="1:6" x14ac:dyDescent="0.3">
      <c r="A3116" s="8">
        <v>3114</v>
      </c>
      <c r="B3116" s="8" t="s">
        <v>6029</v>
      </c>
      <c r="C3116" s="8" t="s">
        <v>6384</v>
      </c>
      <c r="D3116" s="8" t="s">
        <v>6385</v>
      </c>
      <c r="E3116" s="13">
        <v>123000</v>
      </c>
      <c r="F3116" s="14">
        <v>246296</v>
      </c>
    </row>
    <row r="3117" spans="1:6" x14ac:dyDescent="0.3">
      <c r="A3117" s="8">
        <v>3115</v>
      </c>
      <c r="B3117" s="8" t="s">
        <v>6029</v>
      </c>
      <c r="C3117" s="8" t="s">
        <v>6386</v>
      </c>
      <c r="D3117" s="8" t="s">
        <v>6387</v>
      </c>
      <c r="E3117" s="13">
        <v>122100</v>
      </c>
      <c r="F3117" s="14">
        <v>220000</v>
      </c>
    </row>
    <row r="3118" spans="1:6" x14ac:dyDescent="0.3">
      <c r="A3118" s="8">
        <v>3116</v>
      </c>
      <c r="B3118" s="8" t="s">
        <v>6022</v>
      </c>
      <c r="C3118" s="8" t="s">
        <v>6388</v>
      </c>
      <c r="D3118" s="8" t="s">
        <v>6389</v>
      </c>
      <c r="E3118" s="13">
        <v>170000</v>
      </c>
      <c r="F3118" s="14">
        <v>339815</v>
      </c>
    </row>
    <row r="3119" spans="1:6" x14ac:dyDescent="0.3">
      <c r="A3119" s="8">
        <v>3117</v>
      </c>
      <c r="B3119" s="8" t="s">
        <v>6022</v>
      </c>
      <c r="C3119" s="8" t="s">
        <v>6390</v>
      </c>
      <c r="D3119" s="8" t="s">
        <v>6391</v>
      </c>
      <c r="E3119" s="13">
        <v>121000</v>
      </c>
      <c r="F3119" s="14">
        <v>241667</v>
      </c>
    </row>
    <row r="3120" spans="1:6" x14ac:dyDescent="0.3">
      <c r="A3120" s="8">
        <v>3118</v>
      </c>
      <c r="B3120" s="8" t="s">
        <v>6029</v>
      </c>
      <c r="C3120" s="8" t="s">
        <v>6392</v>
      </c>
      <c r="D3120" s="8" t="s">
        <v>6393</v>
      </c>
      <c r="E3120" s="13">
        <v>156600</v>
      </c>
      <c r="F3120" s="14">
        <v>282000</v>
      </c>
    </row>
    <row r="3121" spans="1:6" x14ac:dyDescent="0.3">
      <c r="A3121" s="8">
        <v>3119</v>
      </c>
      <c r="B3121" s="8" t="s">
        <v>6029</v>
      </c>
      <c r="C3121" s="8" t="s">
        <v>6394</v>
      </c>
      <c r="D3121" s="8" t="s">
        <v>6395</v>
      </c>
      <c r="E3121" s="13">
        <v>161000</v>
      </c>
      <c r="F3121" s="14">
        <v>322222</v>
      </c>
    </row>
    <row r="3122" spans="1:6" x14ac:dyDescent="0.3">
      <c r="A3122" s="8">
        <v>3120</v>
      </c>
      <c r="B3122" s="8" t="s">
        <v>6029</v>
      </c>
      <c r="C3122" s="8" t="s">
        <v>6396</v>
      </c>
      <c r="D3122" s="8" t="s">
        <v>6397</v>
      </c>
      <c r="E3122" s="13">
        <v>185000</v>
      </c>
      <c r="F3122" s="14">
        <v>370000</v>
      </c>
    </row>
    <row r="3123" spans="1:6" x14ac:dyDescent="0.3">
      <c r="A3123" s="8">
        <v>3121</v>
      </c>
      <c r="B3123" s="8" t="s">
        <v>6029</v>
      </c>
      <c r="C3123" s="8" t="s">
        <v>6398</v>
      </c>
      <c r="D3123" s="8" t="s">
        <v>6399</v>
      </c>
      <c r="E3123" s="13">
        <v>203000</v>
      </c>
      <c r="F3123" s="14">
        <v>406000</v>
      </c>
    </row>
    <row r="3124" spans="1:6" x14ac:dyDescent="0.3">
      <c r="A3124" s="8">
        <v>3122</v>
      </c>
      <c r="B3124" s="8" t="s">
        <v>6022</v>
      </c>
      <c r="C3124" s="8" t="s">
        <v>6400</v>
      </c>
      <c r="D3124" s="8" t="s">
        <v>6401</v>
      </c>
      <c r="E3124" s="13">
        <v>150000</v>
      </c>
      <c r="F3124" s="14">
        <v>250000</v>
      </c>
    </row>
    <row r="3125" spans="1:6" x14ac:dyDescent="0.3">
      <c r="A3125" s="8">
        <v>3123</v>
      </c>
      <c r="B3125" s="8" t="s">
        <v>4148</v>
      </c>
      <c r="C3125" s="8" t="s">
        <v>6402</v>
      </c>
      <c r="D3125" s="8" t="s">
        <v>6403</v>
      </c>
      <c r="E3125" s="13">
        <v>54400</v>
      </c>
      <c r="F3125" s="14">
        <v>122222</v>
      </c>
    </row>
    <row r="3126" spans="1:6" x14ac:dyDescent="0.3">
      <c r="A3126" s="8">
        <v>3124</v>
      </c>
      <c r="B3126" s="8" t="s">
        <v>4148</v>
      </c>
      <c r="C3126" s="8" t="s">
        <v>6404</v>
      </c>
      <c r="D3126" s="8" t="s">
        <v>6405</v>
      </c>
      <c r="E3126" s="13">
        <v>0</v>
      </c>
      <c r="F3126" s="14">
        <v>156000</v>
      </c>
    </row>
    <row r="3127" spans="1:6" x14ac:dyDescent="0.3">
      <c r="A3127" s="8">
        <v>3125</v>
      </c>
      <c r="B3127" s="8" t="s">
        <v>4148</v>
      </c>
      <c r="C3127" s="8" t="s">
        <v>6406</v>
      </c>
      <c r="D3127" s="8" t="s">
        <v>6407</v>
      </c>
      <c r="E3127" s="13">
        <v>70100</v>
      </c>
      <c r="F3127" s="14">
        <v>139815</v>
      </c>
    </row>
    <row r="3128" spans="1:6" x14ac:dyDescent="0.3">
      <c r="A3128" s="8">
        <v>3126</v>
      </c>
      <c r="B3128" s="8" t="s">
        <v>4148</v>
      </c>
      <c r="C3128" s="8" t="s">
        <v>6408</v>
      </c>
      <c r="D3128" s="8" t="s">
        <v>6409</v>
      </c>
      <c r="E3128" s="13">
        <v>83200</v>
      </c>
      <c r="F3128" s="14">
        <v>166667</v>
      </c>
    </row>
    <row r="3129" spans="1:6" x14ac:dyDescent="0.3">
      <c r="A3129" s="8">
        <v>3127</v>
      </c>
      <c r="B3129" s="8" t="s">
        <v>4148</v>
      </c>
      <c r="C3129" s="8" t="s">
        <v>6410</v>
      </c>
      <c r="D3129" s="8" t="s">
        <v>6411</v>
      </c>
      <c r="E3129" s="13">
        <v>83200</v>
      </c>
      <c r="F3129" s="14">
        <v>166667</v>
      </c>
    </row>
    <row r="3130" spans="1:6" x14ac:dyDescent="0.3">
      <c r="A3130" s="8">
        <v>3128</v>
      </c>
      <c r="B3130" s="8" t="s">
        <v>4148</v>
      </c>
      <c r="C3130" s="8" t="s">
        <v>6412</v>
      </c>
      <c r="D3130" s="8" t="s">
        <v>6413</v>
      </c>
      <c r="E3130" s="13">
        <v>79500</v>
      </c>
      <c r="F3130" s="14">
        <v>159259</v>
      </c>
    </row>
    <row r="3131" spans="1:6" x14ac:dyDescent="0.3">
      <c r="A3131" s="8">
        <v>3129</v>
      </c>
      <c r="B3131" s="8" t="s">
        <v>4148</v>
      </c>
      <c r="C3131" s="8" t="s">
        <v>6414</v>
      </c>
      <c r="D3131" s="8" t="s">
        <v>6415</v>
      </c>
      <c r="E3131" s="13">
        <v>82400</v>
      </c>
      <c r="F3131" s="14">
        <v>185185</v>
      </c>
    </row>
    <row r="3132" spans="1:6" x14ac:dyDescent="0.3">
      <c r="A3132" s="8">
        <v>3130</v>
      </c>
      <c r="B3132" s="8" t="s">
        <v>4148</v>
      </c>
      <c r="C3132" s="8" t="s">
        <v>6416</v>
      </c>
      <c r="D3132" s="8" t="s">
        <v>6417</v>
      </c>
      <c r="E3132" s="13">
        <v>70100</v>
      </c>
      <c r="F3132" s="14">
        <v>156481</v>
      </c>
    </row>
    <row r="3133" spans="1:6" x14ac:dyDescent="0.3">
      <c r="A3133" s="8">
        <v>3131</v>
      </c>
      <c r="B3133" s="8" t="s">
        <v>4148</v>
      </c>
      <c r="C3133" s="8" t="s">
        <v>6418</v>
      </c>
      <c r="D3133" s="8" t="s">
        <v>6419</v>
      </c>
      <c r="E3133" s="13">
        <v>0</v>
      </c>
      <c r="F3133" s="14">
        <v>129630</v>
      </c>
    </row>
    <row r="3134" spans="1:6" x14ac:dyDescent="0.3">
      <c r="A3134" s="8">
        <v>3132</v>
      </c>
      <c r="B3134" s="8" t="s">
        <v>4148</v>
      </c>
      <c r="C3134" s="8" t="s">
        <v>6420</v>
      </c>
      <c r="D3134" s="8" t="s">
        <v>6421</v>
      </c>
      <c r="E3134" s="13">
        <v>48500</v>
      </c>
      <c r="F3134" s="14">
        <v>97037</v>
      </c>
    </row>
    <row r="3135" spans="1:6" x14ac:dyDescent="0.3">
      <c r="A3135" s="8">
        <v>3133</v>
      </c>
      <c r="B3135" s="8" t="s">
        <v>4148</v>
      </c>
      <c r="C3135" s="8" t="s">
        <v>6422</v>
      </c>
      <c r="D3135" s="8" t="s">
        <v>6423</v>
      </c>
      <c r="E3135" s="13">
        <v>81200</v>
      </c>
      <c r="F3135" s="14">
        <v>162037</v>
      </c>
    </row>
    <row r="3136" spans="1:6" x14ac:dyDescent="0.3">
      <c r="A3136" s="8">
        <v>3134</v>
      </c>
      <c r="B3136" s="8" t="s">
        <v>4148</v>
      </c>
      <c r="C3136" s="8" t="s">
        <v>6424</v>
      </c>
      <c r="D3136" s="8" t="s">
        <v>6425</v>
      </c>
      <c r="E3136" s="13">
        <v>57400</v>
      </c>
      <c r="F3136" s="14">
        <v>114815</v>
      </c>
    </row>
    <row r="3137" spans="1:6" x14ac:dyDescent="0.3">
      <c r="A3137" s="8">
        <v>3135</v>
      </c>
      <c r="B3137" s="8" t="s">
        <v>4148</v>
      </c>
      <c r="C3137" s="8" t="s">
        <v>6426</v>
      </c>
      <c r="D3137" s="8" t="s">
        <v>6427</v>
      </c>
      <c r="E3137" s="13">
        <v>88000</v>
      </c>
      <c r="F3137" s="14">
        <v>175926</v>
      </c>
    </row>
    <row r="3138" spans="1:6" x14ac:dyDescent="0.3">
      <c r="A3138" s="8">
        <v>3136</v>
      </c>
      <c r="B3138" s="8" t="s">
        <v>4148</v>
      </c>
      <c r="C3138" s="8" t="s">
        <v>6428</v>
      </c>
      <c r="D3138" s="8" t="s">
        <v>6429</v>
      </c>
      <c r="E3138" s="13">
        <v>0</v>
      </c>
      <c r="F3138" s="14">
        <v>0</v>
      </c>
    </row>
    <row r="3139" spans="1:6" x14ac:dyDescent="0.3">
      <c r="A3139" s="8">
        <v>3137</v>
      </c>
      <c r="B3139" s="8" t="s">
        <v>4148</v>
      </c>
      <c r="C3139" s="8" t="s">
        <v>6430</v>
      </c>
      <c r="D3139" s="8" t="s">
        <v>6431</v>
      </c>
      <c r="E3139" s="13">
        <v>171300</v>
      </c>
      <c r="F3139" s="14">
        <v>342593</v>
      </c>
    </row>
    <row r="3140" spans="1:6" x14ac:dyDescent="0.3">
      <c r="A3140" s="8">
        <v>3138</v>
      </c>
      <c r="B3140" s="8" t="s">
        <v>4148</v>
      </c>
      <c r="C3140" s="8" t="s">
        <v>6432</v>
      </c>
      <c r="D3140" s="8" t="s">
        <v>6433</v>
      </c>
      <c r="E3140" s="13">
        <v>0</v>
      </c>
      <c r="F3140" s="14">
        <v>589815</v>
      </c>
    </row>
    <row r="3141" spans="1:6" x14ac:dyDescent="0.3">
      <c r="A3141" s="8">
        <v>3139</v>
      </c>
      <c r="B3141" s="8" t="s">
        <v>4148</v>
      </c>
      <c r="C3141" s="8" t="s">
        <v>6434</v>
      </c>
      <c r="D3141" s="8" t="s">
        <v>6435</v>
      </c>
      <c r="E3141" s="13">
        <v>0</v>
      </c>
      <c r="F3141" s="14">
        <v>0</v>
      </c>
    </row>
    <row r="3142" spans="1:6" x14ac:dyDescent="0.3">
      <c r="A3142" s="8">
        <v>3140</v>
      </c>
      <c r="B3142" s="8" t="s">
        <v>4148</v>
      </c>
      <c r="C3142" s="8" t="s">
        <v>6436</v>
      </c>
      <c r="D3142" s="8" t="s">
        <v>6437</v>
      </c>
      <c r="E3142" s="13">
        <v>0</v>
      </c>
      <c r="F3142" s="14">
        <v>0</v>
      </c>
    </row>
    <row r="3143" spans="1:6" x14ac:dyDescent="0.3">
      <c r="A3143" s="8">
        <v>3141</v>
      </c>
      <c r="B3143" s="8" t="s">
        <v>4148</v>
      </c>
      <c r="C3143" s="8" t="s">
        <v>6438</v>
      </c>
      <c r="D3143" s="8" t="s">
        <v>6439</v>
      </c>
      <c r="E3143" s="13">
        <v>0</v>
      </c>
      <c r="F3143" s="14">
        <v>0</v>
      </c>
    </row>
    <row r="3144" spans="1:6" x14ac:dyDescent="0.3">
      <c r="A3144" s="8">
        <v>3142</v>
      </c>
      <c r="B3144" s="8" t="s">
        <v>4148</v>
      </c>
      <c r="C3144" s="8" t="s">
        <v>6440</v>
      </c>
      <c r="D3144" s="8" t="s">
        <v>6441</v>
      </c>
      <c r="E3144" s="13">
        <v>0</v>
      </c>
      <c r="F3144" s="14">
        <v>0</v>
      </c>
    </row>
    <row r="3145" spans="1:6" x14ac:dyDescent="0.3">
      <c r="A3145" s="8">
        <v>3143</v>
      </c>
      <c r="B3145" s="8" t="s">
        <v>4148</v>
      </c>
      <c r="C3145" s="8" t="s">
        <v>6442</v>
      </c>
      <c r="D3145" s="8" t="s">
        <v>6443</v>
      </c>
      <c r="E3145" s="13">
        <v>0</v>
      </c>
      <c r="F3145" s="14">
        <v>0</v>
      </c>
    </row>
    <row r="3146" spans="1:6" x14ac:dyDescent="0.3">
      <c r="A3146" s="8">
        <v>3144</v>
      </c>
      <c r="B3146" s="8" t="s">
        <v>4148</v>
      </c>
      <c r="C3146" s="8" t="s">
        <v>6444</v>
      </c>
      <c r="D3146" s="8" t="s">
        <v>6445</v>
      </c>
      <c r="E3146" s="13">
        <v>0</v>
      </c>
      <c r="F3146" s="14">
        <v>0</v>
      </c>
    </row>
    <row r="3147" spans="1:6" x14ac:dyDescent="0.3">
      <c r="A3147" s="8">
        <v>3145</v>
      </c>
      <c r="B3147" s="8" t="s">
        <v>4148</v>
      </c>
      <c r="C3147" s="8" t="s">
        <v>6446</v>
      </c>
      <c r="D3147" s="8" t="s">
        <v>6447</v>
      </c>
      <c r="E3147" s="13">
        <v>0</v>
      </c>
      <c r="F3147" s="14">
        <v>0</v>
      </c>
    </row>
    <row r="3148" spans="1:6" x14ac:dyDescent="0.3">
      <c r="A3148" s="8">
        <v>3146</v>
      </c>
      <c r="B3148" s="8" t="s">
        <v>4148</v>
      </c>
      <c r="C3148" s="8" t="s">
        <v>6448</v>
      </c>
      <c r="D3148" s="8" t="s">
        <v>6449</v>
      </c>
      <c r="E3148" s="13">
        <v>83800</v>
      </c>
      <c r="F3148" s="14">
        <v>167593</v>
      </c>
    </row>
    <row r="3149" spans="1:6" x14ac:dyDescent="0.3">
      <c r="A3149" s="8">
        <v>3147</v>
      </c>
      <c r="B3149" s="8" t="s">
        <v>4148</v>
      </c>
      <c r="C3149" s="8" t="s">
        <v>6450</v>
      </c>
      <c r="D3149" s="8" t="s">
        <v>6451</v>
      </c>
      <c r="E3149" s="13">
        <v>0</v>
      </c>
      <c r="F3149" s="14">
        <v>0</v>
      </c>
    </row>
    <row r="3150" spans="1:6" x14ac:dyDescent="0.3">
      <c r="A3150" s="8">
        <v>3148</v>
      </c>
      <c r="B3150" s="8" t="s">
        <v>4148</v>
      </c>
      <c r="C3150" s="8" t="s">
        <v>6452</v>
      </c>
      <c r="D3150" s="8" t="s">
        <v>6453</v>
      </c>
      <c r="E3150" s="13">
        <v>83800</v>
      </c>
      <c r="F3150" s="14">
        <v>167593</v>
      </c>
    </row>
    <row r="3151" spans="1:6" x14ac:dyDescent="0.3">
      <c r="A3151" s="8">
        <v>3149</v>
      </c>
      <c r="B3151" s="8" t="s">
        <v>4148</v>
      </c>
      <c r="C3151" s="8" t="s">
        <v>6454</v>
      </c>
      <c r="D3151" s="8" t="s">
        <v>6455</v>
      </c>
      <c r="E3151" s="13">
        <v>83200</v>
      </c>
      <c r="F3151" s="14">
        <v>166667</v>
      </c>
    </row>
    <row r="3152" spans="1:6" x14ac:dyDescent="0.3">
      <c r="A3152" s="8">
        <v>3150</v>
      </c>
      <c r="B3152" s="8" t="s">
        <v>4148</v>
      </c>
      <c r="C3152" s="8" t="s">
        <v>6456</v>
      </c>
      <c r="D3152" s="8" t="s">
        <v>6457</v>
      </c>
      <c r="E3152" s="13">
        <v>65000</v>
      </c>
      <c r="F3152" s="14">
        <v>129630</v>
      </c>
    </row>
    <row r="3153" spans="1:6" x14ac:dyDescent="0.3">
      <c r="A3153" s="8">
        <v>3151</v>
      </c>
      <c r="B3153" s="8" t="s">
        <v>4148</v>
      </c>
      <c r="C3153" s="8" t="s">
        <v>6458</v>
      </c>
      <c r="D3153" s="8" t="s">
        <v>6459</v>
      </c>
      <c r="E3153" s="13">
        <v>0</v>
      </c>
      <c r="F3153" s="14">
        <v>0</v>
      </c>
    </row>
    <row r="3154" spans="1:6" x14ac:dyDescent="0.3">
      <c r="A3154" s="8">
        <v>3152</v>
      </c>
      <c r="B3154" s="8" t="s">
        <v>4148</v>
      </c>
      <c r="C3154" s="8" t="s">
        <v>6460</v>
      </c>
      <c r="D3154" s="8" t="s">
        <v>6461</v>
      </c>
      <c r="E3154" s="13">
        <v>0</v>
      </c>
      <c r="F3154" s="14">
        <v>0</v>
      </c>
    </row>
    <row r="3155" spans="1:6" x14ac:dyDescent="0.3">
      <c r="A3155" s="8">
        <v>3153</v>
      </c>
      <c r="B3155" s="8" t="s">
        <v>4148</v>
      </c>
      <c r="C3155" s="8" t="s">
        <v>6462</v>
      </c>
      <c r="D3155" s="8" t="s">
        <v>6463</v>
      </c>
      <c r="E3155" s="13">
        <v>0</v>
      </c>
      <c r="F3155" s="14">
        <v>0</v>
      </c>
    </row>
    <row r="3156" spans="1:6" x14ac:dyDescent="0.3">
      <c r="A3156" s="8">
        <v>3154</v>
      </c>
      <c r="B3156" s="8" t="s">
        <v>4148</v>
      </c>
      <c r="C3156" s="8" t="s">
        <v>6464</v>
      </c>
      <c r="D3156" s="8" t="s">
        <v>6465</v>
      </c>
      <c r="E3156" s="13">
        <v>0</v>
      </c>
      <c r="F3156" s="14">
        <v>0</v>
      </c>
    </row>
    <row r="3157" spans="1:6" x14ac:dyDescent="0.3">
      <c r="A3157" s="8">
        <v>3155</v>
      </c>
      <c r="B3157" s="8" t="s">
        <v>4148</v>
      </c>
      <c r="C3157" s="8" t="s">
        <v>6466</v>
      </c>
      <c r="D3157" s="8" t="s">
        <v>6467</v>
      </c>
      <c r="E3157" s="13">
        <v>0</v>
      </c>
      <c r="F3157" s="14">
        <v>0</v>
      </c>
    </row>
    <row r="3158" spans="1:6" x14ac:dyDescent="0.3">
      <c r="A3158" s="8">
        <v>3156</v>
      </c>
      <c r="B3158" s="8" t="s">
        <v>4148</v>
      </c>
      <c r="C3158" s="8" t="s">
        <v>6468</v>
      </c>
      <c r="D3158" s="8" t="s">
        <v>6469</v>
      </c>
      <c r="E3158" s="13">
        <v>0</v>
      </c>
      <c r="F3158" s="14">
        <v>407407</v>
      </c>
    </row>
    <row r="3159" spans="1:6" x14ac:dyDescent="0.3">
      <c r="A3159" s="8">
        <v>3157</v>
      </c>
      <c r="B3159" s="8" t="s">
        <v>6022</v>
      </c>
      <c r="C3159" s="8" t="s">
        <v>6470</v>
      </c>
      <c r="D3159" s="8" t="s">
        <v>6471</v>
      </c>
      <c r="E3159" s="13">
        <v>216000</v>
      </c>
      <c r="F3159" s="14">
        <v>432407</v>
      </c>
    </row>
    <row r="3160" spans="1:6" x14ac:dyDescent="0.3">
      <c r="A3160" s="8">
        <v>3158</v>
      </c>
      <c r="B3160" s="8" t="s">
        <v>6029</v>
      </c>
      <c r="C3160" s="8" t="s">
        <v>6472</v>
      </c>
      <c r="D3160" s="8" t="s">
        <v>6473</v>
      </c>
      <c r="E3160" s="13">
        <v>163800</v>
      </c>
      <c r="F3160" s="14">
        <v>294000</v>
      </c>
    </row>
    <row r="3161" spans="1:6" x14ac:dyDescent="0.3">
      <c r="A3161" s="8">
        <v>3159</v>
      </c>
      <c r="B3161" s="8" t="s">
        <v>6022</v>
      </c>
      <c r="C3161" s="8" t="s">
        <v>6474</v>
      </c>
      <c r="D3161" s="8" t="s">
        <v>6475</v>
      </c>
      <c r="E3161" s="13">
        <v>0</v>
      </c>
      <c r="F3161" s="14">
        <v>0</v>
      </c>
    </row>
    <row r="3162" spans="1:6" x14ac:dyDescent="0.3">
      <c r="A3162" s="8">
        <v>3160</v>
      </c>
      <c r="B3162" s="8" t="s">
        <v>6022</v>
      </c>
      <c r="C3162" s="8" t="s">
        <v>6476</v>
      </c>
      <c r="D3162" s="8" t="s">
        <v>6477</v>
      </c>
      <c r="E3162" s="13">
        <v>230000</v>
      </c>
      <c r="F3162" s="14">
        <v>412000</v>
      </c>
    </row>
    <row r="3163" spans="1:6" x14ac:dyDescent="0.3">
      <c r="A3163" s="8">
        <v>3161</v>
      </c>
      <c r="B3163" s="8" t="s">
        <v>6029</v>
      </c>
      <c r="C3163" s="8" t="s">
        <v>6478</v>
      </c>
      <c r="D3163" s="8" t="s">
        <v>6479</v>
      </c>
      <c r="E3163" s="13">
        <v>142000</v>
      </c>
      <c r="F3163" s="14">
        <v>284259</v>
      </c>
    </row>
    <row r="3164" spans="1:6" x14ac:dyDescent="0.3">
      <c r="A3164" s="8">
        <v>3162</v>
      </c>
      <c r="B3164" s="8" t="s">
        <v>6029</v>
      </c>
      <c r="C3164" s="8" t="s">
        <v>6480</v>
      </c>
      <c r="D3164" s="8" t="s">
        <v>6481</v>
      </c>
      <c r="E3164" s="13">
        <v>0</v>
      </c>
      <c r="F3164" s="14">
        <v>0</v>
      </c>
    </row>
    <row r="3165" spans="1:6" x14ac:dyDescent="0.3">
      <c r="A3165" s="8">
        <v>3163</v>
      </c>
      <c r="B3165" s="8" t="s">
        <v>6022</v>
      </c>
      <c r="C3165" s="8" t="s">
        <v>6482</v>
      </c>
      <c r="D3165" s="8" t="s">
        <v>6483</v>
      </c>
      <c r="E3165" s="13">
        <v>170000</v>
      </c>
      <c r="F3165" s="14">
        <v>339815</v>
      </c>
    </row>
    <row r="3166" spans="1:6" x14ac:dyDescent="0.3">
      <c r="A3166" s="8">
        <v>3164</v>
      </c>
      <c r="B3166" s="8" t="s">
        <v>6022</v>
      </c>
      <c r="C3166" s="8" t="s">
        <v>6484</v>
      </c>
      <c r="D3166" s="8" t="s">
        <v>6485</v>
      </c>
      <c r="E3166" s="13">
        <v>177000</v>
      </c>
      <c r="F3166" s="14">
        <v>353704</v>
      </c>
    </row>
    <row r="3167" spans="1:6" x14ac:dyDescent="0.3">
      <c r="A3167" s="8">
        <v>3165</v>
      </c>
      <c r="B3167" s="8" t="s">
        <v>6029</v>
      </c>
      <c r="C3167" s="8" t="s">
        <v>6486</v>
      </c>
      <c r="D3167" s="8" t="s">
        <v>6487</v>
      </c>
      <c r="E3167" s="13">
        <v>165000</v>
      </c>
      <c r="F3167" s="14">
        <v>329630</v>
      </c>
    </row>
    <row r="3168" spans="1:6" x14ac:dyDescent="0.3">
      <c r="A3168" s="8">
        <v>3166</v>
      </c>
      <c r="B3168" s="8" t="s">
        <v>6022</v>
      </c>
      <c r="C3168" s="8" t="s">
        <v>6488</v>
      </c>
      <c r="D3168" s="8" t="s">
        <v>6489</v>
      </c>
      <c r="E3168" s="13">
        <v>177000</v>
      </c>
      <c r="F3168" s="14">
        <v>353704</v>
      </c>
    </row>
    <row r="3169" spans="1:6" x14ac:dyDescent="0.3">
      <c r="A3169" s="8">
        <v>3167</v>
      </c>
      <c r="B3169" s="8" t="s">
        <v>6022</v>
      </c>
      <c r="C3169" s="8" t="s">
        <v>6490</v>
      </c>
      <c r="D3169" s="8" t="s">
        <v>6491</v>
      </c>
      <c r="E3169" s="13">
        <v>0</v>
      </c>
      <c r="F3169" s="14">
        <v>0</v>
      </c>
    </row>
    <row r="3170" spans="1:6" x14ac:dyDescent="0.3">
      <c r="A3170" s="8">
        <v>3168</v>
      </c>
      <c r="B3170" s="8" t="s">
        <v>6022</v>
      </c>
      <c r="C3170" s="8" t="s">
        <v>6492</v>
      </c>
      <c r="D3170" s="8" t="s">
        <v>6493</v>
      </c>
      <c r="E3170" s="13">
        <v>214000</v>
      </c>
      <c r="F3170" s="14">
        <v>427778</v>
      </c>
    </row>
    <row r="3171" spans="1:6" x14ac:dyDescent="0.3">
      <c r="A3171" s="8">
        <v>3169</v>
      </c>
      <c r="B3171" s="8" t="s">
        <v>6029</v>
      </c>
      <c r="C3171" s="8" t="s">
        <v>6494</v>
      </c>
      <c r="D3171" s="8" t="s">
        <v>6495</v>
      </c>
      <c r="E3171" s="13">
        <v>0</v>
      </c>
      <c r="F3171" s="14">
        <v>0</v>
      </c>
    </row>
    <row r="3172" spans="1:6" x14ac:dyDescent="0.3">
      <c r="A3172" s="8">
        <v>3170</v>
      </c>
      <c r="B3172" s="8" t="s">
        <v>6022</v>
      </c>
      <c r="C3172" s="8" t="s">
        <v>6496</v>
      </c>
      <c r="D3172" s="8" t="s">
        <v>6497</v>
      </c>
      <c r="E3172" s="13">
        <v>0</v>
      </c>
      <c r="F3172" s="14">
        <v>287000</v>
      </c>
    </row>
    <row r="3173" spans="1:6" x14ac:dyDescent="0.3">
      <c r="A3173" s="8">
        <v>3171</v>
      </c>
      <c r="B3173" s="8" t="s">
        <v>6022</v>
      </c>
      <c r="C3173" s="8" t="s">
        <v>6498</v>
      </c>
      <c r="D3173" s="8" t="s">
        <v>6499</v>
      </c>
      <c r="E3173" s="13">
        <v>121000</v>
      </c>
      <c r="F3173" s="14">
        <v>241667</v>
      </c>
    </row>
    <row r="3174" spans="1:6" x14ac:dyDescent="0.3">
      <c r="A3174" s="8">
        <v>3172</v>
      </c>
      <c r="B3174" s="8" t="s">
        <v>6022</v>
      </c>
      <c r="C3174" s="8" t="s">
        <v>6500</v>
      </c>
      <c r="D3174" s="8" t="s">
        <v>6501</v>
      </c>
      <c r="E3174" s="13">
        <v>121000</v>
      </c>
      <c r="F3174" s="14">
        <v>241667</v>
      </c>
    </row>
    <row r="3175" spans="1:6" x14ac:dyDescent="0.3">
      <c r="A3175" s="8">
        <v>3173</v>
      </c>
      <c r="B3175" s="8" t="s">
        <v>6022</v>
      </c>
      <c r="C3175" s="8" t="s">
        <v>6502</v>
      </c>
      <c r="D3175" s="8" t="s">
        <v>6503</v>
      </c>
      <c r="E3175" s="13">
        <v>121000</v>
      </c>
      <c r="F3175" s="14">
        <v>241667</v>
      </c>
    </row>
    <row r="3176" spans="1:6" x14ac:dyDescent="0.3">
      <c r="A3176" s="8">
        <v>3174</v>
      </c>
      <c r="B3176" s="8" t="s">
        <v>6022</v>
      </c>
      <c r="C3176" s="8" t="s">
        <v>6504</v>
      </c>
      <c r="D3176" s="8" t="s">
        <v>6505</v>
      </c>
      <c r="E3176" s="13">
        <v>0</v>
      </c>
      <c r="F3176" s="14">
        <v>0</v>
      </c>
    </row>
    <row r="3177" spans="1:6" x14ac:dyDescent="0.3">
      <c r="A3177" s="8">
        <v>3175</v>
      </c>
      <c r="B3177" s="8" t="s">
        <v>6029</v>
      </c>
      <c r="C3177" s="8" t="s">
        <v>6506</v>
      </c>
      <c r="D3177" s="8" t="s">
        <v>6507</v>
      </c>
      <c r="E3177" s="13">
        <v>165000</v>
      </c>
      <c r="F3177" s="14">
        <v>329630</v>
      </c>
    </row>
    <row r="3178" spans="1:6" x14ac:dyDescent="0.3">
      <c r="A3178" s="8">
        <v>3176</v>
      </c>
      <c r="B3178" s="8" t="s">
        <v>6022</v>
      </c>
      <c r="C3178" s="8" t="s">
        <v>6508</v>
      </c>
      <c r="D3178" s="8" t="s">
        <v>6509</v>
      </c>
      <c r="E3178" s="13">
        <v>0</v>
      </c>
      <c r="F3178" s="14">
        <v>0</v>
      </c>
    </row>
    <row r="3179" spans="1:6" x14ac:dyDescent="0.3">
      <c r="A3179" s="8">
        <v>3177</v>
      </c>
      <c r="B3179" s="8" t="s">
        <v>6022</v>
      </c>
      <c r="C3179" s="8" t="s">
        <v>6510</v>
      </c>
      <c r="D3179" s="8" t="s">
        <v>6511</v>
      </c>
      <c r="E3179" s="13">
        <v>108000</v>
      </c>
      <c r="F3179" s="14">
        <v>215741</v>
      </c>
    </row>
    <row r="3180" spans="1:6" x14ac:dyDescent="0.3">
      <c r="A3180" s="8">
        <v>3178</v>
      </c>
      <c r="B3180" s="8" t="s">
        <v>6029</v>
      </c>
      <c r="C3180" s="8" t="s">
        <v>6512</v>
      </c>
      <c r="D3180" s="8" t="s">
        <v>6513</v>
      </c>
      <c r="E3180" s="13">
        <v>0</v>
      </c>
      <c r="F3180" s="14">
        <v>0</v>
      </c>
    </row>
    <row r="3181" spans="1:6" x14ac:dyDescent="0.3">
      <c r="A3181" s="8">
        <v>3179</v>
      </c>
      <c r="B3181" s="8" t="s">
        <v>6022</v>
      </c>
      <c r="C3181" s="8" t="s">
        <v>6514</v>
      </c>
      <c r="D3181" s="8" t="s">
        <v>6515</v>
      </c>
      <c r="E3181" s="13">
        <v>0</v>
      </c>
      <c r="F3181" s="14">
        <v>0</v>
      </c>
    </row>
    <row r="3182" spans="1:6" x14ac:dyDescent="0.3">
      <c r="A3182" s="8">
        <v>3180</v>
      </c>
      <c r="B3182" s="8" t="s">
        <v>6516</v>
      </c>
      <c r="C3182" s="8" t="s">
        <v>6517</v>
      </c>
      <c r="D3182" s="8" t="s">
        <v>6518</v>
      </c>
      <c r="E3182" s="13">
        <v>1153000</v>
      </c>
      <c r="F3182" s="14">
        <v>2076000</v>
      </c>
    </row>
    <row r="3183" spans="1:6" x14ac:dyDescent="0.3">
      <c r="A3183" s="8">
        <v>3181</v>
      </c>
      <c r="B3183" s="8" t="s">
        <v>6516</v>
      </c>
      <c r="C3183" s="8" t="s">
        <v>6519</v>
      </c>
      <c r="D3183" s="8" t="s">
        <v>6520</v>
      </c>
      <c r="E3183" s="13">
        <v>0</v>
      </c>
      <c r="F3183" s="14">
        <v>1080000</v>
      </c>
    </row>
    <row r="3184" spans="1:6" x14ac:dyDescent="0.3">
      <c r="A3184" s="8">
        <v>3182</v>
      </c>
      <c r="B3184" s="8" t="s">
        <v>6516</v>
      </c>
      <c r="C3184" s="8" t="s">
        <v>6521</v>
      </c>
      <c r="D3184" s="8" t="s">
        <v>6522</v>
      </c>
      <c r="E3184" s="13">
        <v>0</v>
      </c>
      <c r="F3184" s="14">
        <v>1115000</v>
      </c>
    </row>
    <row r="3185" spans="1:6" x14ac:dyDescent="0.3">
      <c r="A3185" s="8">
        <v>3183</v>
      </c>
      <c r="B3185" s="8" t="s">
        <v>6516</v>
      </c>
      <c r="C3185" s="8" t="s">
        <v>6523</v>
      </c>
      <c r="D3185" s="8" t="s">
        <v>6524</v>
      </c>
      <c r="E3185" s="13">
        <v>0</v>
      </c>
      <c r="F3185" s="14">
        <v>0</v>
      </c>
    </row>
    <row r="3186" spans="1:6" x14ac:dyDescent="0.3">
      <c r="A3186" s="8">
        <v>3184</v>
      </c>
      <c r="B3186" s="8" t="s">
        <v>6516</v>
      </c>
      <c r="C3186" s="8" t="s">
        <v>6525</v>
      </c>
      <c r="D3186" s="8" t="s">
        <v>6526</v>
      </c>
      <c r="E3186" s="13">
        <v>0</v>
      </c>
      <c r="F3186" s="14">
        <v>0</v>
      </c>
    </row>
    <row r="3187" spans="1:6" x14ac:dyDescent="0.3">
      <c r="A3187" s="8">
        <v>3185</v>
      </c>
      <c r="B3187" s="8" t="s">
        <v>6516</v>
      </c>
      <c r="C3187" s="8" t="s">
        <v>6527</v>
      </c>
      <c r="D3187" s="8" t="s">
        <v>6528</v>
      </c>
      <c r="E3187" s="13">
        <v>611000</v>
      </c>
      <c r="F3187" s="14">
        <v>1222000</v>
      </c>
    </row>
    <row r="3188" spans="1:6" x14ac:dyDescent="0.3">
      <c r="A3188" s="8">
        <v>3186</v>
      </c>
      <c r="B3188" s="8" t="s">
        <v>6516</v>
      </c>
      <c r="C3188" s="8" t="s">
        <v>6529</v>
      </c>
      <c r="D3188" s="8" t="s">
        <v>6530</v>
      </c>
      <c r="E3188" s="13">
        <v>0</v>
      </c>
      <c r="F3188" s="14">
        <v>0</v>
      </c>
    </row>
    <row r="3189" spans="1:6" x14ac:dyDescent="0.3">
      <c r="A3189" s="8">
        <v>3187</v>
      </c>
      <c r="B3189" s="8" t="s">
        <v>6516</v>
      </c>
      <c r="C3189" s="8" t="s">
        <v>6531</v>
      </c>
      <c r="D3189" s="8" t="s">
        <v>6532</v>
      </c>
      <c r="E3189" s="13">
        <v>0</v>
      </c>
      <c r="F3189" s="14">
        <v>2780000</v>
      </c>
    </row>
    <row r="3190" spans="1:6" x14ac:dyDescent="0.3">
      <c r="A3190" s="8">
        <v>3188</v>
      </c>
      <c r="B3190" s="8" t="s">
        <v>6516</v>
      </c>
      <c r="C3190" s="8" t="s">
        <v>6533</v>
      </c>
      <c r="D3190" s="8" t="s">
        <v>6534</v>
      </c>
      <c r="E3190" s="13">
        <v>0</v>
      </c>
      <c r="F3190" s="14">
        <v>2415000</v>
      </c>
    </row>
    <row r="3191" spans="1:6" x14ac:dyDescent="0.3">
      <c r="A3191" s="8">
        <v>3189</v>
      </c>
      <c r="B3191" s="8" t="s">
        <v>6516</v>
      </c>
      <c r="C3191" s="8" t="s">
        <v>6535</v>
      </c>
      <c r="D3191" s="8" t="s">
        <v>6536</v>
      </c>
      <c r="E3191" s="13">
        <v>0</v>
      </c>
      <c r="F3191" s="14">
        <v>0</v>
      </c>
    </row>
    <row r="3192" spans="1:6" x14ac:dyDescent="0.3">
      <c r="A3192" s="8">
        <v>3190</v>
      </c>
      <c r="B3192" s="8" t="s">
        <v>6516</v>
      </c>
      <c r="C3192" s="8" t="s">
        <v>6537</v>
      </c>
      <c r="D3192" s="8" t="s">
        <v>6538</v>
      </c>
      <c r="E3192" s="13">
        <v>0</v>
      </c>
      <c r="F3192" s="14">
        <v>1502000</v>
      </c>
    </row>
    <row r="3193" spans="1:6" x14ac:dyDescent="0.3">
      <c r="A3193" s="8">
        <v>3191</v>
      </c>
      <c r="B3193" s="8" t="s">
        <v>6516</v>
      </c>
      <c r="C3193" s="8" t="s">
        <v>6539</v>
      </c>
      <c r="D3193" s="8" t="s">
        <v>6540</v>
      </c>
      <c r="E3193" s="13">
        <v>0</v>
      </c>
      <c r="F3193" s="14">
        <v>0</v>
      </c>
    </row>
    <row r="3194" spans="1:6" x14ac:dyDescent="0.3">
      <c r="A3194" s="8">
        <v>3192</v>
      </c>
      <c r="B3194" s="8" t="s">
        <v>6516</v>
      </c>
      <c r="C3194" s="8" t="s">
        <v>6541</v>
      </c>
      <c r="D3194" s="8" t="s">
        <v>6542</v>
      </c>
      <c r="E3194" s="13">
        <v>0</v>
      </c>
      <c r="F3194" s="14">
        <v>0</v>
      </c>
    </row>
    <row r="3195" spans="1:6" x14ac:dyDescent="0.3">
      <c r="A3195" s="8">
        <v>3193</v>
      </c>
      <c r="B3195" s="8" t="s">
        <v>6516</v>
      </c>
      <c r="C3195" s="8" t="s">
        <v>6543</v>
      </c>
      <c r="D3195" s="8" t="s">
        <v>6544</v>
      </c>
      <c r="E3195" s="13">
        <v>0</v>
      </c>
      <c r="F3195" s="14">
        <v>0</v>
      </c>
    </row>
    <row r="3196" spans="1:6" x14ac:dyDescent="0.3">
      <c r="A3196" s="8">
        <v>3194</v>
      </c>
      <c r="B3196" s="8" t="s">
        <v>2792</v>
      </c>
      <c r="C3196" s="8" t="s">
        <v>6545</v>
      </c>
      <c r="D3196" s="8" t="s">
        <v>6546</v>
      </c>
      <c r="E3196" s="13">
        <v>0</v>
      </c>
      <c r="F3196" s="14">
        <v>0</v>
      </c>
    </row>
    <row r="3197" spans="1:6" x14ac:dyDescent="0.3">
      <c r="A3197" s="8">
        <v>3195</v>
      </c>
      <c r="B3197" s="8" t="s">
        <v>2792</v>
      </c>
      <c r="C3197" s="8" t="s">
        <v>6547</v>
      </c>
      <c r="D3197" s="8" t="s">
        <v>6548</v>
      </c>
      <c r="E3197" s="13">
        <v>0</v>
      </c>
      <c r="F3197" s="14">
        <v>0</v>
      </c>
    </row>
    <row r="3198" spans="1:6" x14ac:dyDescent="0.3">
      <c r="A3198" s="8">
        <v>3196</v>
      </c>
      <c r="B3198" s="8" t="s">
        <v>4148</v>
      </c>
      <c r="C3198" s="8" t="s">
        <v>6549</v>
      </c>
      <c r="D3198" s="8" t="s">
        <v>6550</v>
      </c>
      <c r="E3198" s="13">
        <v>89590</v>
      </c>
      <c r="F3198" s="14">
        <v>168000</v>
      </c>
    </row>
    <row r="3199" spans="1:6" x14ac:dyDescent="0.3">
      <c r="A3199" s="8">
        <v>3197</v>
      </c>
      <c r="B3199" s="8" t="s">
        <v>4148</v>
      </c>
      <c r="C3199" s="8" t="s">
        <v>6551</v>
      </c>
      <c r="D3199" s="8" t="s">
        <v>6552</v>
      </c>
      <c r="E3199" s="13">
        <v>92900</v>
      </c>
      <c r="F3199" s="14">
        <v>210185</v>
      </c>
    </row>
    <row r="3200" spans="1:6" x14ac:dyDescent="0.3">
      <c r="A3200" s="8">
        <v>3198</v>
      </c>
      <c r="B3200" s="8" t="s">
        <v>4148</v>
      </c>
      <c r="C3200" s="8" t="s">
        <v>6553</v>
      </c>
      <c r="D3200" s="8" t="s">
        <v>6554</v>
      </c>
      <c r="E3200" s="13">
        <v>63100</v>
      </c>
      <c r="F3200" s="14">
        <v>113000</v>
      </c>
    </row>
    <row r="3201" spans="1:6" x14ac:dyDescent="0.3">
      <c r="A3201" s="8">
        <v>3199</v>
      </c>
      <c r="B3201" s="8" t="s">
        <v>4148</v>
      </c>
      <c r="C3201" s="8" t="s">
        <v>6555</v>
      </c>
      <c r="D3201" s="8" t="s">
        <v>6556</v>
      </c>
      <c r="E3201" s="13">
        <v>0</v>
      </c>
      <c r="F3201" s="14">
        <v>250000</v>
      </c>
    </row>
    <row r="3202" spans="1:6" x14ac:dyDescent="0.3">
      <c r="A3202" s="8">
        <v>3200</v>
      </c>
      <c r="B3202" s="8" t="s">
        <v>4148</v>
      </c>
      <c r="C3202" s="8" t="s">
        <v>6557</v>
      </c>
      <c r="D3202" s="8" t="s">
        <v>6558</v>
      </c>
      <c r="E3202" s="13">
        <v>90600</v>
      </c>
      <c r="F3202" s="14">
        <v>179000</v>
      </c>
    </row>
    <row r="3203" spans="1:6" x14ac:dyDescent="0.3">
      <c r="A3203" s="8">
        <v>3201</v>
      </c>
      <c r="B3203" s="8" t="s">
        <v>4148</v>
      </c>
      <c r="C3203" s="8" t="s">
        <v>6559</v>
      </c>
      <c r="D3203" s="8" t="s">
        <v>6560</v>
      </c>
      <c r="E3203" s="13">
        <v>71800</v>
      </c>
      <c r="F3203" s="14">
        <v>157407</v>
      </c>
    </row>
    <row r="3204" spans="1:6" x14ac:dyDescent="0.3">
      <c r="A3204" s="8">
        <v>3202</v>
      </c>
      <c r="B3204" s="8" t="s">
        <v>4148</v>
      </c>
      <c r="C3204" s="8" t="s">
        <v>6561</v>
      </c>
      <c r="D3204" s="8" t="s">
        <v>6562</v>
      </c>
      <c r="E3204" s="13">
        <v>69000</v>
      </c>
      <c r="F3204" s="14">
        <v>137963</v>
      </c>
    </row>
    <row r="3205" spans="1:6" x14ac:dyDescent="0.3">
      <c r="A3205" s="8">
        <v>3203</v>
      </c>
      <c r="B3205" s="8" t="s">
        <v>4148</v>
      </c>
      <c r="C3205" s="8" t="s">
        <v>6563</v>
      </c>
      <c r="D3205" s="8" t="s">
        <v>6564</v>
      </c>
      <c r="E3205" s="13">
        <v>70100</v>
      </c>
      <c r="F3205" s="14">
        <v>139815</v>
      </c>
    </row>
    <row r="3206" spans="1:6" x14ac:dyDescent="0.3">
      <c r="A3206" s="8">
        <v>3204</v>
      </c>
      <c r="B3206" s="8" t="s">
        <v>4148</v>
      </c>
      <c r="C3206" s="8" t="s">
        <v>6565</v>
      </c>
      <c r="D3206" s="8" t="s">
        <v>6566</v>
      </c>
      <c r="E3206" s="13">
        <v>0</v>
      </c>
      <c r="F3206" s="14">
        <v>146000</v>
      </c>
    </row>
    <row r="3207" spans="1:6" x14ac:dyDescent="0.3">
      <c r="A3207" s="8">
        <v>3205</v>
      </c>
      <c r="B3207" s="8" t="s">
        <v>4148</v>
      </c>
      <c r="C3207" s="8" t="s">
        <v>6567</v>
      </c>
      <c r="D3207" s="8" t="s">
        <v>6568</v>
      </c>
      <c r="E3207" s="13">
        <v>54000</v>
      </c>
      <c r="F3207" s="14">
        <v>97222</v>
      </c>
    </row>
    <row r="3208" spans="1:6" x14ac:dyDescent="0.3">
      <c r="A3208" s="8">
        <v>3206</v>
      </c>
      <c r="B3208" s="8" t="s">
        <v>4148</v>
      </c>
      <c r="C3208" s="8" t="s">
        <v>6569</v>
      </c>
      <c r="D3208" s="8" t="s">
        <v>6570</v>
      </c>
      <c r="E3208" s="13">
        <v>0</v>
      </c>
      <c r="F3208" s="14">
        <v>0</v>
      </c>
    </row>
    <row r="3209" spans="1:6" x14ac:dyDescent="0.3">
      <c r="A3209" s="8">
        <v>3207</v>
      </c>
      <c r="B3209" s="8" t="s">
        <v>4148</v>
      </c>
      <c r="C3209" s="8" t="s">
        <v>6571</v>
      </c>
      <c r="D3209" s="8" t="s">
        <v>6572</v>
      </c>
      <c r="E3209" s="13">
        <v>51300</v>
      </c>
      <c r="F3209" s="14">
        <v>112000</v>
      </c>
    </row>
    <row r="3210" spans="1:6" x14ac:dyDescent="0.3">
      <c r="A3210" s="8">
        <v>3208</v>
      </c>
      <c r="B3210" s="8" t="s">
        <v>4148</v>
      </c>
      <c r="C3210" s="8" t="s">
        <v>6573</v>
      </c>
      <c r="D3210" s="8" t="s">
        <v>6574</v>
      </c>
      <c r="E3210" s="13">
        <v>97200</v>
      </c>
      <c r="F3210" s="14">
        <v>194444</v>
      </c>
    </row>
    <row r="3211" spans="1:6" x14ac:dyDescent="0.3">
      <c r="A3211" s="8">
        <v>3209</v>
      </c>
      <c r="B3211" s="8" t="s">
        <v>4148</v>
      </c>
      <c r="C3211" s="8" t="s">
        <v>6575</v>
      </c>
      <c r="D3211" s="8" t="s">
        <v>6576</v>
      </c>
      <c r="E3211" s="13">
        <v>0</v>
      </c>
      <c r="F3211" s="14">
        <v>146000</v>
      </c>
    </row>
    <row r="3212" spans="1:6" x14ac:dyDescent="0.3">
      <c r="A3212" s="8">
        <v>3210</v>
      </c>
      <c r="B3212" s="8" t="s">
        <v>4148</v>
      </c>
      <c r="C3212" s="8" t="s">
        <v>6577</v>
      </c>
      <c r="D3212" s="8" t="s">
        <v>6578</v>
      </c>
      <c r="E3212" s="13">
        <v>0</v>
      </c>
      <c r="F3212" s="14">
        <v>1340000</v>
      </c>
    </row>
    <row r="3213" spans="1:6" x14ac:dyDescent="0.3">
      <c r="A3213" s="8">
        <v>3211</v>
      </c>
      <c r="B3213" s="8" t="s">
        <v>4148</v>
      </c>
      <c r="C3213" s="8" t="s">
        <v>6579</v>
      </c>
      <c r="D3213" s="8" t="s">
        <v>6580</v>
      </c>
      <c r="E3213" s="13">
        <v>0</v>
      </c>
      <c r="F3213" s="14">
        <v>168000</v>
      </c>
    </row>
    <row r="3214" spans="1:6" x14ac:dyDescent="0.3">
      <c r="A3214" s="8">
        <v>3212</v>
      </c>
      <c r="B3214" s="8" t="s">
        <v>4148</v>
      </c>
      <c r="C3214" s="8" t="s">
        <v>6581</v>
      </c>
      <c r="D3214" s="8" t="s">
        <v>6582</v>
      </c>
      <c r="E3214" s="13">
        <v>0</v>
      </c>
      <c r="F3214" s="14">
        <v>0</v>
      </c>
    </row>
    <row r="3215" spans="1:6" x14ac:dyDescent="0.3">
      <c r="A3215" s="8">
        <v>3213</v>
      </c>
      <c r="B3215" s="8" t="s">
        <v>4148</v>
      </c>
      <c r="C3215" s="8" t="s">
        <v>6583</v>
      </c>
      <c r="D3215" s="8" t="s">
        <v>6584</v>
      </c>
      <c r="E3215" s="13">
        <v>54400</v>
      </c>
      <c r="F3215" s="14">
        <v>122222</v>
      </c>
    </row>
    <row r="3216" spans="1:6" x14ac:dyDescent="0.3">
      <c r="A3216" s="8">
        <v>3214</v>
      </c>
      <c r="B3216" s="8" t="s">
        <v>4148</v>
      </c>
      <c r="C3216" s="8" t="s">
        <v>6585</v>
      </c>
      <c r="D3216" s="8" t="s">
        <v>6586</v>
      </c>
      <c r="E3216" s="13">
        <v>83800</v>
      </c>
      <c r="F3216" s="14">
        <v>167593</v>
      </c>
    </row>
    <row r="3217" spans="1:6" x14ac:dyDescent="0.3">
      <c r="A3217" s="8">
        <v>3215</v>
      </c>
      <c r="B3217" s="8" t="s">
        <v>4148</v>
      </c>
      <c r="C3217" s="8" t="s">
        <v>6587</v>
      </c>
      <c r="D3217" s="8" t="s">
        <v>6588</v>
      </c>
      <c r="E3217" s="13">
        <v>54400</v>
      </c>
      <c r="F3217" s="14">
        <v>122222</v>
      </c>
    </row>
    <row r="3218" spans="1:6" x14ac:dyDescent="0.3">
      <c r="A3218" s="8">
        <v>3216</v>
      </c>
      <c r="B3218" s="8" t="s">
        <v>4148</v>
      </c>
      <c r="C3218" s="8" t="s">
        <v>6589</v>
      </c>
      <c r="D3218" s="8" t="s">
        <v>6590</v>
      </c>
      <c r="E3218" s="13">
        <v>0</v>
      </c>
      <c r="F3218" s="14">
        <v>0</v>
      </c>
    </row>
    <row r="3219" spans="1:6" x14ac:dyDescent="0.3">
      <c r="A3219" s="8">
        <v>3217</v>
      </c>
      <c r="B3219" s="8" t="s">
        <v>4148</v>
      </c>
      <c r="C3219" s="8" t="s">
        <v>6591</v>
      </c>
      <c r="D3219" s="8" t="s">
        <v>6592</v>
      </c>
      <c r="E3219" s="13">
        <v>83200</v>
      </c>
      <c r="F3219" s="14">
        <v>166667</v>
      </c>
    </row>
    <row r="3220" spans="1:6" x14ac:dyDescent="0.3">
      <c r="A3220" s="8">
        <v>3218</v>
      </c>
      <c r="B3220" s="8" t="s">
        <v>4148</v>
      </c>
      <c r="C3220" s="8" t="s">
        <v>6593</v>
      </c>
      <c r="D3220" s="8" t="s">
        <v>6594</v>
      </c>
      <c r="E3220" s="13">
        <v>97200</v>
      </c>
      <c r="F3220" s="14">
        <v>194444</v>
      </c>
    </row>
    <row r="3221" spans="1:6" x14ac:dyDescent="0.3">
      <c r="A3221" s="8">
        <v>3219</v>
      </c>
      <c r="B3221" s="8" t="s">
        <v>4148</v>
      </c>
      <c r="C3221" s="8" t="s">
        <v>6595</v>
      </c>
      <c r="D3221" s="8" t="s">
        <v>6596</v>
      </c>
      <c r="E3221" s="13">
        <v>70100</v>
      </c>
      <c r="F3221" s="14">
        <v>139815</v>
      </c>
    </row>
    <row r="3222" spans="1:6" x14ac:dyDescent="0.3">
      <c r="A3222" s="8">
        <v>3220</v>
      </c>
      <c r="B3222" s="8" t="s">
        <v>4148</v>
      </c>
      <c r="C3222" s="8" t="s">
        <v>6597</v>
      </c>
      <c r="D3222" s="8" t="s">
        <v>6598</v>
      </c>
      <c r="E3222" s="13">
        <v>94600</v>
      </c>
      <c r="F3222" s="14">
        <v>188889</v>
      </c>
    </row>
    <row r="3223" spans="1:6" x14ac:dyDescent="0.3">
      <c r="A3223" s="8">
        <v>3221</v>
      </c>
      <c r="B3223" s="8" t="s">
        <v>4148</v>
      </c>
      <c r="C3223" s="8" t="s">
        <v>6599</v>
      </c>
      <c r="D3223" s="8" t="s">
        <v>6600</v>
      </c>
      <c r="E3223" s="13">
        <v>83200</v>
      </c>
      <c r="F3223" s="14">
        <v>166667</v>
      </c>
    </row>
    <row r="3224" spans="1:6" x14ac:dyDescent="0.3">
      <c r="A3224" s="8">
        <v>3222</v>
      </c>
      <c r="B3224" s="8" t="s">
        <v>4148</v>
      </c>
      <c r="C3224" s="8" t="s">
        <v>6601</v>
      </c>
      <c r="D3224" s="8" t="s">
        <v>6602</v>
      </c>
      <c r="E3224" s="13">
        <v>180600</v>
      </c>
      <c r="F3224" s="14">
        <v>361111</v>
      </c>
    </row>
    <row r="3225" spans="1:6" x14ac:dyDescent="0.3">
      <c r="A3225" s="8">
        <v>3223</v>
      </c>
      <c r="B3225" s="8" t="s">
        <v>4148</v>
      </c>
      <c r="C3225" s="8" t="s">
        <v>6603</v>
      </c>
      <c r="D3225" s="8" t="s">
        <v>6604</v>
      </c>
      <c r="E3225" s="13">
        <v>0</v>
      </c>
      <c r="F3225" s="14">
        <v>144444</v>
      </c>
    </row>
    <row r="3226" spans="1:6" x14ac:dyDescent="0.3">
      <c r="A3226" s="8">
        <v>3224</v>
      </c>
      <c r="B3226" s="8" t="s">
        <v>4148</v>
      </c>
      <c r="C3226" s="8" t="s">
        <v>6605</v>
      </c>
      <c r="D3226" s="8" t="s">
        <v>6606</v>
      </c>
      <c r="E3226" s="13">
        <v>61400</v>
      </c>
      <c r="F3226" s="14">
        <v>136111</v>
      </c>
    </row>
    <row r="3227" spans="1:6" x14ac:dyDescent="0.3">
      <c r="A3227" s="8">
        <v>3225</v>
      </c>
      <c r="B3227" s="8" t="s">
        <v>4148</v>
      </c>
      <c r="C3227" s="8" t="s">
        <v>6607</v>
      </c>
      <c r="D3227" s="8" t="s">
        <v>6608</v>
      </c>
      <c r="E3227" s="13">
        <v>0</v>
      </c>
      <c r="F3227" s="14">
        <v>185185</v>
      </c>
    </row>
    <row r="3228" spans="1:6" x14ac:dyDescent="0.3">
      <c r="A3228" s="8">
        <v>3226</v>
      </c>
      <c r="B3228" s="8" t="s">
        <v>4148</v>
      </c>
      <c r="C3228" s="8" t="s">
        <v>6609</v>
      </c>
      <c r="D3228" s="8" t="s">
        <v>6610</v>
      </c>
      <c r="E3228" s="13">
        <v>0</v>
      </c>
      <c r="F3228" s="14">
        <v>0</v>
      </c>
    </row>
    <row r="3229" spans="1:6" x14ac:dyDescent="0.3">
      <c r="A3229" s="8">
        <v>3227</v>
      </c>
      <c r="B3229" s="8" t="s">
        <v>4148</v>
      </c>
      <c r="C3229" s="8" t="s">
        <v>6611</v>
      </c>
      <c r="D3229" s="8" t="s">
        <v>6612</v>
      </c>
      <c r="E3229" s="13">
        <v>0</v>
      </c>
      <c r="F3229" s="14">
        <v>0</v>
      </c>
    </row>
    <row r="3230" spans="1:6" x14ac:dyDescent="0.3">
      <c r="A3230" s="8">
        <v>3228</v>
      </c>
      <c r="B3230" s="8" t="s">
        <v>4148</v>
      </c>
      <c r="C3230" s="8" t="s">
        <v>6613</v>
      </c>
      <c r="D3230" s="8" t="s">
        <v>6614</v>
      </c>
      <c r="E3230" s="13">
        <v>0</v>
      </c>
      <c r="F3230" s="14">
        <v>0</v>
      </c>
    </row>
    <row r="3231" spans="1:6" x14ac:dyDescent="0.3">
      <c r="A3231" s="8">
        <v>3229</v>
      </c>
      <c r="B3231" s="8" t="s">
        <v>4148</v>
      </c>
      <c r="C3231" s="8" t="s">
        <v>6615</v>
      </c>
      <c r="D3231" s="8" t="s">
        <v>6616</v>
      </c>
      <c r="E3231" s="13">
        <v>0</v>
      </c>
      <c r="F3231" s="14">
        <v>0</v>
      </c>
    </row>
    <row r="3232" spans="1:6" x14ac:dyDescent="0.3">
      <c r="A3232" s="8">
        <v>3230</v>
      </c>
      <c r="B3232" s="8" t="s">
        <v>4148</v>
      </c>
      <c r="C3232" s="8" t="s">
        <v>6617</v>
      </c>
      <c r="D3232" s="8" t="s">
        <v>6618</v>
      </c>
      <c r="E3232" s="13">
        <v>0</v>
      </c>
      <c r="F3232" s="14">
        <v>0</v>
      </c>
    </row>
    <row r="3233" spans="1:6" x14ac:dyDescent="0.3">
      <c r="A3233" s="8">
        <v>3231</v>
      </c>
      <c r="B3233" s="8" t="s">
        <v>4148</v>
      </c>
      <c r="C3233" s="8" t="s">
        <v>6619</v>
      </c>
      <c r="D3233" s="8" t="s">
        <v>6620</v>
      </c>
      <c r="E3233" s="13">
        <v>0</v>
      </c>
      <c r="F3233" s="14">
        <v>0</v>
      </c>
    </row>
    <row r="3234" spans="1:6" x14ac:dyDescent="0.3">
      <c r="A3234" s="8">
        <v>3232</v>
      </c>
      <c r="B3234" s="8" t="s">
        <v>4148</v>
      </c>
      <c r="C3234" s="8" t="s">
        <v>6621</v>
      </c>
      <c r="D3234" s="8" t="s">
        <v>6622</v>
      </c>
      <c r="E3234" s="13">
        <v>0</v>
      </c>
      <c r="F3234" s="14">
        <v>0</v>
      </c>
    </row>
    <row r="3235" spans="1:6" x14ac:dyDescent="0.3">
      <c r="A3235" s="8">
        <v>3233</v>
      </c>
      <c r="B3235" s="8" t="s">
        <v>4148</v>
      </c>
      <c r="C3235" s="8" t="s">
        <v>6623</v>
      </c>
      <c r="D3235" s="8" t="s">
        <v>6624</v>
      </c>
      <c r="E3235" s="13">
        <v>0</v>
      </c>
      <c r="F3235" s="14">
        <v>0</v>
      </c>
    </row>
    <row r="3236" spans="1:6" x14ac:dyDescent="0.3">
      <c r="A3236" s="8">
        <v>3234</v>
      </c>
      <c r="B3236" s="8" t="s">
        <v>4148</v>
      </c>
      <c r="C3236" s="8" t="s">
        <v>6625</v>
      </c>
      <c r="D3236" s="8" t="s">
        <v>6626</v>
      </c>
      <c r="E3236" s="13">
        <v>0</v>
      </c>
      <c r="F3236" s="14">
        <v>0</v>
      </c>
    </row>
    <row r="3237" spans="1:6" x14ac:dyDescent="0.3">
      <c r="A3237" s="8">
        <v>3235</v>
      </c>
      <c r="B3237" s="8" t="s">
        <v>4148</v>
      </c>
      <c r="C3237" s="8" t="s">
        <v>6627</v>
      </c>
      <c r="D3237" s="8" t="s">
        <v>6628</v>
      </c>
      <c r="E3237" s="13">
        <v>0</v>
      </c>
      <c r="F3237" s="14">
        <v>0</v>
      </c>
    </row>
    <row r="3238" spans="1:6" x14ac:dyDescent="0.3">
      <c r="A3238" s="8">
        <v>3236</v>
      </c>
      <c r="B3238" s="8" t="s">
        <v>4148</v>
      </c>
      <c r="C3238" s="8" t="s">
        <v>6629</v>
      </c>
      <c r="D3238" s="8" t="s">
        <v>6630</v>
      </c>
      <c r="E3238" s="13">
        <v>0</v>
      </c>
      <c r="F3238" s="14">
        <v>0</v>
      </c>
    </row>
    <row r="3239" spans="1:6" x14ac:dyDescent="0.3">
      <c r="A3239" s="8">
        <v>3237</v>
      </c>
      <c r="B3239" s="8" t="s">
        <v>4148</v>
      </c>
      <c r="C3239" s="8" t="s">
        <v>6631</v>
      </c>
      <c r="D3239" s="8" t="s">
        <v>6632</v>
      </c>
      <c r="E3239" s="13">
        <v>0</v>
      </c>
      <c r="F3239" s="14">
        <v>0</v>
      </c>
    </row>
    <row r="3240" spans="1:6" x14ac:dyDescent="0.3">
      <c r="A3240" s="8">
        <v>3238</v>
      </c>
      <c r="B3240" s="8" t="s">
        <v>4148</v>
      </c>
      <c r="C3240" s="8" t="s">
        <v>6633</v>
      </c>
      <c r="D3240" s="8" t="s">
        <v>6634</v>
      </c>
      <c r="E3240" s="13">
        <v>0</v>
      </c>
      <c r="F3240" s="14">
        <v>0</v>
      </c>
    </row>
    <row r="3241" spans="1:6" x14ac:dyDescent="0.3">
      <c r="A3241" s="8">
        <v>3239</v>
      </c>
      <c r="B3241" s="8" t="s">
        <v>4148</v>
      </c>
      <c r="C3241" s="8" t="s">
        <v>6635</v>
      </c>
      <c r="D3241" s="8" t="s">
        <v>6636</v>
      </c>
      <c r="E3241" s="13">
        <v>0</v>
      </c>
      <c r="F3241" s="14">
        <v>0</v>
      </c>
    </row>
    <row r="3242" spans="1:6" x14ac:dyDescent="0.3">
      <c r="A3242" s="8">
        <v>3240</v>
      </c>
      <c r="B3242" s="8" t="s">
        <v>4148</v>
      </c>
      <c r="C3242" s="8" t="s">
        <v>6637</v>
      </c>
      <c r="D3242" s="8" t="s">
        <v>6638</v>
      </c>
      <c r="E3242" s="13">
        <v>0</v>
      </c>
      <c r="F3242" s="14">
        <v>0</v>
      </c>
    </row>
    <row r="3243" spans="1:6" x14ac:dyDescent="0.3">
      <c r="A3243" s="8">
        <v>3241</v>
      </c>
      <c r="B3243" s="8" t="s">
        <v>4148</v>
      </c>
      <c r="C3243" s="8" t="s">
        <v>6639</v>
      </c>
      <c r="D3243" s="8" t="s">
        <v>6640</v>
      </c>
      <c r="E3243" s="13">
        <v>0</v>
      </c>
      <c r="F3243" s="14">
        <v>0</v>
      </c>
    </row>
    <row r="3244" spans="1:6" x14ac:dyDescent="0.3">
      <c r="A3244" s="8">
        <v>3242</v>
      </c>
      <c r="B3244" s="8" t="s">
        <v>4148</v>
      </c>
      <c r="C3244" s="8" t="s">
        <v>6641</v>
      </c>
      <c r="D3244" s="8" t="s">
        <v>6642</v>
      </c>
      <c r="E3244" s="13">
        <v>0</v>
      </c>
      <c r="F3244" s="14">
        <v>0</v>
      </c>
    </row>
    <row r="3245" spans="1:6" x14ac:dyDescent="0.3">
      <c r="A3245" s="8">
        <v>3243</v>
      </c>
      <c r="B3245" s="8" t="s">
        <v>4148</v>
      </c>
      <c r="C3245" s="8" t="s">
        <v>6643</v>
      </c>
      <c r="D3245" s="8" t="s">
        <v>6644</v>
      </c>
      <c r="E3245" s="13">
        <v>0</v>
      </c>
      <c r="F3245" s="14">
        <v>0</v>
      </c>
    </row>
    <row r="3246" spans="1:6" x14ac:dyDescent="0.3">
      <c r="A3246" s="8">
        <v>3244</v>
      </c>
      <c r="B3246" s="8" t="s">
        <v>4148</v>
      </c>
      <c r="C3246" s="8" t="s">
        <v>6645</v>
      </c>
      <c r="D3246" s="8" t="s">
        <v>6646</v>
      </c>
      <c r="E3246" s="13">
        <v>0</v>
      </c>
      <c r="F3246" s="14">
        <v>0</v>
      </c>
    </row>
    <row r="3247" spans="1:6" x14ac:dyDescent="0.3">
      <c r="A3247" s="8">
        <v>3245</v>
      </c>
      <c r="B3247" s="8" t="s">
        <v>4148</v>
      </c>
      <c r="C3247" s="8" t="s">
        <v>6647</v>
      </c>
      <c r="D3247" s="8" t="s">
        <v>6648</v>
      </c>
      <c r="E3247" s="13">
        <v>0</v>
      </c>
      <c r="F3247" s="14">
        <v>0</v>
      </c>
    </row>
    <row r="3248" spans="1:6" x14ac:dyDescent="0.3">
      <c r="A3248" s="8">
        <v>3246</v>
      </c>
      <c r="B3248" s="8" t="s">
        <v>4148</v>
      </c>
      <c r="C3248" s="8" t="s">
        <v>6649</v>
      </c>
      <c r="D3248" s="8" t="s">
        <v>6650</v>
      </c>
      <c r="E3248" s="13">
        <v>0</v>
      </c>
      <c r="F3248" s="14">
        <v>0</v>
      </c>
    </row>
    <row r="3249" spans="1:6" x14ac:dyDescent="0.3">
      <c r="A3249" s="8">
        <v>3247</v>
      </c>
      <c r="B3249" s="8" t="s">
        <v>4148</v>
      </c>
      <c r="C3249" s="8" t="s">
        <v>6651</v>
      </c>
      <c r="D3249" s="8" t="s">
        <v>6652</v>
      </c>
      <c r="E3249" s="13">
        <v>47700</v>
      </c>
      <c r="F3249" s="14">
        <v>95370</v>
      </c>
    </row>
    <row r="3250" spans="1:6" x14ac:dyDescent="0.3">
      <c r="A3250" s="8">
        <v>3248</v>
      </c>
      <c r="B3250" s="8" t="s">
        <v>4148</v>
      </c>
      <c r="C3250" s="8" t="s">
        <v>6653</v>
      </c>
      <c r="D3250" s="8" t="s">
        <v>6654</v>
      </c>
      <c r="E3250" s="13">
        <v>88000</v>
      </c>
      <c r="F3250" s="14">
        <v>175926</v>
      </c>
    </row>
    <row r="3251" spans="1:6" x14ac:dyDescent="0.3">
      <c r="A3251" s="8">
        <v>3249</v>
      </c>
      <c r="B3251" s="8" t="s">
        <v>4148</v>
      </c>
      <c r="C3251" s="8" t="s">
        <v>6655</v>
      </c>
      <c r="D3251" s="8" t="s">
        <v>6656</v>
      </c>
      <c r="E3251" s="13">
        <v>0</v>
      </c>
      <c r="F3251" s="14">
        <v>0</v>
      </c>
    </row>
    <row r="3252" spans="1:6" x14ac:dyDescent="0.3">
      <c r="A3252" s="8">
        <v>3250</v>
      </c>
      <c r="B3252" s="8" t="s">
        <v>4148</v>
      </c>
      <c r="C3252" s="8" t="s">
        <v>6657</v>
      </c>
      <c r="D3252" s="8" t="s">
        <v>6658</v>
      </c>
      <c r="E3252" s="13">
        <v>0</v>
      </c>
      <c r="F3252" s="14">
        <v>0</v>
      </c>
    </row>
    <row r="3253" spans="1:6" x14ac:dyDescent="0.3">
      <c r="A3253" s="8">
        <v>3251</v>
      </c>
      <c r="B3253" s="8" t="s">
        <v>4148</v>
      </c>
      <c r="C3253" s="8" t="s">
        <v>6659</v>
      </c>
      <c r="D3253" s="8" t="s">
        <v>6660</v>
      </c>
      <c r="E3253" s="13">
        <v>0</v>
      </c>
      <c r="F3253" s="14">
        <v>0</v>
      </c>
    </row>
    <row r="3254" spans="1:6" x14ac:dyDescent="0.3">
      <c r="A3254" s="8">
        <v>3252</v>
      </c>
      <c r="B3254" s="8" t="s">
        <v>4148</v>
      </c>
      <c r="C3254" s="8" t="s">
        <v>6661</v>
      </c>
      <c r="D3254" s="8" t="s">
        <v>6662</v>
      </c>
      <c r="E3254" s="13">
        <v>0</v>
      </c>
      <c r="F3254" s="14">
        <v>0</v>
      </c>
    </row>
    <row r="3255" spans="1:6" x14ac:dyDescent="0.3">
      <c r="A3255" s="8">
        <v>3253</v>
      </c>
      <c r="B3255" s="8" t="s">
        <v>4148</v>
      </c>
      <c r="C3255" s="8" t="s">
        <v>6663</v>
      </c>
      <c r="D3255" s="8" t="s">
        <v>6664</v>
      </c>
      <c r="E3255" s="13">
        <v>0</v>
      </c>
      <c r="F3255" s="14">
        <v>0</v>
      </c>
    </row>
    <row r="3256" spans="1:6" x14ac:dyDescent="0.3">
      <c r="A3256" s="8">
        <v>3254</v>
      </c>
      <c r="B3256" s="8" t="s">
        <v>6029</v>
      </c>
      <c r="C3256" s="8" t="s">
        <v>6665</v>
      </c>
      <c r="D3256" s="8" t="s">
        <v>6666</v>
      </c>
      <c r="E3256" s="13">
        <v>79100</v>
      </c>
      <c r="F3256" s="14">
        <v>158333</v>
      </c>
    </row>
    <row r="3257" spans="1:6" x14ac:dyDescent="0.3">
      <c r="A3257" s="8">
        <v>3255</v>
      </c>
      <c r="B3257" s="8" t="s">
        <v>6029</v>
      </c>
      <c r="C3257" s="8" t="s">
        <v>6667</v>
      </c>
      <c r="D3257" s="8" t="s">
        <v>6668</v>
      </c>
      <c r="E3257" s="13">
        <v>123000</v>
      </c>
      <c r="F3257" s="14">
        <v>246296</v>
      </c>
    </row>
    <row r="3258" spans="1:6" x14ac:dyDescent="0.3">
      <c r="A3258" s="8">
        <v>3256</v>
      </c>
      <c r="B3258" s="8" t="s">
        <v>6022</v>
      </c>
      <c r="C3258" s="8" t="s">
        <v>6669</v>
      </c>
      <c r="D3258" s="8" t="s">
        <v>6670</v>
      </c>
      <c r="E3258" s="13">
        <v>214000</v>
      </c>
      <c r="F3258" s="14">
        <v>427778</v>
      </c>
    </row>
    <row r="3259" spans="1:6" x14ac:dyDescent="0.3">
      <c r="A3259" s="8">
        <v>3257</v>
      </c>
      <c r="B3259" s="8" t="s">
        <v>6022</v>
      </c>
      <c r="C3259" s="8" t="s">
        <v>6671</v>
      </c>
      <c r="D3259" s="8" t="s">
        <v>6672</v>
      </c>
      <c r="E3259" s="13">
        <v>121000</v>
      </c>
      <c r="F3259" s="14">
        <v>241667</v>
      </c>
    </row>
    <row r="3260" spans="1:6" x14ac:dyDescent="0.3">
      <c r="A3260" s="8">
        <v>3258</v>
      </c>
      <c r="B3260" s="8" t="s">
        <v>6022</v>
      </c>
      <c r="C3260" s="8" t="s">
        <v>6673</v>
      </c>
      <c r="D3260" s="8" t="s">
        <v>6674</v>
      </c>
      <c r="E3260" s="13">
        <v>55000</v>
      </c>
      <c r="F3260" s="14">
        <v>110185</v>
      </c>
    </row>
    <row r="3261" spans="1:6" x14ac:dyDescent="0.3">
      <c r="A3261" s="8">
        <v>3259</v>
      </c>
      <c r="B3261" s="8" t="s">
        <v>6022</v>
      </c>
      <c r="C3261" s="8" t="s">
        <v>6675</v>
      </c>
      <c r="D3261" s="8" t="s">
        <v>6676</v>
      </c>
      <c r="E3261" s="13">
        <v>142000</v>
      </c>
      <c r="F3261" s="14">
        <v>284259</v>
      </c>
    </row>
    <row r="3262" spans="1:6" x14ac:dyDescent="0.3">
      <c r="A3262" s="8">
        <v>3260</v>
      </c>
      <c r="B3262" s="8" t="s">
        <v>6029</v>
      </c>
      <c r="C3262" s="8" t="s">
        <v>6677</v>
      </c>
      <c r="D3262" s="8" t="s">
        <v>6678</v>
      </c>
      <c r="E3262" s="13">
        <v>178000</v>
      </c>
      <c r="F3262" s="14">
        <v>355556</v>
      </c>
    </row>
    <row r="3263" spans="1:6" x14ac:dyDescent="0.3">
      <c r="A3263" s="8">
        <v>3261</v>
      </c>
      <c r="B3263" s="8" t="s">
        <v>6022</v>
      </c>
      <c r="C3263" s="8" t="s">
        <v>6679</v>
      </c>
      <c r="D3263" s="8" t="s">
        <v>6680</v>
      </c>
      <c r="E3263" s="13">
        <v>0</v>
      </c>
      <c r="F3263" s="14">
        <v>0</v>
      </c>
    </row>
    <row r="3264" spans="1:6" x14ac:dyDescent="0.3">
      <c r="A3264" s="8">
        <v>3262</v>
      </c>
      <c r="B3264" s="8" t="s">
        <v>4148</v>
      </c>
      <c r="C3264" s="8" t="s">
        <v>6681</v>
      </c>
      <c r="D3264" s="8" t="s">
        <v>6682</v>
      </c>
      <c r="E3264" s="13">
        <v>70100</v>
      </c>
      <c r="F3264" s="14">
        <v>156481</v>
      </c>
    </row>
    <row r="3265" spans="1:6" x14ac:dyDescent="0.3">
      <c r="A3265" s="8">
        <v>3263</v>
      </c>
      <c r="B3265" s="8" t="s">
        <v>4148</v>
      </c>
      <c r="C3265" s="8" t="s">
        <v>6683</v>
      </c>
      <c r="D3265" s="8" t="s">
        <v>6684</v>
      </c>
      <c r="E3265" s="13">
        <v>176000</v>
      </c>
      <c r="F3265" s="14">
        <v>351852</v>
      </c>
    </row>
    <row r="3266" spans="1:6" x14ac:dyDescent="0.3">
      <c r="A3266" s="8">
        <v>3264</v>
      </c>
      <c r="B3266" s="8" t="s">
        <v>4148</v>
      </c>
      <c r="C3266" s="8" t="s">
        <v>6685</v>
      </c>
      <c r="D3266" s="8" t="s">
        <v>6686</v>
      </c>
      <c r="E3266" s="13">
        <v>165000</v>
      </c>
      <c r="F3266" s="14">
        <v>329630</v>
      </c>
    </row>
    <row r="3267" spans="1:6" x14ac:dyDescent="0.3">
      <c r="A3267" s="8">
        <v>3265</v>
      </c>
      <c r="B3267" s="8" t="s">
        <v>4148</v>
      </c>
      <c r="C3267" s="8" t="s">
        <v>6687</v>
      </c>
      <c r="D3267" s="8" t="s">
        <v>6688</v>
      </c>
      <c r="E3267" s="13">
        <v>83800</v>
      </c>
      <c r="F3267" s="14">
        <v>167593</v>
      </c>
    </row>
    <row r="3268" spans="1:6" x14ac:dyDescent="0.3">
      <c r="A3268" s="8">
        <v>3266</v>
      </c>
      <c r="B3268" s="8" t="s">
        <v>4148</v>
      </c>
      <c r="C3268" s="8" t="s">
        <v>6689</v>
      </c>
      <c r="D3268" s="8" t="s">
        <v>6690</v>
      </c>
      <c r="E3268" s="13">
        <v>79500</v>
      </c>
      <c r="F3268" s="14">
        <v>159259</v>
      </c>
    </row>
    <row r="3269" spans="1:6" x14ac:dyDescent="0.3">
      <c r="A3269" s="8">
        <v>3267</v>
      </c>
      <c r="B3269" s="8" t="s">
        <v>4148</v>
      </c>
      <c r="C3269" s="8" t="s">
        <v>6691</v>
      </c>
      <c r="D3269" s="8" t="s">
        <v>6692</v>
      </c>
      <c r="E3269" s="13">
        <v>0</v>
      </c>
      <c r="F3269" s="14">
        <v>0</v>
      </c>
    </row>
    <row r="3270" spans="1:6" x14ac:dyDescent="0.3">
      <c r="A3270" s="8">
        <v>3268</v>
      </c>
      <c r="B3270" s="8" t="s">
        <v>4148</v>
      </c>
      <c r="C3270" s="8" t="s">
        <v>6693</v>
      </c>
      <c r="D3270" s="8" t="s">
        <v>6694</v>
      </c>
      <c r="E3270" s="13">
        <v>79500</v>
      </c>
      <c r="F3270" s="14">
        <v>159259</v>
      </c>
    </row>
    <row r="3271" spans="1:6" x14ac:dyDescent="0.3">
      <c r="A3271" s="8">
        <v>3269</v>
      </c>
      <c r="B3271" s="8" t="s">
        <v>4148</v>
      </c>
      <c r="C3271" s="8" t="s">
        <v>6695</v>
      </c>
      <c r="D3271" s="8" t="s">
        <v>6696</v>
      </c>
      <c r="E3271" s="13">
        <v>94600</v>
      </c>
      <c r="F3271" s="14">
        <v>188889</v>
      </c>
    </row>
    <row r="3272" spans="1:6" x14ac:dyDescent="0.3">
      <c r="A3272" s="8">
        <v>3270</v>
      </c>
      <c r="B3272" s="8" t="s">
        <v>4148</v>
      </c>
      <c r="C3272" s="8" t="s">
        <v>6697</v>
      </c>
      <c r="D3272" s="8" t="s">
        <v>6698</v>
      </c>
      <c r="E3272" s="13">
        <v>148200</v>
      </c>
      <c r="F3272" s="14">
        <v>296296</v>
      </c>
    </row>
    <row r="3273" spans="1:6" x14ac:dyDescent="0.3">
      <c r="A3273" s="8">
        <v>3271</v>
      </c>
      <c r="B3273" s="8" t="s">
        <v>4148</v>
      </c>
      <c r="C3273" s="8" t="s">
        <v>6699</v>
      </c>
      <c r="D3273" s="8" t="s">
        <v>6700</v>
      </c>
      <c r="E3273" s="13">
        <v>0</v>
      </c>
      <c r="F3273" s="14">
        <v>789815</v>
      </c>
    </row>
    <row r="3274" spans="1:6" x14ac:dyDescent="0.3">
      <c r="A3274" s="8">
        <v>3272</v>
      </c>
      <c r="B3274" s="8" t="s">
        <v>4148</v>
      </c>
      <c r="C3274" s="8" t="s">
        <v>6701</v>
      </c>
      <c r="D3274" s="8" t="s">
        <v>6702</v>
      </c>
      <c r="E3274" s="13">
        <v>88000</v>
      </c>
      <c r="F3274" s="14">
        <v>175926</v>
      </c>
    </row>
    <row r="3275" spans="1:6" x14ac:dyDescent="0.3">
      <c r="A3275" s="8">
        <v>3273</v>
      </c>
      <c r="B3275" s="8" t="s">
        <v>4148</v>
      </c>
      <c r="C3275" s="8" t="s">
        <v>6703</v>
      </c>
      <c r="D3275" s="8" t="s">
        <v>6704</v>
      </c>
      <c r="E3275" s="13">
        <v>79500</v>
      </c>
      <c r="F3275" s="14">
        <v>159259</v>
      </c>
    </row>
    <row r="3276" spans="1:6" x14ac:dyDescent="0.3">
      <c r="A3276" s="8">
        <v>3274</v>
      </c>
      <c r="B3276" s="8" t="s">
        <v>4148</v>
      </c>
      <c r="C3276" s="8" t="s">
        <v>6705</v>
      </c>
      <c r="D3276" s="8" t="s">
        <v>6706</v>
      </c>
      <c r="E3276" s="13">
        <v>0</v>
      </c>
      <c r="F3276" s="14">
        <v>0</v>
      </c>
    </row>
    <row r="3277" spans="1:6" x14ac:dyDescent="0.3">
      <c r="A3277" s="8">
        <v>3275</v>
      </c>
      <c r="B3277" s="8" t="s">
        <v>4148</v>
      </c>
      <c r="C3277" s="8" t="s">
        <v>6707</v>
      </c>
      <c r="D3277" s="8" t="s">
        <v>6708</v>
      </c>
      <c r="E3277" s="13">
        <v>0</v>
      </c>
      <c r="F3277" s="14">
        <v>0</v>
      </c>
    </row>
    <row r="3278" spans="1:6" x14ac:dyDescent="0.3">
      <c r="A3278" s="8">
        <v>3276</v>
      </c>
      <c r="B3278" s="8" t="s">
        <v>4148</v>
      </c>
      <c r="C3278" s="8" t="s">
        <v>6709</v>
      </c>
      <c r="D3278" s="8" t="s">
        <v>6710</v>
      </c>
      <c r="E3278" s="13">
        <v>0</v>
      </c>
      <c r="F3278" s="14">
        <v>0</v>
      </c>
    </row>
    <row r="3279" spans="1:6" x14ac:dyDescent="0.3">
      <c r="A3279" s="8">
        <v>3277</v>
      </c>
      <c r="B3279" s="8" t="s">
        <v>4148</v>
      </c>
      <c r="C3279" s="8" t="s">
        <v>6711</v>
      </c>
      <c r="D3279" s="8" t="s">
        <v>6712</v>
      </c>
      <c r="E3279" s="13">
        <v>0</v>
      </c>
      <c r="F3279" s="14">
        <v>0</v>
      </c>
    </row>
    <row r="3280" spans="1:6" x14ac:dyDescent="0.3">
      <c r="A3280" s="8">
        <v>3278</v>
      </c>
      <c r="B3280" s="8" t="s">
        <v>4148</v>
      </c>
      <c r="C3280" s="8" t="s">
        <v>6713</v>
      </c>
      <c r="D3280" s="8" t="s">
        <v>6714</v>
      </c>
      <c r="E3280" s="13">
        <v>0</v>
      </c>
      <c r="F3280" s="14">
        <v>0</v>
      </c>
    </row>
    <row r="3281" spans="1:6" x14ac:dyDescent="0.3">
      <c r="A3281" s="8">
        <v>3279</v>
      </c>
      <c r="B3281" s="8" t="s">
        <v>4148</v>
      </c>
      <c r="C3281" s="8" t="s">
        <v>6715</v>
      </c>
      <c r="D3281" s="8" t="s">
        <v>6716</v>
      </c>
      <c r="E3281" s="13">
        <v>0</v>
      </c>
      <c r="F3281" s="14">
        <v>0</v>
      </c>
    </row>
    <row r="3282" spans="1:6" x14ac:dyDescent="0.3">
      <c r="A3282" s="8">
        <v>3280</v>
      </c>
      <c r="B3282" s="8" t="s">
        <v>4148</v>
      </c>
      <c r="C3282" s="8" t="s">
        <v>6717</v>
      </c>
      <c r="D3282" s="8" t="s">
        <v>6718</v>
      </c>
      <c r="E3282" s="13">
        <v>0</v>
      </c>
      <c r="F3282" s="14">
        <v>0</v>
      </c>
    </row>
    <row r="3283" spans="1:6" x14ac:dyDescent="0.3">
      <c r="A3283" s="8">
        <v>3281</v>
      </c>
      <c r="B3283" s="8" t="s">
        <v>4148</v>
      </c>
      <c r="C3283" s="8" t="s">
        <v>6719</v>
      </c>
      <c r="D3283" s="8" t="s">
        <v>6720</v>
      </c>
      <c r="E3283" s="13">
        <v>0</v>
      </c>
      <c r="F3283" s="14">
        <v>0</v>
      </c>
    </row>
    <row r="3284" spans="1:6" x14ac:dyDescent="0.3">
      <c r="A3284" s="8">
        <v>3282</v>
      </c>
      <c r="B3284" s="8" t="s">
        <v>4148</v>
      </c>
      <c r="C3284" s="8" t="s">
        <v>6721</v>
      </c>
      <c r="D3284" s="8" t="s">
        <v>6722</v>
      </c>
      <c r="E3284" s="13">
        <v>0</v>
      </c>
      <c r="F3284" s="14">
        <v>0</v>
      </c>
    </row>
    <row r="3285" spans="1:6" x14ac:dyDescent="0.3">
      <c r="A3285" s="8">
        <v>3283</v>
      </c>
      <c r="B3285" s="8" t="s">
        <v>4148</v>
      </c>
      <c r="C3285" s="8" t="s">
        <v>6723</v>
      </c>
      <c r="D3285" s="8" t="s">
        <v>6724</v>
      </c>
      <c r="E3285" s="13">
        <v>0</v>
      </c>
      <c r="F3285" s="14">
        <v>0</v>
      </c>
    </row>
    <row r="3286" spans="1:6" x14ac:dyDescent="0.3">
      <c r="A3286" s="8">
        <v>3284</v>
      </c>
      <c r="B3286" s="8" t="s">
        <v>2792</v>
      </c>
      <c r="C3286" s="8" t="s">
        <v>6725</v>
      </c>
      <c r="D3286" s="8" t="s">
        <v>6726</v>
      </c>
      <c r="E3286" s="13">
        <v>0</v>
      </c>
      <c r="F3286" s="14">
        <v>0</v>
      </c>
    </row>
    <row r="3287" spans="1:6" x14ac:dyDescent="0.3">
      <c r="A3287" s="8">
        <v>3285</v>
      </c>
      <c r="B3287" s="8" t="s">
        <v>2792</v>
      </c>
      <c r="C3287" s="8" t="s">
        <v>6727</v>
      </c>
      <c r="D3287" s="8" t="s">
        <v>6728</v>
      </c>
      <c r="E3287" s="13">
        <v>0</v>
      </c>
      <c r="F3287" s="14">
        <v>0</v>
      </c>
    </row>
    <row r="3288" spans="1:6" x14ac:dyDescent="0.3">
      <c r="A3288" s="8">
        <v>3286</v>
      </c>
      <c r="B3288" s="8" t="s">
        <v>2792</v>
      </c>
      <c r="C3288" s="8" t="s">
        <v>6729</v>
      </c>
      <c r="D3288" s="8" t="s">
        <v>6730</v>
      </c>
      <c r="E3288" s="13">
        <v>1258000</v>
      </c>
      <c r="F3288" s="14">
        <v>2515741</v>
      </c>
    </row>
    <row r="3289" spans="1:6" x14ac:dyDescent="0.3">
      <c r="A3289" s="8">
        <v>3287</v>
      </c>
      <c r="B3289" s="8" t="s">
        <v>2792</v>
      </c>
      <c r="C3289" s="8" t="s">
        <v>6731</v>
      </c>
      <c r="D3289" s="8" t="s">
        <v>6732</v>
      </c>
      <c r="E3289" s="13">
        <v>0</v>
      </c>
      <c r="F3289" s="14">
        <v>0</v>
      </c>
    </row>
    <row r="3290" spans="1:6" x14ac:dyDescent="0.3">
      <c r="A3290" s="8">
        <v>3288</v>
      </c>
      <c r="B3290" s="8" t="s">
        <v>2792</v>
      </c>
      <c r="C3290" s="8" t="s">
        <v>6733</v>
      </c>
      <c r="D3290" s="8" t="s">
        <v>6734</v>
      </c>
      <c r="E3290" s="13">
        <v>0</v>
      </c>
      <c r="F3290" s="14">
        <v>0</v>
      </c>
    </row>
    <row r="3291" spans="1:6" x14ac:dyDescent="0.3">
      <c r="A3291" s="8">
        <v>3289</v>
      </c>
      <c r="B3291" s="8" t="s">
        <v>4148</v>
      </c>
      <c r="C3291" s="8" t="s">
        <v>6735</v>
      </c>
      <c r="D3291" s="8" t="s">
        <v>6736</v>
      </c>
      <c r="E3291" s="13">
        <v>0</v>
      </c>
      <c r="F3291" s="14">
        <v>0</v>
      </c>
    </row>
    <row r="3292" spans="1:6" x14ac:dyDescent="0.3">
      <c r="A3292" s="8">
        <v>3290</v>
      </c>
      <c r="B3292" s="8" t="s">
        <v>4148</v>
      </c>
      <c r="C3292" s="8" t="s">
        <v>6737</v>
      </c>
      <c r="D3292" s="8" t="s">
        <v>6738</v>
      </c>
      <c r="E3292" s="13">
        <v>46296</v>
      </c>
      <c r="F3292" s="14">
        <v>46296</v>
      </c>
    </row>
    <row r="3293" spans="1:6" x14ac:dyDescent="0.3">
      <c r="A3293" s="8">
        <v>3291</v>
      </c>
      <c r="B3293" s="8" t="s">
        <v>4148</v>
      </c>
      <c r="C3293" s="8" t="s">
        <v>6739</v>
      </c>
      <c r="D3293" s="8" t="s">
        <v>6740</v>
      </c>
      <c r="E3293" s="13">
        <v>0</v>
      </c>
      <c r="F3293" s="14">
        <v>240000</v>
      </c>
    </row>
    <row r="3294" spans="1:6" x14ac:dyDescent="0.3">
      <c r="A3294" s="8">
        <v>3292</v>
      </c>
      <c r="B3294" s="8" t="s">
        <v>4148</v>
      </c>
      <c r="C3294" s="8" t="s">
        <v>6741</v>
      </c>
      <c r="D3294" s="8" t="s">
        <v>6742</v>
      </c>
      <c r="E3294" s="13">
        <v>70100</v>
      </c>
      <c r="F3294" s="14">
        <v>139815</v>
      </c>
    </row>
    <row r="3295" spans="1:6" x14ac:dyDescent="0.3">
      <c r="A3295" s="8">
        <v>3293</v>
      </c>
      <c r="B3295" s="8" t="s">
        <v>4148</v>
      </c>
      <c r="C3295" s="8" t="s">
        <v>6743</v>
      </c>
      <c r="D3295" s="8" t="s">
        <v>6744</v>
      </c>
      <c r="E3295" s="13">
        <v>77500</v>
      </c>
      <c r="F3295" s="14">
        <v>154630</v>
      </c>
    </row>
    <row r="3296" spans="1:6" x14ac:dyDescent="0.3">
      <c r="A3296" s="8">
        <v>3294</v>
      </c>
      <c r="B3296" s="8" t="s">
        <v>4148</v>
      </c>
      <c r="C3296" s="8" t="s">
        <v>6745</v>
      </c>
      <c r="D3296" s="8" t="s">
        <v>6746</v>
      </c>
      <c r="E3296" s="13">
        <v>64400</v>
      </c>
      <c r="F3296" s="14">
        <v>128000</v>
      </c>
    </row>
    <row r="3297" spans="1:6" x14ac:dyDescent="0.3">
      <c r="A3297" s="8">
        <v>3295</v>
      </c>
      <c r="B3297" s="8" t="s">
        <v>4148</v>
      </c>
      <c r="C3297" s="8" t="s">
        <v>6747</v>
      </c>
      <c r="D3297" s="8" t="s">
        <v>6748</v>
      </c>
      <c r="E3297" s="13">
        <v>38700</v>
      </c>
      <c r="F3297" s="14">
        <v>66667</v>
      </c>
    </row>
    <row r="3298" spans="1:6" x14ac:dyDescent="0.3">
      <c r="A3298" s="8">
        <v>3296</v>
      </c>
      <c r="B3298" s="8" t="s">
        <v>4148</v>
      </c>
      <c r="C3298" s="8" t="s">
        <v>6749</v>
      </c>
      <c r="D3298" s="8" t="s">
        <v>6750</v>
      </c>
      <c r="E3298" s="13">
        <v>0</v>
      </c>
      <c r="F3298" s="14">
        <v>0</v>
      </c>
    </row>
    <row r="3299" spans="1:6" x14ac:dyDescent="0.3">
      <c r="A3299" s="8">
        <v>3297</v>
      </c>
      <c r="B3299" s="8" t="s">
        <v>4148</v>
      </c>
      <c r="C3299" s="8" t="s">
        <v>6751</v>
      </c>
      <c r="D3299" s="8" t="s">
        <v>6752</v>
      </c>
      <c r="E3299" s="13">
        <v>0</v>
      </c>
      <c r="F3299" s="14">
        <v>123000</v>
      </c>
    </row>
    <row r="3300" spans="1:6" x14ac:dyDescent="0.3">
      <c r="A3300" s="8">
        <v>3298</v>
      </c>
      <c r="B3300" s="8" t="s">
        <v>4148</v>
      </c>
      <c r="C3300" s="8" t="s">
        <v>6753</v>
      </c>
      <c r="D3300" s="8" t="s">
        <v>6754</v>
      </c>
      <c r="E3300" s="13">
        <v>0</v>
      </c>
      <c r="F3300" s="14">
        <v>2100000</v>
      </c>
    </row>
    <row r="3301" spans="1:6" x14ac:dyDescent="0.3">
      <c r="A3301" s="8">
        <v>3299</v>
      </c>
      <c r="B3301" s="8" t="s">
        <v>4148</v>
      </c>
      <c r="C3301" s="8" t="s">
        <v>6755</v>
      </c>
      <c r="D3301" s="8" t="s">
        <v>6756</v>
      </c>
      <c r="E3301" s="13">
        <v>51300</v>
      </c>
      <c r="F3301" s="14">
        <v>112000</v>
      </c>
    </row>
    <row r="3302" spans="1:6" x14ac:dyDescent="0.3">
      <c r="A3302" s="8">
        <v>3300</v>
      </c>
      <c r="B3302" s="8" t="s">
        <v>4148</v>
      </c>
      <c r="C3302" s="8" t="s">
        <v>6757</v>
      </c>
      <c r="D3302" s="8" t="s">
        <v>6758</v>
      </c>
      <c r="E3302" s="13">
        <v>51300</v>
      </c>
      <c r="F3302" s="14">
        <v>112000</v>
      </c>
    </row>
    <row r="3303" spans="1:6" x14ac:dyDescent="0.3">
      <c r="A3303" s="8">
        <v>3301</v>
      </c>
      <c r="B3303" s="8" t="s">
        <v>4148</v>
      </c>
      <c r="C3303" s="8" t="s">
        <v>6759</v>
      </c>
      <c r="D3303" s="8" t="s">
        <v>6760</v>
      </c>
      <c r="E3303" s="13">
        <v>0</v>
      </c>
      <c r="F3303" s="14">
        <v>0</v>
      </c>
    </row>
    <row r="3304" spans="1:6" x14ac:dyDescent="0.3">
      <c r="A3304" s="8">
        <v>3302</v>
      </c>
      <c r="B3304" s="8" t="s">
        <v>4148</v>
      </c>
      <c r="C3304" s="8" t="s">
        <v>6761</v>
      </c>
      <c r="D3304" s="8" t="s">
        <v>6762</v>
      </c>
      <c r="E3304" s="13">
        <v>70100</v>
      </c>
      <c r="F3304" s="14">
        <v>156481</v>
      </c>
    </row>
    <row r="3305" spans="1:6" x14ac:dyDescent="0.3">
      <c r="A3305" s="8">
        <v>3303</v>
      </c>
      <c r="B3305" s="8" t="s">
        <v>4148</v>
      </c>
      <c r="C3305" s="8" t="s">
        <v>6763</v>
      </c>
      <c r="D3305" s="8" t="s">
        <v>6764</v>
      </c>
      <c r="E3305" s="13">
        <v>0</v>
      </c>
      <c r="F3305" s="14">
        <v>0</v>
      </c>
    </row>
    <row r="3306" spans="1:6" x14ac:dyDescent="0.3">
      <c r="A3306" s="8">
        <v>3304</v>
      </c>
      <c r="B3306" s="8" t="s">
        <v>4148</v>
      </c>
      <c r="C3306" s="8" t="s">
        <v>6765</v>
      </c>
      <c r="D3306" s="8" t="s">
        <v>6766</v>
      </c>
      <c r="E3306" s="13">
        <v>0</v>
      </c>
      <c r="F3306" s="14">
        <v>0</v>
      </c>
    </row>
    <row r="3307" spans="1:6" x14ac:dyDescent="0.3">
      <c r="A3307" s="8">
        <v>3305</v>
      </c>
      <c r="B3307" s="8" t="s">
        <v>4148</v>
      </c>
      <c r="C3307" s="8" t="s">
        <v>6767</v>
      </c>
      <c r="D3307" s="8" t="s">
        <v>6768</v>
      </c>
      <c r="E3307" s="13">
        <v>70100</v>
      </c>
      <c r="F3307" s="14">
        <v>139815</v>
      </c>
    </row>
    <row r="3308" spans="1:6" x14ac:dyDescent="0.3">
      <c r="A3308" s="8">
        <v>3306</v>
      </c>
      <c r="B3308" s="8" t="s">
        <v>4148</v>
      </c>
      <c r="C3308" s="8" t="s">
        <v>6769</v>
      </c>
      <c r="D3308" s="8" t="s">
        <v>6770</v>
      </c>
      <c r="E3308" s="13">
        <v>83800</v>
      </c>
      <c r="F3308" s="14">
        <v>167593</v>
      </c>
    </row>
    <row r="3309" spans="1:6" x14ac:dyDescent="0.3">
      <c r="A3309" s="8">
        <v>3307</v>
      </c>
      <c r="B3309" s="8" t="s">
        <v>2792</v>
      </c>
      <c r="C3309" s="8" t="s">
        <v>6771</v>
      </c>
      <c r="D3309" s="8" t="s">
        <v>6772</v>
      </c>
      <c r="E3309" s="13">
        <v>0</v>
      </c>
      <c r="F3309" s="14">
        <v>0</v>
      </c>
    </row>
    <row r="3310" spans="1:6" x14ac:dyDescent="0.3">
      <c r="A3310" s="8">
        <v>3308</v>
      </c>
      <c r="B3310" s="8" t="s">
        <v>2792</v>
      </c>
      <c r="C3310" s="8" t="s">
        <v>6773</v>
      </c>
      <c r="D3310" s="8" t="s">
        <v>6774</v>
      </c>
      <c r="E3310" s="13">
        <v>0</v>
      </c>
      <c r="F3310" s="14">
        <v>0</v>
      </c>
    </row>
    <row r="3311" spans="1:6" x14ac:dyDescent="0.3">
      <c r="A3311" s="8">
        <v>3309</v>
      </c>
      <c r="B3311" s="8" t="s">
        <v>2792</v>
      </c>
      <c r="C3311" s="8" t="s">
        <v>6775</v>
      </c>
      <c r="D3311" s="8" t="s">
        <v>6776</v>
      </c>
      <c r="E3311" s="13">
        <v>0</v>
      </c>
      <c r="F3311" s="14">
        <v>0</v>
      </c>
    </row>
    <row r="3312" spans="1:6" x14ac:dyDescent="0.3">
      <c r="A3312" s="8">
        <v>3310</v>
      </c>
      <c r="B3312" s="8" t="s">
        <v>2792</v>
      </c>
      <c r="C3312" s="8" t="s">
        <v>6777</v>
      </c>
      <c r="D3312" s="8" t="s">
        <v>6778</v>
      </c>
      <c r="E3312" s="13">
        <v>0</v>
      </c>
      <c r="F3312" s="14">
        <v>0</v>
      </c>
    </row>
    <row r="3313" spans="1:6" x14ac:dyDescent="0.3">
      <c r="A3313" s="8">
        <v>3311</v>
      </c>
      <c r="B3313" s="8" t="s">
        <v>2792</v>
      </c>
      <c r="C3313" s="8" t="s">
        <v>6779</v>
      </c>
      <c r="D3313" s="8" t="s">
        <v>6780</v>
      </c>
      <c r="E3313" s="13">
        <v>0</v>
      </c>
      <c r="F3313" s="14">
        <v>0</v>
      </c>
    </row>
    <row r="3314" spans="1:6" x14ac:dyDescent="0.3">
      <c r="A3314" s="8">
        <v>3312</v>
      </c>
      <c r="B3314" s="8" t="s">
        <v>2792</v>
      </c>
      <c r="C3314" s="8" t="s">
        <v>6781</v>
      </c>
      <c r="D3314" s="8" t="s">
        <v>6782</v>
      </c>
      <c r="E3314" s="13">
        <v>0</v>
      </c>
      <c r="F3314" s="14">
        <v>0</v>
      </c>
    </row>
    <row r="3315" spans="1:6" x14ac:dyDescent="0.3">
      <c r="A3315" s="8">
        <v>3313</v>
      </c>
      <c r="B3315" s="8" t="s">
        <v>2792</v>
      </c>
      <c r="C3315" s="8" t="s">
        <v>6783</v>
      </c>
      <c r="D3315" s="8" t="s">
        <v>6784</v>
      </c>
      <c r="E3315" s="13">
        <v>0</v>
      </c>
      <c r="F3315" s="14">
        <v>6100000</v>
      </c>
    </row>
    <row r="3316" spans="1:6" x14ac:dyDescent="0.3">
      <c r="A3316" s="8">
        <v>3314</v>
      </c>
      <c r="B3316" s="8" t="s">
        <v>2792</v>
      </c>
      <c r="C3316" s="8" t="s">
        <v>6785</v>
      </c>
      <c r="D3316" s="8" t="s">
        <v>6786</v>
      </c>
      <c r="E3316" s="13">
        <v>0</v>
      </c>
      <c r="F3316" s="14">
        <v>0</v>
      </c>
    </row>
    <row r="3317" spans="1:6" x14ac:dyDescent="0.3">
      <c r="A3317" s="8">
        <v>3315</v>
      </c>
      <c r="B3317" s="8" t="s">
        <v>2792</v>
      </c>
      <c r="C3317" s="8" t="s">
        <v>6787</v>
      </c>
      <c r="D3317" s="8" t="s">
        <v>6788</v>
      </c>
      <c r="E3317" s="13">
        <v>0</v>
      </c>
      <c r="F3317" s="14">
        <v>0</v>
      </c>
    </row>
    <row r="3318" spans="1:6" x14ac:dyDescent="0.3">
      <c r="A3318" s="8">
        <v>3316</v>
      </c>
      <c r="B3318" s="8" t="s">
        <v>2792</v>
      </c>
      <c r="C3318" s="8" t="s">
        <v>6789</v>
      </c>
      <c r="D3318" s="8" t="s">
        <v>6790</v>
      </c>
      <c r="E3318" s="13">
        <v>304000</v>
      </c>
      <c r="F3318" s="14">
        <v>608333</v>
      </c>
    </row>
    <row r="3319" spans="1:6" x14ac:dyDescent="0.3">
      <c r="A3319" s="8">
        <v>3317</v>
      </c>
      <c r="B3319" s="8" t="s">
        <v>2792</v>
      </c>
      <c r="C3319" s="8" t="s">
        <v>6791</v>
      </c>
      <c r="D3319" s="8" t="s">
        <v>6792</v>
      </c>
      <c r="E3319" s="13">
        <v>0</v>
      </c>
      <c r="F3319" s="14">
        <v>0</v>
      </c>
    </row>
    <row r="3320" spans="1:6" x14ac:dyDescent="0.3">
      <c r="A3320" s="8">
        <v>3318</v>
      </c>
      <c r="B3320" s="8" t="s">
        <v>2792</v>
      </c>
      <c r="C3320" s="8" t="s">
        <v>6793</v>
      </c>
      <c r="D3320" s="8" t="s">
        <v>6794</v>
      </c>
      <c r="E3320" s="13">
        <v>0</v>
      </c>
      <c r="F3320" s="14">
        <v>0</v>
      </c>
    </row>
    <row r="3321" spans="1:6" x14ac:dyDescent="0.3">
      <c r="A3321" s="8">
        <v>3319</v>
      </c>
      <c r="B3321" s="8" t="s">
        <v>2792</v>
      </c>
      <c r="C3321" s="8" t="s">
        <v>6795</v>
      </c>
      <c r="D3321" s="8" t="s">
        <v>6796</v>
      </c>
      <c r="E3321" s="13">
        <v>0</v>
      </c>
      <c r="F3321" s="14">
        <v>0</v>
      </c>
    </row>
    <row r="3322" spans="1:6" x14ac:dyDescent="0.3">
      <c r="A3322" s="8">
        <v>3320</v>
      </c>
      <c r="B3322" s="8" t="s">
        <v>2792</v>
      </c>
      <c r="C3322" s="8" t="s">
        <v>6797</v>
      </c>
      <c r="D3322" s="8" t="s">
        <v>6798</v>
      </c>
      <c r="E3322" s="13">
        <v>0</v>
      </c>
      <c r="F3322" s="14">
        <v>6800000</v>
      </c>
    </row>
    <row r="3323" spans="1:6" x14ac:dyDescent="0.3">
      <c r="A3323" s="8">
        <v>3321</v>
      </c>
      <c r="B3323" s="8" t="s">
        <v>2792</v>
      </c>
      <c r="C3323" s="8" t="s">
        <v>6799</v>
      </c>
      <c r="D3323" s="8" t="s">
        <v>6800</v>
      </c>
      <c r="E3323" s="13">
        <v>0</v>
      </c>
      <c r="F3323" s="14">
        <v>0</v>
      </c>
    </row>
    <row r="3324" spans="1:6" x14ac:dyDescent="0.3">
      <c r="A3324" s="8">
        <v>3322</v>
      </c>
      <c r="B3324" s="8" t="s">
        <v>2792</v>
      </c>
      <c r="C3324" s="8" t="s">
        <v>6801</v>
      </c>
      <c r="D3324" s="8" t="s">
        <v>6802</v>
      </c>
      <c r="E3324" s="13">
        <v>0</v>
      </c>
      <c r="F3324" s="14">
        <v>0</v>
      </c>
    </row>
    <row r="3325" spans="1:6" x14ac:dyDescent="0.3">
      <c r="A3325" s="8">
        <v>3323</v>
      </c>
      <c r="B3325" s="8" t="s">
        <v>4148</v>
      </c>
      <c r="C3325" s="8" t="s">
        <v>6803</v>
      </c>
      <c r="D3325" s="8" t="s">
        <v>6804</v>
      </c>
      <c r="E3325" s="13">
        <v>0</v>
      </c>
      <c r="F3325" s="14">
        <v>118000</v>
      </c>
    </row>
    <row r="3326" spans="1:6" x14ac:dyDescent="0.3">
      <c r="A3326" s="8">
        <v>3324</v>
      </c>
      <c r="B3326" s="8" t="s">
        <v>4148</v>
      </c>
      <c r="C3326" s="8" t="s">
        <v>6805</v>
      </c>
      <c r="D3326" s="8" t="s">
        <v>6806</v>
      </c>
      <c r="E3326" s="13">
        <v>77500</v>
      </c>
      <c r="F3326" s="14">
        <v>154630</v>
      </c>
    </row>
    <row r="3327" spans="1:6" x14ac:dyDescent="0.3">
      <c r="A3327" s="8">
        <v>3325</v>
      </c>
      <c r="B3327" s="8" t="s">
        <v>4148</v>
      </c>
      <c r="C3327" s="8" t="s">
        <v>6807</v>
      </c>
      <c r="D3327" s="8" t="s">
        <v>6808</v>
      </c>
      <c r="E3327" s="13">
        <v>90600</v>
      </c>
      <c r="F3327" s="14">
        <v>179000</v>
      </c>
    </row>
    <row r="3328" spans="1:6" x14ac:dyDescent="0.3">
      <c r="A3328" s="8">
        <v>3326</v>
      </c>
      <c r="B3328" s="8" t="s">
        <v>4148</v>
      </c>
      <c r="C3328" s="8" t="s">
        <v>6809</v>
      </c>
      <c r="D3328" s="8" t="s">
        <v>6810</v>
      </c>
      <c r="E3328" s="13">
        <v>48500</v>
      </c>
      <c r="F3328" s="14">
        <v>97037</v>
      </c>
    </row>
    <row r="3329" spans="1:6" x14ac:dyDescent="0.3">
      <c r="A3329" s="8">
        <v>3327</v>
      </c>
      <c r="B3329" s="8" t="s">
        <v>4148</v>
      </c>
      <c r="C3329" s="8" t="s">
        <v>6811</v>
      </c>
      <c r="D3329" s="8" t="s">
        <v>6812</v>
      </c>
      <c r="E3329" s="13">
        <v>57800</v>
      </c>
      <c r="F3329" s="14">
        <v>126000</v>
      </c>
    </row>
    <row r="3330" spans="1:6" x14ac:dyDescent="0.3">
      <c r="A3330" s="8">
        <v>3328</v>
      </c>
      <c r="B3330" s="8" t="s">
        <v>4148</v>
      </c>
      <c r="C3330" s="8" t="s">
        <v>6813</v>
      </c>
      <c r="D3330" s="8" t="s">
        <v>6814</v>
      </c>
      <c r="E3330" s="13">
        <v>0</v>
      </c>
      <c r="F3330" s="14">
        <v>123000</v>
      </c>
    </row>
    <row r="3331" spans="1:6" x14ac:dyDescent="0.3">
      <c r="A3331" s="8">
        <v>3329</v>
      </c>
      <c r="B3331" s="8" t="s">
        <v>4148</v>
      </c>
      <c r="C3331" s="8" t="s">
        <v>6815</v>
      </c>
      <c r="D3331" s="8" t="s">
        <v>6816</v>
      </c>
      <c r="E3331" s="13">
        <v>54000</v>
      </c>
      <c r="F3331" s="14">
        <v>97222</v>
      </c>
    </row>
    <row r="3332" spans="1:6" x14ac:dyDescent="0.3">
      <c r="A3332" s="8">
        <v>3330</v>
      </c>
      <c r="B3332" s="8" t="s">
        <v>4148</v>
      </c>
      <c r="C3332" s="8" t="s">
        <v>6817</v>
      </c>
      <c r="D3332" s="8" t="s">
        <v>6818</v>
      </c>
      <c r="E3332" s="13">
        <v>122000</v>
      </c>
      <c r="F3332" s="14">
        <v>244444</v>
      </c>
    </row>
    <row r="3333" spans="1:6" x14ac:dyDescent="0.3">
      <c r="A3333" s="8">
        <v>3331</v>
      </c>
      <c r="B3333" s="8" t="s">
        <v>4148</v>
      </c>
      <c r="C3333" s="8" t="s">
        <v>6819</v>
      </c>
      <c r="D3333" s="8" t="s">
        <v>6820</v>
      </c>
      <c r="E3333" s="13">
        <v>0</v>
      </c>
      <c r="F3333" s="14">
        <v>0</v>
      </c>
    </row>
    <row r="3334" spans="1:6" x14ac:dyDescent="0.3">
      <c r="A3334" s="8">
        <v>3332</v>
      </c>
      <c r="B3334" s="8" t="s">
        <v>4148</v>
      </c>
      <c r="C3334" s="8" t="s">
        <v>6821</v>
      </c>
      <c r="D3334" s="8" t="s">
        <v>6822</v>
      </c>
      <c r="E3334" s="13">
        <v>0</v>
      </c>
      <c r="F3334" s="14">
        <v>0</v>
      </c>
    </row>
    <row r="3335" spans="1:6" x14ac:dyDescent="0.3">
      <c r="A3335" s="8">
        <v>3333</v>
      </c>
      <c r="B3335" s="8" t="s">
        <v>4148</v>
      </c>
      <c r="C3335" s="8" t="s">
        <v>6823</v>
      </c>
      <c r="D3335" s="8" t="s">
        <v>6824</v>
      </c>
      <c r="E3335" s="13">
        <v>0</v>
      </c>
      <c r="F3335" s="14">
        <v>0</v>
      </c>
    </row>
    <row r="3336" spans="1:6" x14ac:dyDescent="0.3">
      <c r="A3336" s="8">
        <v>3334</v>
      </c>
      <c r="B3336" s="8" t="s">
        <v>4148</v>
      </c>
      <c r="C3336" s="8" t="s">
        <v>6825</v>
      </c>
      <c r="D3336" s="8" t="s">
        <v>6826</v>
      </c>
      <c r="E3336" s="13">
        <v>0</v>
      </c>
      <c r="F3336" s="14">
        <v>0</v>
      </c>
    </row>
    <row r="3337" spans="1:6" x14ac:dyDescent="0.3">
      <c r="A3337" s="8">
        <v>3335</v>
      </c>
      <c r="B3337" s="8" t="s">
        <v>4148</v>
      </c>
      <c r="C3337" s="8" t="s">
        <v>6827</v>
      </c>
      <c r="D3337" s="8" t="s">
        <v>6828</v>
      </c>
      <c r="E3337" s="13">
        <v>0</v>
      </c>
      <c r="F3337" s="14">
        <v>0</v>
      </c>
    </row>
    <row r="3338" spans="1:6" x14ac:dyDescent="0.3">
      <c r="A3338" s="8">
        <v>3336</v>
      </c>
      <c r="B3338" s="8" t="s">
        <v>4148</v>
      </c>
      <c r="C3338" s="8" t="s">
        <v>6829</v>
      </c>
      <c r="D3338" s="8" t="s">
        <v>6830</v>
      </c>
      <c r="E3338" s="13">
        <v>0</v>
      </c>
      <c r="F3338" s="14">
        <v>0</v>
      </c>
    </row>
    <row r="3339" spans="1:6" x14ac:dyDescent="0.3">
      <c r="A3339" s="8">
        <v>3337</v>
      </c>
      <c r="B3339" s="8" t="s">
        <v>4148</v>
      </c>
      <c r="C3339" s="8" t="s">
        <v>6831</v>
      </c>
      <c r="D3339" s="8" t="s">
        <v>6832</v>
      </c>
      <c r="E3339" s="13">
        <v>0</v>
      </c>
      <c r="F3339" s="14">
        <v>0</v>
      </c>
    </row>
    <row r="3340" spans="1:6" x14ac:dyDescent="0.3">
      <c r="A3340" s="8">
        <v>3338</v>
      </c>
      <c r="B3340" s="8" t="s">
        <v>4148</v>
      </c>
      <c r="C3340" s="8" t="s">
        <v>6833</v>
      </c>
      <c r="D3340" s="8" t="s">
        <v>6834</v>
      </c>
      <c r="E3340" s="13">
        <v>0</v>
      </c>
      <c r="F3340" s="14">
        <v>0</v>
      </c>
    </row>
    <row r="3341" spans="1:6" x14ac:dyDescent="0.3">
      <c r="A3341" s="8">
        <v>3339</v>
      </c>
      <c r="B3341" s="8" t="s">
        <v>4148</v>
      </c>
      <c r="C3341" s="8" t="s">
        <v>6835</v>
      </c>
      <c r="D3341" s="8" t="s">
        <v>6836</v>
      </c>
      <c r="E3341" s="13">
        <v>0</v>
      </c>
      <c r="F3341" s="14">
        <v>0</v>
      </c>
    </row>
    <row r="3342" spans="1:6" x14ac:dyDescent="0.3">
      <c r="A3342" s="8">
        <v>3340</v>
      </c>
      <c r="B3342" s="8" t="s">
        <v>4148</v>
      </c>
      <c r="C3342" s="8" t="s">
        <v>6837</v>
      </c>
      <c r="D3342" s="8" t="s">
        <v>6838</v>
      </c>
      <c r="E3342" s="13">
        <v>135000</v>
      </c>
      <c r="F3342" s="14">
        <v>270370</v>
      </c>
    </row>
    <row r="3343" spans="1:6" x14ac:dyDescent="0.3">
      <c r="A3343" s="8">
        <v>3341</v>
      </c>
      <c r="B3343" s="8" t="s">
        <v>4148</v>
      </c>
      <c r="C3343" s="8" t="s">
        <v>6839</v>
      </c>
      <c r="D3343" s="8" t="s">
        <v>6840</v>
      </c>
      <c r="E3343" s="13">
        <v>72700</v>
      </c>
      <c r="F3343" s="14">
        <v>145370</v>
      </c>
    </row>
    <row r="3344" spans="1:6" x14ac:dyDescent="0.3">
      <c r="A3344" s="8">
        <v>3342</v>
      </c>
      <c r="B3344" s="8" t="s">
        <v>4148</v>
      </c>
      <c r="C3344" s="8" t="s">
        <v>6841</v>
      </c>
      <c r="D3344" s="8" t="s">
        <v>6842</v>
      </c>
      <c r="E3344" s="13">
        <v>72700</v>
      </c>
      <c r="F3344" s="14">
        <v>145370</v>
      </c>
    </row>
    <row r="3345" spans="1:6" x14ac:dyDescent="0.3">
      <c r="A3345" s="8">
        <v>3343</v>
      </c>
      <c r="B3345" s="8" t="s">
        <v>4148</v>
      </c>
      <c r="C3345" s="8" t="s">
        <v>6843</v>
      </c>
      <c r="D3345" s="8" t="s">
        <v>6844</v>
      </c>
      <c r="E3345" s="13">
        <v>0</v>
      </c>
      <c r="F3345" s="14">
        <v>0</v>
      </c>
    </row>
    <row r="3346" spans="1:6" x14ac:dyDescent="0.3">
      <c r="A3346" s="8">
        <v>3344</v>
      </c>
      <c r="B3346" s="8" t="s">
        <v>4148</v>
      </c>
      <c r="C3346" s="8" t="s">
        <v>6845</v>
      </c>
      <c r="D3346" s="8" t="s">
        <v>6846</v>
      </c>
      <c r="E3346" s="13">
        <v>0</v>
      </c>
      <c r="F3346" s="14">
        <v>0</v>
      </c>
    </row>
    <row r="3347" spans="1:6" x14ac:dyDescent="0.3">
      <c r="A3347" s="8">
        <v>3345</v>
      </c>
      <c r="B3347" s="8" t="s">
        <v>4148</v>
      </c>
      <c r="C3347" s="8" t="s">
        <v>6847</v>
      </c>
      <c r="D3347" s="8" t="s">
        <v>6848</v>
      </c>
      <c r="E3347" s="13">
        <v>0</v>
      </c>
      <c r="F3347" s="14">
        <v>0</v>
      </c>
    </row>
    <row r="3348" spans="1:6" x14ac:dyDescent="0.3">
      <c r="A3348" s="8">
        <v>3346</v>
      </c>
      <c r="B3348" s="8" t="s">
        <v>6022</v>
      </c>
      <c r="C3348" s="8" t="s">
        <v>6849</v>
      </c>
      <c r="D3348" s="8" t="s">
        <v>6850</v>
      </c>
      <c r="E3348" s="13">
        <v>0</v>
      </c>
      <c r="F3348" s="14">
        <v>0</v>
      </c>
    </row>
    <row r="3349" spans="1:6" x14ac:dyDescent="0.3">
      <c r="A3349" s="8">
        <v>3347</v>
      </c>
      <c r="B3349" s="8" t="s">
        <v>6029</v>
      </c>
      <c r="C3349" s="8" t="s">
        <v>6851</v>
      </c>
      <c r="D3349" s="8" t="s">
        <v>6852</v>
      </c>
      <c r="E3349" s="13">
        <v>79100</v>
      </c>
      <c r="F3349" s="14">
        <v>158333</v>
      </c>
    </row>
    <row r="3350" spans="1:6" x14ac:dyDescent="0.3">
      <c r="A3350" s="8">
        <v>3348</v>
      </c>
      <c r="B3350" s="8" t="s">
        <v>6029</v>
      </c>
      <c r="C3350" s="8" t="s">
        <v>6853</v>
      </c>
      <c r="D3350" s="8" t="s">
        <v>6854</v>
      </c>
      <c r="E3350" s="13">
        <v>0</v>
      </c>
      <c r="F3350" s="14">
        <v>388000</v>
      </c>
    </row>
    <row r="3351" spans="1:6" x14ac:dyDescent="0.3">
      <c r="A3351" s="8">
        <v>3349</v>
      </c>
      <c r="B3351" s="8" t="s">
        <v>6029</v>
      </c>
      <c r="C3351" s="8" t="s">
        <v>6855</v>
      </c>
      <c r="D3351" s="8" t="s">
        <v>6856</v>
      </c>
      <c r="E3351" s="13">
        <v>172000</v>
      </c>
      <c r="F3351" s="14">
        <v>344444</v>
      </c>
    </row>
    <row r="3352" spans="1:6" x14ac:dyDescent="0.3">
      <c r="A3352" s="8">
        <v>3350</v>
      </c>
      <c r="B3352" s="8" t="s">
        <v>6022</v>
      </c>
      <c r="C3352" s="8" t="s">
        <v>6857</v>
      </c>
      <c r="D3352" s="8" t="s">
        <v>6858</v>
      </c>
      <c r="E3352" s="13">
        <v>121000</v>
      </c>
      <c r="F3352" s="14">
        <v>241667</v>
      </c>
    </row>
    <row r="3353" spans="1:6" x14ac:dyDescent="0.3">
      <c r="A3353" s="8">
        <v>3351</v>
      </c>
      <c r="B3353" s="8" t="s">
        <v>6022</v>
      </c>
      <c r="C3353" s="8" t="s">
        <v>6859</v>
      </c>
      <c r="D3353" s="8" t="s">
        <v>6860</v>
      </c>
      <c r="E3353" s="13">
        <v>177000</v>
      </c>
      <c r="F3353" s="14">
        <v>353704</v>
      </c>
    </row>
    <row r="3354" spans="1:6" x14ac:dyDescent="0.3">
      <c r="A3354" s="8">
        <v>3352</v>
      </c>
      <c r="B3354" s="8" t="s">
        <v>6029</v>
      </c>
      <c r="C3354" s="8" t="s">
        <v>6861</v>
      </c>
      <c r="D3354" s="8" t="s">
        <v>6862</v>
      </c>
      <c r="E3354" s="13">
        <v>185000</v>
      </c>
      <c r="F3354" s="14">
        <v>370000</v>
      </c>
    </row>
    <row r="3355" spans="1:6" x14ac:dyDescent="0.3">
      <c r="A3355" s="8">
        <v>3353</v>
      </c>
      <c r="B3355" s="8" t="s">
        <v>4148</v>
      </c>
      <c r="C3355" s="8" t="s">
        <v>6863</v>
      </c>
      <c r="D3355" s="8" t="s">
        <v>6864</v>
      </c>
      <c r="E3355" s="13">
        <v>0</v>
      </c>
      <c r="F3355" s="14">
        <v>0</v>
      </c>
    </row>
    <row r="3356" spans="1:6" x14ac:dyDescent="0.3">
      <c r="A3356" s="8">
        <v>3354</v>
      </c>
      <c r="B3356" s="8" t="s">
        <v>6022</v>
      </c>
      <c r="C3356" s="8" t="s">
        <v>6865</v>
      </c>
      <c r="D3356" s="8" t="s">
        <v>6866</v>
      </c>
      <c r="E3356" s="13">
        <v>366000</v>
      </c>
      <c r="F3356" s="14">
        <v>660000</v>
      </c>
    </row>
    <row r="3357" spans="1:6" x14ac:dyDescent="0.3">
      <c r="A3357" s="8">
        <v>3355</v>
      </c>
      <c r="B3357" s="8" t="s">
        <v>6022</v>
      </c>
      <c r="C3357" s="8" t="s">
        <v>6867</v>
      </c>
      <c r="D3357" s="8" t="s">
        <v>6868</v>
      </c>
      <c r="E3357" s="13">
        <v>692000</v>
      </c>
      <c r="F3357" s="14">
        <v>1384000</v>
      </c>
    </row>
    <row r="3358" spans="1:6" x14ac:dyDescent="0.3">
      <c r="A3358" s="8">
        <v>3356</v>
      </c>
      <c r="B3358" s="8" t="s">
        <v>6029</v>
      </c>
      <c r="C3358" s="8" t="s">
        <v>6869</v>
      </c>
      <c r="D3358" s="8" t="s">
        <v>6870</v>
      </c>
      <c r="E3358" s="13">
        <v>156600</v>
      </c>
      <c r="F3358" s="14">
        <v>282000</v>
      </c>
    </row>
    <row r="3359" spans="1:6" x14ac:dyDescent="0.3">
      <c r="A3359" s="8">
        <v>3357</v>
      </c>
      <c r="B3359" s="8" t="s">
        <v>6022</v>
      </c>
      <c r="C3359" s="8" t="s">
        <v>6871</v>
      </c>
      <c r="D3359" s="8" t="s">
        <v>6872</v>
      </c>
      <c r="E3359" s="13">
        <v>161000</v>
      </c>
      <c r="F3359" s="14">
        <v>322222</v>
      </c>
    </row>
    <row r="3360" spans="1:6" x14ac:dyDescent="0.3">
      <c r="A3360" s="8">
        <v>3358</v>
      </c>
      <c r="B3360" s="8" t="s">
        <v>6022</v>
      </c>
      <c r="C3360" s="8" t="s">
        <v>6873</v>
      </c>
      <c r="D3360" s="8" t="s">
        <v>6874</v>
      </c>
      <c r="E3360" s="13">
        <v>0</v>
      </c>
      <c r="F3360" s="14">
        <v>287000</v>
      </c>
    </row>
    <row r="3361" spans="1:6" x14ac:dyDescent="0.3">
      <c r="A3361" s="8">
        <v>3359</v>
      </c>
      <c r="B3361" s="8" t="s">
        <v>6022</v>
      </c>
      <c r="C3361" s="8" t="s">
        <v>6875</v>
      </c>
      <c r="D3361" s="8" t="s">
        <v>6876</v>
      </c>
      <c r="E3361" s="13">
        <v>258000</v>
      </c>
      <c r="F3361" s="14">
        <v>515741</v>
      </c>
    </row>
    <row r="3362" spans="1:6" x14ac:dyDescent="0.3">
      <c r="A3362" s="8">
        <v>3360</v>
      </c>
      <c r="B3362" s="8" t="s">
        <v>6022</v>
      </c>
      <c r="C3362" s="8" t="s">
        <v>6877</v>
      </c>
      <c r="D3362" s="8" t="s">
        <v>6878</v>
      </c>
      <c r="E3362" s="13">
        <v>104000</v>
      </c>
      <c r="F3362" s="14">
        <v>208333</v>
      </c>
    </row>
    <row r="3363" spans="1:6" x14ac:dyDescent="0.3">
      <c r="A3363" s="8">
        <v>3361</v>
      </c>
      <c r="B3363" s="8" t="s">
        <v>6022</v>
      </c>
      <c r="C3363" s="8" t="s">
        <v>6879</v>
      </c>
      <c r="D3363" s="8" t="s">
        <v>6880</v>
      </c>
      <c r="E3363" s="13">
        <v>104000</v>
      </c>
      <c r="F3363" s="14">
        <v>208333</v>
      </c>
    </row>
    <row r="3364" spans="1:6" x14ac:dyDescent="0.3">
      <c r="A3364" s="8">
        <v>3362</v>
      </c>
      <c r="B3364" s="8" t="s">
        <v>6022</v>
      </c>
      <c r="C3364" s="8" t="s">
        <v>6881</v>
      </c>
      <c r="D3364" s="8" t="s">
        <v>6882</v>
      </c>
      <c r="E3364" s="13">
        <v>178000</v>
      </c>
      <c r="F3364" s="14">
        <v>355556</v>
      </c>
    </row>
    <row r="3365" spans="1:6" x14ac:dyDescent="0.3">
      <c r="A3365" s="8">
        <v>3363</v>
      </c>
      <c r="B3365" s="8" t="s">
        <v>6029</v>
      </c>
      <c r="C3365" s="8" t="s">
        <v>6883</v>
      </c>
      <c r="D3365" s="8" t="s">
        <v>6884</v>
      </c>
      <c r="E3365" s="13">
        <v>165000</v>
      </c>
      <c r="F3365" s="14">
        <v>329630</v>
      </c>
    </row>
    <row r="3366" spans="1:6" x14ac:dyDescent="0.3">
      <c r="A3366" s="8">
        <v>3364</v>
      </c>
      <c r="B3366" s="8" t="s">
        <v>6022</v>
      </c>
      <c r="C3366" s="8" t="s">
        <v>6885</v>
      </c>
      <c r="D3366" s="8" t="s">
        <v>6886</v>
      </c>
      <c r="E3366" s="13">
        <v>225000</v>
      </c>
      <c r="F3366" s="14">
        <v>450000</v>
      </c>
    </row>
    <row r="3367" spans="1:6" x14ac:dyDescent="0.3">
      <c r="A3367" s="8">
        <v>3365</v>
      </c>
      <c r="B3367" s="8" t="s">
        <v>6029</v>
      </c>
      <c r="C3367" s="8" t="s">
        <v>6887</v>
      </c>
      <c r="D3367" s="8" t="s">
        <v>6888</v>
      </c>
      <c r="E3367" s="13">
        <v>142000</v>
      </c>
      <c r="F3367" s="14">
        <v>284259</v>
      </c>
    </row>
    <row r="3368" spans="1:6" x14ac:dyDescent="0.3">
      <c r="A3368" s="8">
        <v>3366</v>
      </c>
      <c r="B3368" s="8" t="s">
        <v>6029</v>
      </c>
      <c r="C3368" s="8" t="s">
        <v>6889</v>
      </c>
      <c r="D3368" s="8" t="s">
        <v>6890</v>
      </c>
      <c r="E3368" s="13">
        <v>142000</v>
      </c>
      <c r="F3368" s="14">
        <v>284259</v>
      </c>
    </row>
    <row r="3369" spans="1:6" x14ac:dyDescent="0.3">
      <c r="A3369" s="8">
        <v>3367</v>
      </c>
      <c r="B3369" s="8" t="s">
        <v>6029</v>
      </c>
      <c r="C3369" s="8" t="s">
        <v>6891</v>
      </c>
      <c r="D3369" s="8" t="s">
        <v>6892</v>
      </c>
      <c r="E3369" s="13">
        <v>0</v>
      </c>
      <c r="F3369" s="14">
        <v>0</v>
      </c>
    </row>
    <row r="3370" spans="1:6" x14ac:dyDescent="0.3">
      <c r="A3370" s="8">
        <v>3368</v>
      </c>
      <c r="B3370" s="8" t="s">
        <v>6029</v>
      </c>
      <c r="C3370" s="8" t="s">
        <v>6893</v>
      </c>
      <c r="D3370" s="8" t="s">
        <v>6894</v>
      </c>
      <c r="E3370" s="13">
        <v>170000</v>
      </c>
      <c r="F3370" s="14">
        <v>339815</v>
      </c>
    </row>
    <row r="3371" spans="1:6" x14ac:dyDescent="0.3">
      <c r="A3371" s="8">
        <v>3369</v>
      </c>
      <c r="B3371" s="8" t="s">
        <v>6029</v>
      </c>
      <c r="C3371" s="8" t="s">
        <v>6895</v>
      </c>
      <c r="D3371" s="8" t="s">
        <v>6896</v>
      </c>
      <c r="E3371" s="13">
        <v>142000</v>
      </c>
      <c r="F3371" s="14">
        <v>284259</v>
      </c>
    </row>
    <row r="3372" spans="1:6" x14ac:dyDescent="0.3">
      <c r="A3372" s="8">
        <v>3370</v>
      </c>
      <c r="B3372" s="8" t="s">
        <v>6022</v>
      </c>
      <c r="C3372" s="8" t="s">
        <v>6897</v>
      </c>
      <c r="D3372" s="8" t="s">
        <v>6898</v>
      </c>
      <c r="E3372" s="13">
        <v>0</v>
      </c>
      <c r="F3372" s="14">
        <v>0</v>
      </c>
    </row>
    <row r="3373" spans="1:6" x14ac:dyDescent="0.3">
      <c r="A3373" s="8">
        <v>3371</v>
      </c>
      <c r="B3373" s="8" t="s">
        <v>6022</v>
      </c>
      <c r="C3373" s="8" t="s">
        <v>6899</v>
      </c>
      <c r="D3373" s="8" t="s">
        <v>6900</v>
      </c>
      <c r="E3373" s="13">
        <v>0</v>
      </c>
      <c r="F3373" s="14">
        <v>0</v>
      </c>
    </row>
    <row r="3374" spans="1:6" x14ac:dyDescent="0.3">
      <c r="A3374" s="8">
        <v>3372</v>
      </c>
      <c r="B3374" s="8" t="s">
        <v>6516</v>
      </c>
      <c r="C3374" s="8" t="s">
        <v>6901</v>
      </c>
      <c r="D3374" s="8" t="s">
        <v>6902</v>
      </c>
      <c r="E3374" s="13">
        <v>620000</v>
      </c>
      <c r="F3374" s="14">
        <v>1120000</v>
      </c>
    </row>
    <row r="3375" spans="1:6" x14ac:dyDescent="0.3">
      <c r="A3375" s="8">
        <v>3373</v>
      </c>
      <c r="B3375" s="8" t="s">
        <v>6516</v>
      </c>
      <c r="C3375" s="8" t="s">
        <v>6903</v>
      </c>
      <c r="D3375" s="8" t="s">
        <v>6904</v>
      </c>
      <c r="E3375" s="13">
        <v>724500</v>
      </c>
      <c r="F3375" s="14">
        <v>1952000</v>
      </c>
    </row>
    <row r="3376" spans="1:6" x14ac:dyDescent="0.3">
      <c r="A3376" s="8">
        <v>3374</v>
      </c>
      <c r="B3376" s="8" t="s">
        <v>6516</v>
      </c>
      <c r="C3376" s="8" t="s">
        <v>6905</v>
      </c>
      <c r="D3376" s="8" t="s">
        <v>6906</v>
      </c>
      <c r="E3376" s="13">
        <v>0</v>
      </c>
      <c r="F3376" s="14">
        <v>1640000</v>
      </c>
    </row>
    <row r="3377" spans="1:6" x14ac:dyDescent="0.3">
      <c r="A3377" s="8">
        <v>3375</v>
      </c>
      <c r="B3377" s="8" t="s">
        <v>6516</v>
      </c>
      <c r="C3377" s="8" t="s">
        <v>6907</v>
      </c>
      <c r="D3377" s="8" t="s">
        <v>6908</v>
      </c>
      <c r="E3377" s="13">
        <v>0</v>
      </c>
      <c r="F3377" s="14">
        <v>912000</v>
      </c>
    </row>
    <row r="3378" spans="1:6" x14ac:dyDescent="0.3">
      <c r="A3378" s="8">
        <v>3376</v>
      </c>
      <c r="B3378" s="8" t="s">
        <v>6516</v>
      </c>
      <c r="C3378" s="8" t="s">
        <v>6909</v>
      </c>
      <c r="D3378" s="8" t="s">
        <v>6910</v>
      </c>
      <c r="E3378" s="13">
        <v>0</v>
      </c>
      <c r="F3378" s="14">
        <v>0</v>
      </c>
    </row>
    <row r="3379" spans="1:6" x14ac:dyDescent="0.3">
      <c r="A3379" s="8">
        <v>3377</v>
      </c>
      <c r="B3379" s="8" t="s">
        <v>6516</v>
      </c>
      <c r="C3379" s="8" t="s">
        <v>6911</v>
      </c>
      <c r="D3379" s="8" t="s">
        <v>6912</v>
      </c>
      <c r="E3379" s="13">
        <v>1153000</v>
      </c>
      <c r="F3379" s="14">
        <v>2076000</v>
      </c>
    </row>
    <row r="3380" spans="1:6" x14ac:dyDescent="0.3">
      <c r="A3380" s="8">
        <v>3378</v>
      </c>
      <c r="B3380" s="8" t="s">
        <v>4148</v>
      </c>
      <c r="C3380" s="8" t="s">
        <v>6913</v>
      </c>
      <c r="D3380" s="8" t="s">
        <v>6914</v>
      </c>
      <c r="E3380" s="13">
        <v>61400</v>
      </c>
      <c r="F3380" s="14">
        <v>136111</v>
      </c>
    </row>
    <row r="3381" spans="1:6" x14ac:dyDescent="0.3">
      <c r="A3381" s="8">
        <v>3379</v>
      </c>
      <c r="B3381" s="8" t="s">
        <v>4148</v>
      </c>
      <c r="C3381" s="8" t="s">
        <v>6915</v>
      </c>
      <c r="D3381" s="8" t="s">
        <v>6916</v>
      </c>
      <c r="E3381" s="13">
        <v>0</v>
      </c>
      <c r="F3381" s="14">
        <v>144444</v>
      </c>
    </row>
    <row r="3382" spans="1:6" x14ac:dyDescent="0.3">
      <c r="A3382" s="8">
        <v>3380</v>
      </c>
      <c r="B3382" s="8" t="s">
        <v>4148</v>
      </c>
      <c r="C3382" s="8" t="s">
        <v>6917</v>
      </c>
      <c r="D3382" s="8" t="s">
        <v>6918</v>
      </c>
      <c r="E3382" s="13">
        <v>0</v>
      </c>
      <c r="F3382" s="14">
        <v>0</v>
      </c>
    </row>
    <row r="3383" spans="1:6" x14ac:dyDescent="0.3">
      <c r="A3383" s="8">
        <v>3381</v>
      </c>
      <c r="B3383" s="8" t="s">
        <v>4148</v>
      </c>
      <c r="C3383" s="8" t="s">
        <v>6919</v>
      </c>
      <c r="D3383" s="8" t="s">
        <v>6920</v>
      </c>
      <c r="E3383" s="13">
        <v>83200</v>
      </c>
      <c r="F3383" s="14">
        <v>166667</v>
      </c>
    </row>
    <row r="3384" spans="1:6" x14ac:dyDescent="0.3">
      <c r="A3384" s="8">
        <v>3382</v>
      </c>
      <c r="B3384" s="8" t="s">
        <v>4148</v>
      </c>
      <c r="C3384" s="8" t="s">
        <v>6921</v>
      </c>
      <c r="D3384" s="8" t="s">
        <v>6922</v>
      </c>
      <c r="E3384" s="13">
        <v>0</v>
      </c>
      <c r="F3384" s="14">
        <v>579630</v>
      </c>
    </row>
    <row r="3385" spans="1:6" x14ac:dyDescent="0.3">
      <c r="A3385" s="8">
        <v>3383</v>
      </c>
      <c r="B3385" s="8" t="s">
        <v>4148</v>
      </c>
      <c r="C3385" s="8" t="s">
        <v>6923</v>
      </c>
      <c r="D3385" s="8" t="s">
        <v>6924</v>
      </c>
      <c r="E3385" s="13">
        <v>0</v>
      </c>
      <c r="F3385" s="14">
        <v>0</v>
      </c>
    </row>
    <row r="3386" spans="1:6" x14ac:dyDescent="0.3">
      <c r="A3386" s="8">
        <v>3384</v>
      </c>
      <c r="B3386" s="8" t="s">
        <v>4148</v>
      </c>
      <c r="C3386" s="8" t="s">
        <v>6925</v>
      </c>
      <c r="D3386" s="8" t="s">
        <v>6926</v>
      </c>
      <c r="E3386" s="13">
        <v>0</v>
      </c>
      <c r="F3386" s="14">
        <v>0</v>
      </c>
    </row>
    <row r="3387" spans="1:6" x14ac:dyDescent="0.3">
      <c r="A3387" s="8">
        <v>3385</v>
      </c>
      <c r="B3387" s="8" t="s">
        <v>4148</v>
      </c>
      <c r="C3387" s="8" t="s">
        <v>6927</v>
      </c>
      <c r="D3387" s="8" t="s">
        <v>6928</v>
      </c>
      <c r="E3387" s="13">
        <v>0</v>
      </c>
      <c r="F3387" s="14">
        <v>0</v>
      </c>
    </row>
    <row r="3388" spans="1:6" x14ac:dyDescent="0.3">
      <c r="A3388" s="8">
        <v>3386</v>
      </c>
      <c r="B3388" s="8" t="s">
        <v>4148</v>
      </c>
      <c r="C3388" s="8" t="s">
        <v>6929</v>
      </c>
      <c r="D3388" s="8" t="s">
        <v>6930</v>
      </c>
      <c r="E3388" s="13">
        <v>0</v>
      </c>
      <c r="F3388" s="14">
        <v>0</v>
      </c>
    </row>
    <row r="3389" spans="1:6" x14ac:dyDescent="0.3">
      <c r="A3389" s="8">
        <v>3387</v>
      </c>
      <c r="B3389" s="8" t="s">
        <v>4148</v>
      </c>
      <c r="C3389" s="8" t="s">
        <v>6931</v>
      </c>
      <c r="D3389" s="8" t="s">
        <v>6932</v>
      </c>
      <c r="E3389" s="13">
        <v>84100</v>
      </c>
      <c r="F3389" s="14">
        <v>168519</v>
      </c>
    </row>
    <row r="3390" spans="1:6" x14ac:dyDescent="0.3">
      <c r="A3390" s="8">
        <v>3388</v>
      </c>
      <c r="B3390" s="8" t="s">
        <v>4148</v>
      </c>
      <c r="C3390" s="8" t="s">
        <v>6933</v>
      </c>
      <c r="D3390" s="8" t="s">
        <v>6934</v>
      </c>
      <c r="E3390" s="13">
        <v>84100</v>
      </c>
      <c r="F3390" s="14">
        <v>168519</v>
      </c>
    </row>
    <row r="3391" spans="1:6" x14ac:dyDescent="0.3">
      <c r="A3391" s="8">
        <v>3389</v>
      </c>
      <c r="B3391" s="8" t="s">
        <v>4148</v>
      </c>
      <c r="C3391" s="8" t="s">
        <v>6935</v>
      </c>
      <c r="D3391" s="8" t="s">
        <v>6936</v>
      </c>
      <c r="E3391" s="13">
        <v>0</v>
      </c>
      <c r="F3391" s="14">
        <v>0</v>
      </c>
    </row>
    <row r="3392" spans="1:6" x14ac:dyDescent="0.3">
      <c r="A3392" s="8">
        <v>3390</v>
      </c>
      <c r="B3392" s="8" t="s">
        <v>4148</v>
      </c>
      <c r="C3392" s="8" t="s">
        <v>6937</v>
      </c>
      <c r="D3392" s="8" t="s">
        <v>6938</v>
      </c>
      <c r="E3392" s="13">
        <v>0</v>
      </c>
      <c r="F3392" s="14">
        <v>0</v>
      </c>
    </row>
    <row r="3393" spans="1:6" x14ac:dyDescent="0.3">
      <c r="A3393" s="8">
        <v>3391</v>
      </c>
      <c r="B3393" s="8" t="s">
        <v>4148</v>
      </c>
      <c r="C3393" s="8" t="s">
        <v>6939</v>
      </c>
      <c r="D3393" s="8" t="s">
        <v>6940</v>
      </c>
      <c r="E3393" s="13">
        <v>70100</v>
      </c>
      <c r="F3393" s="14">
        <v>139815</v>
      </c>
    </row>
    <row r="3394" spans="1:6" x14ac:dyDescent="0.3">
      <c r="A3394" s="8">
        <v>3392</v>
      </c>
      <c r="B3394" s="8" t="s">
        <v>4148</v>
      </c>
      <c r="C3394" s="8" t="s">
        <v>6941</v>
      </c>
      <c r="D3394" s="8" t="s">
        <v>6942</v>
      </c>
      <c r="E3394" s="13">
        <v>70100</v>
      </c>
      <c r="F3394" s="14">
        <v>139815</v>
      </c>
    </row>
    <row r="3395" spans="1:6" x14ac:dyDescent="0.3">
      <c r="A3395" s="8">
        <v>3393</v>
      </c>
      <c r="B3395" s="8" t="s">
        <v>4148</v>
      </c>
      <c r="C3395" s="8" t="s">
        <v>6943</v>
      </c>
      <c r="D3395" s="8" t="s">
        <v>6944</v>
      </c>
      <c r="E3395" s="13">
        <v>97200</v>
      </c>
      <c r="F3395" s="14">
        <v>194444</v>
      </c>
    </row>
    <row r="3396" spans="1:6" x14ac:dyDescent="0.3">
      <c r="A3396" s="8">
        <v>3394</v>
      </c>
      <c r="B3396" s="8" t="s">
        <v>4148</v>
      </c>
      <c r="C3396" s="8" t="s">
        <v>6945</v>
      </c>
      <c r="D3396" s="8" t="s">
        <v>6946</v>
      </c>
      <c r="E3396" s="13">
        <v>0</v>
      </c>
      <c r="F3396" s="14">
        <v>0</v>
      </c>
    </row>
    <row r="3397" spans="1:6" x14ac:dyDescent="0.3">
      <c r="A3397" s="8">
        <v>3395</v>
      </c>
      <c r="B3397" s="8" t="s">
        <v>4148</v>
      </c>
      <c r="C3397" s="8" t="s">
        <v>6947</v>
      </c>
      <c r="D3397" s="8" t="s">
        <v>6948</v>
      </c>
      <c r="E3397" s="13">
        <v>0</v>
      </c>
      <c r="F3397" s="14">
        <v>0</v>
      </c>
    </row>
    <row r="3398" spans="1:6" x14ac:dyDescent="0.3">
      <c r="A3398" s="8">
        <v>3396</v>
      </c>
      <c r="B3398" s="8" t="s">
        <v>4148</v>
      </c>
      <c r="C3398" s="8" t="s">
        <v>6949</v>
      </c>
      <c r="D3398" s="8" t="s">
        <v>6950</v>
      </c>
      <c r="E3398" s="13">
        <v>83800</v>
      </c>
      <c r="F3398" s="14">
        <v>167593</v>
      </c>
    </row>
    <row r="3399" spans="1:6" x14ac:dyDescent="0.3">
      <c r="A3399" s="8">
        <v>3397</v>
      </c>
      <c r="B3399" s="8" t="s">
        <v>4148</v>
      </c>
      <c r="C3399" s="8" t="s">
        <v>6951</v>
      </c>
      <c r="D3399" s="8" t="s">
        <v>6952</v>
      </c>
      <c r="E3399" s="13">
        <v>88000</v>
      </c>
      <c r="F3399" s="14">
        <v>175926</v>
      </c>
    </row>
    <row r="3400" spans="1:6" x14ac:dyDescent="0.3">
      <c r="A3400" s="8">
        <v>3398</v>
      </c>
      <c r="B3400" s="8" t="s">
        <v>4148</v>
      </c>
      <c r="C3400" s="8" t="s">
        <v>6953</v>
      </c>
      <c r="D3400" s="8" t="s">
        <v>6954</v>
      </c>
      <c r="E3400" s="13">
        <v>65000</v>
      </c>
      <c r="F3400" s="14">
        <v>129630</v>
      </c>
    </row>
    <row r="3401" spans="1:6" x14ac:dyDescent="0.3">
      <c r="A3401" s="8">
        <v>3399</v>
      </c>
      <c r="B3401" s="8" t="s">
        <v>4148</v>
      </c>
      <c r="C3401" s="8" t="s">
        <v>6955</v>
      </c>
      <c r="D3401" s="8" t="s">
        <v>6956</v>
      </c>
      <c r="E3401" s="13">
        <v>0</v>
      </c>
      <c r="F3401" s="14">
        <v>0</v>
      </c>
    </row>
    <row r="3402" spans="1:6" x14ac:dyDescent="0.3">
      <c r="A3402" s="8">
        <v>3400</v>
      </c>
      <c r="B3402" s="8" t="s">
        <v>6029</v>
      </c>
      <c r="C3402" s="8" t="s">
        <v>6957</v>
      </c>
      <c r="D3402" s="8" t="s">
        <v>6958</v>
      </c>
      <c r="E3402" s="13">
        <v>210000</v>
      </c>
      <c r="F3402" s="14">
        <v>420370</v>
      </c>
    </row>
    <row r="3403" spans="1:6" x14ac:dyDescent="0.3">
      <c r="A3403" s="8">
        <v>3401</v>
      </c>
      <c r="B3403" s="8" t="s">
        <v>6022</v>
      </c>
      <c r="C3403" s="8" t="s">
        <v>6959</v>
      </c>
      <c r="D3403" s="8" t="s">
        <v>6960</v>
      </c>
      <c r="E3403" s="13">
        <v>180000</v>
      </c>
      <c r="F3403" s="14">
        <v>360185</v>
      </c>
    </row>
    <row r="3404" spans="1:6" x14ac:dyDescent="0.3">
      <c r="A3404" s="8">
        <v>3402</v>
      </c>
      <c r="B3404" s="8" t="s">
        <v>6022</v>
      </c>
      <c r="C3404" s="8" t="s">
        <v>6961</v>
      </c>
      <c r="D3404" s="8" t="s">
        <v>6962</v>
      </c>
      <c r="E3404" s="13">
        <v>214000</v>
      </c>
      <c r="F3404" s="14">
        <v>427778</v>
      </c>
    </row>
    <row r="3405" spans="1:6" x14ac:dyDescent="0.3">
      <c r="A3405" s="8">
        <v>3403</v>
      </c>
      <c r="B3405" s="8" t="s">
        <v>6029</v>
      </c>
      <c r="C3405" s="8" t="s">
        <v>6963</v>
      </c>
      <c r="D3405" s="8" t="s">
        <v>6964</v>
      </c>
      <c r="E3405" s="13">
        <v>121000</v>
      </c>
      <c r="F3405" s="14">
        <v>241667</v>
      </c>
    </row>
    <row r="3406" spans="1:6" x14ac:dyDescent="0.3">
      <c r="A3406" s="8">
        <v>3404</v>
      </c>
      <c r="B3406" s="8" t="s">
        <v>6029</v>
      </c>
      <c r="C3406" s="8" t="s">
        <v>6965</v>
      </c>
      <c r="D3406" s="8" t="s">
        <v>6966</v>
      </c>
      <c r="E3406" s="13">
        <v>0</v>
      </c>
      <c r="F3406" s="14">
        <v>0</v>
      </c>
    </row>
    <row r="3407" spans="1:6" x14ac:dyDescent="0.3">
      <c r="A3407" s="8">
        <v>3405</v>
      </c>
      <c r="B3407" s="8" t="s">
        <v>6029</v>
      </c>
      <c r="C3407" s="8" t="s">
        <v>6967</v>
      </c>
      <c r="D3407" s="8" t="s">
        <v>6968</v>
      </c>
      <c r="E3407" s="13">
        <v>0</v>
      </c>
      <c r="F3407" s="14">
        <v>0</v>
      </c>
    </row>
    <row r="3408" spans="1:6" x14ac:dyDescent="0.3">
      <c r="A3408" s="8">
        <v>3406</v>
      </c>
      <c r="B3408" s="8" t="s">
        <v>6022</v>
      </c>
      <c r="C3408" s="8" t="s">
        <v>6969</v>
      </c>
      <c r="D3408" s="8" t="s">
        <v>6970</v>
      </c>
      <c r="E3408" s="13">
        <v>0</v>
      </c>
      <c r="F3408" s="14">
        <v>0</v>
      </c>
    </row>
    <row r="3409" spans="1:6" x14ac:dyDescent="0.3">
      <c r="A3409" s="8">
        <v>3407</v>
      </c>
      <c r="B3409" s="8" t="s">
        <v>6516</v>
      </c>
      <c r="C3409" s="8" t="s">
        <v>6971</v>
      </c>
      <c r="D3409" s="8" t="s">
        <v>6972</v>
      </c>
      <c r="E3409" s="13">
        <v>1153000</v>
      </c>
      <c r="F3409" s="14">
        <v>2076000</v>
      </c>
    </row>
    <row r="3410" spans="1:6" x14ac:dyDescent="0.3">
      <c r="A3410" s="8">
        <v>3408</v>
      </c>
      <c r="B3410" s="8" t="s">
        <v>6516</v>
      </c>
      <c r="C3410" s="8" t="s">
        <v>6973</v>
      </c>
      <c r="D3410" s="8" t="s">
        <v>6974</v>
      </c>
      <c r="E3410" s="13">
        <v>0</v>
      </c>
      <c r="F3410" s="14">
        <v>0</v>
      </c>
    </row>
    <row r="3411" spans="1:6" x14ac:dyDescent="0.3">
      <c r="A3411" s="8">
        <v>3409</v>
      </c>
      <c r="B3411" s="8" t="s">
        <v>6516</v>
      </c>
      <c r="C3411" s="8" t="s">
        <v>6975</v>
      </c>
      <c r="D3411" s="8" t="s">
        <v>6976</v>
      </c>
      <c r="E3411" s="13">
        <v>0</v>
      </c>
      <c r="F3411" s="14">
        <v>1080000</v>
      </c>
    </row>
    <row r="3412" spans="1:6" x14ac:dyDescent="0.3">
      <c r="A3412" s="8">
        <v>3410</v>
      </c>
      <c r="B3412" s="8" t="s">
        <v>6516</v>
      </c>
      <c r="C3412" s="8" t="s">
        <v>6977</v>
      </c>
      <c r="D3412" s="8" t="s">
        <v>6978</v>
      </c>
      <c r="E3412" s="13">
        <v>0</v>
      </c>
      <c r="F3412" s="14">
        <v>0</v>
      </c>
    </row>
    <row r="3413" spans="1:6" x14ac:dyDescent="0.3">
      <c r="A3413" s="8">
        <v>3411</v>
      </c>
      <c r="B3413" s="8" t="s">
        <v>6516</v>
      </c>
      <c r="C3413" s="8" t="s">
        <v>6979</v>
      </c>
      <c r="D3413" s="8" t="s">
        <v>6980</v>
      </c>
      <c r="E3413" s="13">
        <v>0</v>
      </c>
      <c r="F3413" s="14">
        <v>0</v>
      </c>
    </row>
    <row r="3414" spans="1:6" x14ac:dyDescent="0.3">
      <c r="A3414" s="8">
        <v>3412</v>
      </c>
      <c r="B3414" s="8" t="s">
        <v>6516</v>
      </c>
      <c r="C3414" s="8" t="s">
        <v>6981</v>
      </c>
      <c r="D3414" s="8" t="s">
        <v>6982</v>
      </c>
      <c r="E3414" s="13">
        <v>0</v>
      </c>
      <c r="F3414" s="14">
        <v>762000</v>
      </c>
    </row>
    <row r="3415" spans="1:6" x14ac:dyDescent="0.3">
      <c r="A3415" s="8">
        <v>3413</v>
      </c>
      <c r="B3415" s="8" t="s">
        <v>6516</v>
      </c>
      <c r="C3415" s="8" t="s">
        <v>6983</v>
      </c>
      <c r="D3415" s="8" t="s">
        <v>6984</v>
      </c>
      <c r="E3415" s="13">
        <v>0</v>
      </c>
      <c r="F3415" s="14">
        <v>1502000</v>
      </c>
    </row>
    <row r="3416" spans="1:6" x14ac:dyDescent="0.3">
      <c r="A3416" s="8">
        <v>3414</v>
      </c>
      <c r="B3416" s="8" t="s">
        <v>6516</v>
      </c>
      <c r="C3416" s="8" t="s">
        <v>6985</v>
      </c>
      <c r="D3416" s="8" t="s">
        <v>6986</v>
      </c>
      <c r="E3416" s="13">
        <v>0</v>
      </c>
      <c r="F3416" s="14">
        <v>1502000</v>
      </c>
    </row>
    <row r="3417" spans="1:6" x14ac:dyDescent="0.3">
      <c r="A3417" s="8">
        <v>3415</v>
      </c>
      <c r="B3417" s="8" t="s">
        <v>6516</v>
      </c>
      <c r="C3417" s="8" t="s">
        <v>6987</v>
      </c>
      <c r="D3417" s="8" t="s">
        <v>6988</v>
      </c>
      <c r="E3417" s="13">
        <v>0</v>
      </c>
      <c r="F3417" s="14">
        <v>0</v>
      </c>
    </row>
    <row r="3418" spans="1:6" x14ac:dyDescent="0.3">
      <c r="A3418" s="8">
        <v>3416</v>
      </c>
      <c r="B3418" s="8" t="s">
        <v>6516</v>
      </c>
      <c r="C3418" s="8" t="s">
        <v>6989</v>
      </c>
      <c r="D3418" s="8" t="s">
        <v>6990</v>
      </c>
      <c r="E3418" s="13">
        <v>0</v>
      </c>
      <c r="F3418" s="14">
        <v>0</v>
      </c>
    </row>
    <row r="3419" spans="1:6" x14ac:dyDescent="0.3">
      <c r="A3419" s="8">
        <v>3417</v>
      </c>
      <c r="B3419" s="8" t="s">
        <v>6516</v>
      </c>
      <c r="C3419" s="8" t="s">
        <v>6991</v>
      </c>
      <c r="D3419" s="8" t="s">
        <v>6992</v>
      </c>
      <c r="E3419" s="13">
        <v>0</v>
      </c>
      <c r="F3419" s="14">
        <v>0</v>
      </c>
    </row>
    <row r="3420" spans="1:6" x14ac:dyDescent="0.3">
      <c r="A3420" s="8">
        <v>3418</v>
      </c>
      <c r="B3420" s="8" t="s">
        <v>6516</v>
      </c>
      <c r="C3420" s="8" t="s">
        <v>6993</v>
      </c>
      <c r="D3420" s="8" t="s">
        <v>6994</v>
      </c>
      <c r="E3420" s="13">
        <v>0</v>
      </c>
      <c r="F3420" s="14">
        <v>0</v>
      </c>
    </row>
    <row r="3421" spans="1:6" x14ac:dyDescent="0.3">
      <c r="A3421" s="8">
        <v>3419</v>
      </c>
      <c r="B3421" s="8" t="s">
        <v>6516</v>
      </c>
      <c r="C3421" s="8" t="s">
        <v>6995</v>
      </c>
      <c r="D3421" s="8" t="s">
        <v>6996</v>
      </c>
      <c r="E3421" s="13">
        <v>0</v>
      </c>
      <c r="F3421" s="14">
        <v>0</v>
      </c>
    </row>
    <row r="3422" spans="1:6" x14ac:dyDescent="0.3">
      <c r="A3422" s="8">
        <v>3420</v>
      </c>
      <c r="B3422" s="8" t="s">
        <v>6516</v>
      </c>
      <c r="C3422" s="8" t="s">
        <v>6997</v>
      </c>
      <c r="D3422" s="8" t="s">
        <v>6998</v>
      </c>
      <c r="E3422" s="13">
        <v>0</v>
      </c>
      <c r="F3422" s="14">
        <v>0</v>
      </c>
    </row>
    <row r="3423" spans="1:6" x14ac:dyDescent="0.3">
      <c r="A3423" s="8">
        <v>3421</v>
      </c>
      <c r="B3423" s="8" t="s">
        <v>6516</v>
      </c>
      <c r="C3423" s="8" t="s">
        <v>6999</v>
      </c>
      <c r="D3423" s="8" t="s">
        <v>7000</v>
      </c>
      <c r="E3423" s="13">
        <v>0</v>
      </c>
      <c r="F3423" s="14">
        <v>0</v>
      </c>
    </row>
    <row r="3424" spans="1:6" x14ac:dyDescent="0.3">
      <c r="A3424" s="8">
        <v>3422</v>
      </c>
      <c r="B3424" s="8" t="s">
        <v>6516</v>
      </c>
      <c r="C3424" s="8" t="s">
        <v>7001</v>
      </c>
      <c r="D3424" s="8" t="s">
        <v>7002</v>
      </c>
      <c r="E3424" s="13">
        <v>0</v>
      </c>
      <c r="F3424" s="14">
        <v>0</v>
      </c>
    </row>
    <row r="3425" spans="1:6" x14ac:dyDescent="0.3">
      <c r="A3425" s="8">
        <v>3423</v>
      </c>
      <c r="B3425" s="8" t="s">
        <v>4148</v>
      </c>
      <c r="C3425" s="8" t="s">
        <v>7003</v>
      </c>
      <c r="D3425" s="8" t="s">
        <v>7004</v>
      </c>
      <c r="E3425" s="13">
        <v>88000</v>
      </c>
      <c r="F3425" s="14">
        <v>175926</v>
      </c>
    </row>
    <row r="3426" spans="1:6" x14ac:dyDescent="0.3">
      <c r="A3426" s="8">
        <v>3424</v>
      </c>
      <c r="B3426" s="8" t="s">
        <v>4148</v>
      </c>
      <c r="C3426" s="8" t="s">
        <v>7005</v>
      </c>
      <c r="D3426" s="8" t="s">
        <v>7006</v>
      </c>
      <c r="E3426" s="13">
        <v>81200</v>
      </c>
      <c r="F3426" s="14">
        <v>162037</v>
      </c>
    </row>
    <row r="3427" spans="1:6" x14ac:dyDescent="0.3">
      <c r="A3427" s="8">
        <v>3425</v>
      </c>
      <c r="B3427" s="8" t="s">
        <v>4148</v>
      </c>
      <c r="C3427" s="8" t="s">
        <v>7007</v>
      </c>
      <c r="D3427" s="8" t="s">
        <v>7008</v>
      </c>
      <c r="E3427" s="13">
        <v>0</v>
      </c>
      <c r="F3427" s="14">
        <v>0</v>
      </c>
    </row>
    <row r="3428" spans="1:6" x14ac:dyDescent="0.3">
      <c r="A3428" s="8">
        <v>3426</v>
      </c>
      <c r="B3428" s="8" t="s">
        <v>4148</v>
      </c>
      <c r="C3428" s="8" t="s">
        <v>7009</v>
      </c>
      <c r="D3428" s="8" t="s">
        <v>7010</v>
      </c>
      <c r="E3428" s="13">
        <v>0</v>
      </c>
      <c r="F3428" s="14">
        <v>0</v>
      </c>
    </row>
    <row r="3429" spans="1:6" x14ac:dyDescent="0.3">
      <c r="A3429" s="8">
        <v>3427</v>
      </c>
      <c r="B3429" s="8" t="s">
        <v>4148</v>
      </c>
      <c r="C3429" s="8" t="s">
        <v>7011</v>
      </c>
      <c r="D3429" s="8" t="s">
        <v>7012</v>
      </c>
      <c r="E3429" s="13">
        <v>79500</v>
      </c>
      <c r="F3429" s="14">
        <v>159259</v>
      </c>
    </row>
    <row r="3430" spans="1:6" x14ac:dyDescent="0.3">
      <c r="A3430" s="8">
        <v>3428</v>
      </c>
      <c r="B3430" s="8" t="s">
        <v>4148</v>
      </c>
      <c r="C3430" s="8" t="s">
        <v>7013</v>
      </c>
      <c r="D3430" s="8" t="s">
        <v>7014</v>
      </c>
      <c r="E3430" s="13">
        <v>83200</v>
      </c>
      <c r="F3430" s="14">
        <v>166667</v>
      </c>
    </row>
    <row r="3431" spans="1:6" x14ac:dyDescent="0.3">
      <c r="A3431" s="8">
        <v>3429</v>
      </c>
      <c r="B3431" s="8" t="s">
        <v>4148</v>
      </c>
      <c r="C3431" s="8" t="s">
        <v>7015</v>
      </c>
      <c r="D3431" s="8" t="s">
        <v>7016</v>
      </c>
      <c r="E3431" s="13">
        <v>97200</v>
      </c>
      <c r="F3431" s="14">
        <v>194444</v>
      </c>
    </row>
    <row r="3432" spans="1:6" x14ac:dyDescent="0.3">
      <c r="A3432" s="8">
        <v>3430</v>
      </c>
      <c r="B3432" s="8" t="s">
        <v>4148</v>
      </c>
      <c r="C3432" s="8" t="s">
        <v>7017</v>
      </c>
      <c r="D3432" s="8" t="s">
        <v>7018</v>
      </c>
      <c r="E3432" s="13">
        <v>94600</v>
      </c>
      <c r="F3432" s="14">
        <v>188889</v>
      </c>
    </row>
    <row r="3433" spans="1:6" x14ac:dyDescent="0.3">
      <c r="A3433" s="8">
        <v>3431</v>
      </c>
      <c r="B3433" s="8" t="s">
        <v>4148</v>
      </c>
      <c r="C3433" s="8" t="s">
        <v>7019</v>
      </c>
      <c r="D3433" s="8" t="s">
        <v>7020</v>
      </c>
      <c r="E3433" s="13">
        <v>79500</v>
      </c>
      <c r="F3433" s="14">
        <v>159259</v>
      </c>
    </row>
    <row r="3434" spans="1:6" x14ac:dyDescent="0.3">
      <c r="A3434" s="8">
        <v>3432</v>
      </c>
      <c r="B3434" s="8" t="s">
        <v>4148</v>
      </c>
      <c r="C3434" s="8" t="s">
        <v>7021</v>
      </c>
      <c r="D3434" s="8" t="s">
        <v>7022</v>
      </c>
      <c r="E3434" s="13">
        <v>178000</v>
      </c>
      <c r="F3434" s="14">
        <v>355556</v>
      </c>
    </row>
    <row r="3435" spans="1:6" x14ac:dyDescent="0.3">
      <c r="A3435" s="8">
        <v>3433</v>
      </c>
      <c r="B3435" s="8" t="s">
        <v>4148</v>
      </c>
      <c r="C3435" s="8" t="s">
        <v>7023</v>
      </c>
      <c r="D3435" s="8" t="s">
        <v>7024</v>
      </c>
      <c r="E3435" s="13">
        <v>83800</v>
      </c>
      <c r="F3435" s="14">
        <v>167593</v>
      </c>
    </row>
    <row r="3436" spans="1:6" x14ac:dyDescent="0.3">
      <c r="A3436" s="8">
        <v>3434</v>
      </c>
      <c r="B3436" s="8" t="s">
        <v>4148</v>
      </c>
      <c r="C3436" s="8" t="s">
        <v>7025</v>
      </c>
      <c r="D3436" s="8" t="s">
        <v>7026</v>
      </c>
      <c r="E3436" s="13">
        <v>94600</v>
      </c>
      <c r="F3436" s="14">
        <v>188889</v>
      </c>
    </row>
    <row r="3437" spans="1:6" x14ac:dyDescent="0.3">
      <c r="A3437" s="8">
        <v>3435</v>
      </c>
      <c r="B3437" s="8" t="s">
        <v>4148</v>
      </c>
      <c r="C3437" s="8" t="s">
        <v>7027</v>
      </c>
      <c r="D3437" s="8" t="s">
        <v>7028</v>
      </c>
      <c r="E3437" s="13">
        <v>0</v>
      </c>
      <c r="F3437" s="14">
        <v>0</v>
      </c>
    </row>
    <row r="3438" spans="1:6" x14ac:dyDescent="0.3">
      <c r="A3438" s="8">
        <v>3436</v>
      </c>
      <c r="B3438" s="8" t="s">
        <v>4148</v>
      </c>
      <c r="C3438" s="8" t="s">
        <v>7029</v>
      </c>
      <c r="D3438" s="8" t="s">
        <v>7030</v>
      </c>
      <c r="E3438" s="13">
        <v>48500</v>
      </c>
      <c r="F3438" s="14">
        <v>97037</v>
      </c>
    </row>
    <row r="3439" spans="1:6" x14ac:dyDescent="0.3">
      <c r="A3439" s="8">
        <v>3437</v>
      </c>
      <c r="B3439" s="8" t="s">
        <v>4148</v>
      </c>
      <c r="C3439" s="8" t="s">
        <v>7031</v>
      </c>
      <c r="D3439" s="8" t="s">
        <v>7032</v>
      </c>
      <c r="E3439" s="13">
        <v>0</v>
      </c>
      <c r="F3439" s="14">
        <v>0</v>
      </c>
    </row>
    <row r="3440" spans="1:6" x14ac:dyDescent="0.3">
      <c r="A3440" s="8">
        <v>3438</v>
      </c>
      <c r="B3440" s="8" t="s">
        <v>4148</v>
      </c>
      <c r="C3440" s="8" t="s">
        <v>7033</v>
      </c>
      <c r="D3440" s="8" t="s">
        <v>7034</v>
      </c>
      <c r="E3440" s="13">
        <v>234000</v>
      </c>
      <c r="F3440" s="14">
        <v>467593</v>
      </c>
    </row>
    <row r="3441" spans="1:6" x14ac:dyDescent="0.3">
      <c r="A3441" s="8">
        <v>3439</v>
      </c>
      <c r="B3441" s="8" t="s">
        <v>4148</v>
      </c>
      <c r="C3441" s="8" t="s">
        <v>7035</v>
      </c>
      <c r="D3441" s="8" t="s">
        <v>7036</v>
      </c>
      <c r="E3441" s="13">
        <v>0</v>
      </c>
      <c r="F3441" s="14">
        <v>0</v>
      </c>
    </row>
    <row r="3442" spans="1:6" x14ac:dyDescent="0.3">
      <c r="A3442" s="8">
        <v>3440</v>
      </c>
      <c r="B3442" s="8" t="s">
        <v>4148</v>
      </c>
      <c r="C3442" s="8" t="s">
        <v>7037</v>
      </c>
      <c r="D3442" s="8" t="s">
        <v>7038</v>
      </c>
      <c r="E3442" s="13">
        <v>0</v>
      </c>
      <c r="F3442" s="14">
        <v>400000</v>
      </c>
    </row>
    <row r="3443" spans="1:6" x14ac:dyDescent="0.3">
      <c r="A3443" s="8">
        <v>3441</v>
      </c>
      <c r="B3443" s="8" t="s">
        <v>4148</v>
      </c>
      <c r="C3443" s="8" t="s">
        <v>7039</v>
      </c>
      <c r="D3443" s="8" t="s">
        <v>7040</v>
      </c>
      <c r="E3443" s="13">
        <v>0</v>
      </c>
      <c r="F3443" s="14">
        <v>789815</v>
      </c>
    </row>
    <row r="3444" spans="1:6" x14ac:dyDescent="0.3">
      <c r="A3444" s="8">
        <v>3442</v>
      </c>
      <c r="B3444" s="8" t="s">
        <v>4148</v>
      </c>
      <c r="C3444" s="8" t="s">
        <v>7041</v>
      </c>
      <c r="D3444" s="8" t="s">
        <v>7042</v>
      </c>
      <c r="E3444" s="13">
        <v>70100</v>
      </c>
      <c r="F3444" s="14">
        <v>156481</v>
      </c>
    </row>
    <row r="3445" spans="1:6" x14ac:dyDescent="0.3">
      <c r="A3445" s="8">
        <v>3443</v>
      </c>
      <c r="B3445" s="8" t="s">
        <v>4148</v>
      </c>
      <c r="C3445" s="8" t="s">
        <v>7043</v>
      </c>
      <c r="D3445" s="8" t="s">
        <v>7044</v>
      </c>
      <c r="E3445" s="13">
        <v>0</v>
      </c>
      <c r="F3445" s="14">
        <v>0</v>
      </c>
    </row>
    <row r="3446" spans="1:6" x14ac:dyDescent="0.3">
      <c r="A3446" s="8">
        <v>3444</v>
      </c>
      <c r="B3446" s="8" t="s">
        <v>4148</v>
      </c>
      <c r="C3446" s="8" t="s">
        <v>7045</v>
      </c>
      <c r="D3446" s="8" t="s">
        <v>7046</v>
      </c>
      <c r="E3446" s="13">
        <v>0</v>
      </c>
      <c r="F3446" s="14">
        <v>0</v>
      </c>
    </row>
    <row r="3447" spans="1:6" x14ac:dyDescent="0.3">
      <c r="A3447" s="8">
        <v>3445</v>
      </c>
      <c r="B3447" s="8" t="s">
        <v>6516</v>
      </c>
      <c r="C3447" s="8" t="s">
        <v>7047</v>
      </c>
      <c r="D3447" s="8" t="s">
        <v>7048</v>
      </c>
      <c r="E3447" s="13">
        <v>0</v>
      </c>
      <c r="F3447" s="14">
        <v>0</v>
      </c>
    </row>
    <row r="3448" spans="1:6" x14ac:dyDescent="0.3">
      <c r="A3448" s="8">
        <v>3446</v>
      </c>
      <c r="B3448" s="8" t="s">
        <v>6516</v>
      </c>
      <c r="C3448" s="8" t="s">
        <v>7049</v>
      </c>
      <c r="D3448" s="8" t="s">
        <v>7050</v>
      </c>
      <c r="E3448" s="13">
        <v>0</v>
      </c>
      <c r="F3448" s="14">
        <v>2414815</v>
      </c>
    </row>
    <row r="3449" spans="1:6" x14ac:dyDescent="0.3">
      <c r="A3449" s="8">
        <v>3447</v>
      </c>
      <c r="B3449" s="8" t="s">
        <v>6516</v>
      </c>
      <c r="C3449" s="8" t="s">
        <v>7051</v>
      </c>
      <c r="D3449" s="8" t="s">
        <v>7052</v>
      </c>
      <c r="E3449" s="13">
        <v>537000</v>
      </c>
      <c r="F3449" s="14">
        <v>1074074</v>
      </c>
    </row>
    <row r="3450" spans="1:6" x14ac:dyDescent="0.3">
      <c r="A3450" s="8">
        <v>3448</v>
      </c>
      <c r="B3450" s="8" t="s">
        <v>6516</v>
      </c>
      <c r="C3450" s="8" t="s">
        <v>7053</v>
      </c>
      <c r="D3450" s="8" t="s">
        <v>7054</v>
      </c>
      <c r="E3450" s="13">
        <v>0</v>
      </c>
      <c r="F3450" s="14">
        <v>1759259</v>
      </c>
    </row>
    <row r="3451" spans="1:6" x14ac:dyDescent="0.3">
      <c r="A3451" s="8">
        <v>3449</v>
      </c>
      <c r="B3451" s="8" t="s">
        <v>6516</v>
      </c>
      <c r="C3451" s="8" t="s">
        <v>7055</v>
      </c>
      <c r="D3451" s="8" t="s">
        <v>7056</v>
      </c>
      <c r="E3451" s="13">
        <v>0</v>
      </c>
      <c r="F3451" s="14">
        <v>762037</v>
      </c>
    </row>
    <row r="3452" spans="1:6" x14ac:dyDescent="0.3">
      <c r="A3452" s="8">
        <v>3450</v>
      </c>
      <c r="B3452" s="8" t="s">
        <v>6516</v>
      </c>
      <c r="C3452" s="8" t="s">
        <v>7057</v>
      </c>
      <c r="D3452" s="8" t="s">
        <v>7058</v>
      </c>
      <c r="E3452" s="13">
        <v>0</v>
      </c>
      <c r="F3452" s="14">
        <v>0</v>
      </c>
    </row>
    <row r="3453" spans="1:6" x14ac:dyDescent="0.3">
      <c r="A3453" s="8">
        <v>3451</v>
      </c>
      <c r="B3453" s="8" t="s">
        <v>6516</v>
      </c>
      <c r="C3453" s="8" t="s">
        <v>7059</v>
      </c>
      <c r="D3453" s="8" t="s">
        <v>7060</v>
      </c>
      <c r="E3453" s="13">
        <v>0</v>
      </c>
      <c r="F3453" s="14">
        <v>0</v>
      </c>
    </row>
    <row r="3454" spans="1:6" x14ac:dyDescent="0.3">
      <c r="A3454" s="8">
        <v>3452</v>
      </c>
      <c r="B3454" s="8" t="s">
        <v>6516</v>
      </c>
      <c r="C3454" s="8" t="s">
        <v>7061</v>
      </c>
      <c r="D3454" s="8" t="s">
        <v>7062</v>
      </c>
      <c r="E3454" s="13">
        <v>0</v>
      </c>
      <c r="F3454" s="14">
        <v>0</v>
      </c>
    </row>
    <row r="3455" spans="1:6" x14ac:dyDescent="0.3">
      <c r="A3455" s="8">
        <v>3453</v>
      </c>
      <c r="B3455" s="8" t="s">
        <v>6516</v>
      </c>
      <c r="C3455" s="8" t="s">
        <v>7063</v>
      </c>
      <c r="D3455" s="8" t="s">
        <v>7064</v>
      </c>
      <c r="E3455" s="13">
        <v>0</v>
      </c>
      <c r="F3455" s="14">
        <v>0</v>
      </c>
    </row>
    <row r="3456" spans="1:6" x14ac:dyDescent="0.3">
      <c r="A3456" s="8">
        <v>3454</v>
      </c>
      <c r="B3456" s="8" t="s">
        <v>6516</v>
      </c>
      <c r="C3456" s="8" t="s">
        <v>7065</v>
      </c>
      <c r="D3456" s="8" t="s">
        <v>7066</v>
      </c>
      <c r="E3456" s="13">
        <v>0</v>
      </c>
      <c r="F3456" s="14">
        <v>0</v>
      </c>
    </row>
    <row r="3457" spans="1:6" x14ac:dyDescent="0.3">
      <c r="A3457" s="8">
        <v>3455</v>
      </c>
      <c r="B3457" s="8" t="s">
        <v>6516</v>
      </c>
      <c r="C3457" s="8" t="s">
        <v>7067</v>
      </c>
      <c r="D3457" s="8" t="s">
        <v>7068</v>
      </c>
      <c r="E3457" s="13">
        <v>0</v>
      </c>
      <c r="F3457" s="14">
        <v>0</v>
      </c>
    </row>
    <row r="3458" spans="1:6" x14ac:dyDescent="0.3">
      <c r="A3458" s="8">
        <v>3456</v>
      </c>
      <c r="B3458" s="8" t="s">
        <v>6516</v>
      </c>
      <c r="C3458" s="8" t="s">
        <v>7069</v>
      </c>
      <c r="D3458" s="8" t="s">
        <v>7070</v>
      </c>
      <c r="E3458" s="13">
        <v>0</v>
      </c>
      <c r="F3458" s="14">
        <v>0</v>
      </c>
    </row>
    <row r="3459" spans="1:6" x14ac:dyDescent="0.3">
      <c r="A3459" s="8">
        <v>3457</v>
      </c>
      <c r="B3459" s="8" t="s">
        <v>6516</v>
      </c>
      <c r="C3459" s="8" t="s">
        <v>7071</v>
      </c>
      <c r="D3459" s="8" t="s">
        <v>7072</v>
      </c>
      <c r="E3459" s="13">
        <v>0</v>
      </c>
      <c r="F3459" s="14">
        <v>1501852</v>
      </c>
    </row>
    <row r="3460" spans="1:6" x14ac:dyDescent="0.3">
      <c r="A3460" s="8">
        <v>3458</v>
      </c>
      <c r="B3460" s="8" t="s">
        <v>6516</v>
      </c>
      <c r="C3460" s="8" t="s">
        <v>7073</v>
      </c>
      <c r="D3460" s="8" t="s">
        <v>7074</v>
      </c>
      <c r="E3460" s="13">
        <v>0</v>
      </c>
      <c r="F3460" s="14">
        <v>0</v>
      </c>
    </row>
    <row r="3461" spans="1:6" x14ac:dyDescent="0.3">
      <c r="A3461" s="8">
        <v>3459</v>
      </c>
      <c r="B3461" s="8" t="s">
        <v>6516</v>
      </c>
      <c r="C3461" s="8" t="s">
        <v>7075</v>
      </c>
      <c r="D3461" s="8" t="s">
        <v>7076</v>
      </c>
      <c r="E3461" s="13">
        <v>0</v>
      </c>
      <c r="F3461" s="14">
        <v>0</v>
      </c>
    </row>
    <row r="3462" spans="1:6" x14ac:dyDescent="0.3">
      <c r="A3462" s="8">
        <v>3460</v>
      </c>
      <c r="B3462" s="8" t="s">
        <v>6516</v>
      </c>
      <c r="C3462" s="8" t="s">
        <v>7077</v>
      </c>
      <c r="D3462" s="8" t="s">
        <v>7078</v>
      </c>
      <c r="E3462" s="13">
        <v>0</v>
      </c>
      <c r="F3462" s="14">
        <v>0</v>
      </c>
    </row>
    <row r="3463" spans="1:6" x14ac:dyDescent="0.3">
      <c r="A3463" s="8">
        <v>3461</v>
      </c>
      <c r="B3463" s="8" t="s">
        <v>6516</v>
      </c>
      <c r="C3463" s="8" t="s">
        <v>7079</v>
      </c>
      <c r="D3463" s="8" t="s">
        <v>7080</v>
      </c>
      <c r="E3463" s="13">
        <v>0</v>
      </c>
      <c r="F3463" s="14">
        <v>0</v>
      </c>
    </row>
    <row r="3464" spans="1:6" x14ac:dyDescent="0.3">
      <c r="A3464" s="8">
        <v>3462</v>
      </c>
      <c r="B3464" s="8" t="s">
        <v>6516</v>
      </c>
      <c r="C3464" s="8" t="s">
        <v>7081</v>
      </c>
      <c r="D3464" s="8" t="s">
        <v>7082</v>
      </c>
      <c r="E3464" s="13">
        <v>0</v>
      </c>
      <c r="F3464" s="14">
        <v>0</v>
      </c>
    </row>
    <row r="3465" spans="1:6" x14ac:dyDescent="0.3">
      <c r="A3465" s="8">
        <v>3463</v>
      </c>
      <c r="B3465" s="8" t="s">
        <v>6516</v>
      </c>
      <c r="C3465" s="8" t="s">
        <v>7083</v>
      </c>
      <c r="D3465" s="8" t="s">
        <v>7084</v>
      </c>
      <c r="E3465" s="13">
        <v>0</v>
      </c>
      <c r="F3465" s="14">
        <v>0</v>
      </c>
    </row>
    <row r="3466" spans="1:6" x14ac:dyDescent="0.3">
      <c r="A3466" s="8">
        <v>3464</v>
      </c>
      <c r="B3466" s="8" t="s">
        <v>6516</v>
      </c>
      <c r="C3466" s="8" t="s">
        <v>7085</v>
      </c>
      <c r="D3466" s="8" t="s">
        <v>7086</v>
      </c>
      <c r="E3466" s="13">
        <v>0</v>
      </c>
      <c r="F3466" s="14">
        <v>0</v>
      </c>
    </row>
    <row r="3467" spans="1:6" x14ac:dyDescent="0.3">
      <c r="A3467" s="8">
        <v>3465</v>
      </c>
      <c r="B3467" s="8" t="s">
        <v>6516</v>
      </c>
      <c r="C3467" s="8" t="s">
        <v>7087</v>
      </c>
      <c r="D3467" s="8" t="s">
        <v>7088</v>
      </c>
      <c r="E3467" s="13">
        <v>0</v>
      </c>
      <c r="F3467" s="14">
        <v>0</v>
      </c>
    </row>
    <row r="3468" spans="1:6" x14ac:dyDescent="0.3">
      <c r="A3468" s="8">
        <v>3466</v>
      </c>
      <c r="B3468" s="8" t="s">
        <v>6516</v>
      </c>
      <c r="C3468" s="8" t="s">
        <v>7089</v>
      </c>
      <c r="D3468" s="8" t="s">
        <v>7090</v>
      </c>
      <c r="E3468" s="13">
        <v>0</v>
      </c>
      <c r="F3468" s="14">
        <v>0</v>
      </c>
    </row>
    <row r="3469" spans="1:6" x14ac:dyDescent="0.3">
      <c r="A3469" s="8">
        <v>3467</v>
      </c>
      <c r="B3469" s="8" t="s">
        <v>4148</v>
      </c>
      <c r="C3469" s="8" t="s">
        <v>7091</v>
      </c>
      <c r="D3469" s="8" t="s">
        <v>7092</v>
      </c>
      <c r="E3469" s="13">
        <v>0</v>
      </c>
      <c r="F3469" s="14">
        <v>0</v>
      </c>
    </row>
    <row r="3470" spans="1:6" x14ac:dyDescent="0.3">
      <c r="A3470" s="8">
        <v>3468</v>
      </c>
      <c r="B3470" s="8" t="s">
        <v>4148</v>
      </c>
      <c r="C3470" s="8" t="s">
        <v>7093</v>
      </c>
      <c r="D3470" s="8" t="s">
        <v>7094</v>
      </c>
      <c r="E3470" s="13">
        <v>0</v>
      </c>
      <c r="F3470" s="14">
        <v>0</v>
      </c>
    </row>
    <row r="3471" spans="1:6" x14ac:dyDescent="0.3">
      <c r="A3471" s="8">
        <v>3469</v>
      </c>
      <c r="B3471" s="8" t="s">
        <v>4148</v>
      </c>
      <c r="C3471" s="8" t="s">
        <v>7095</v>
      </c>
      <c r="D3471" s="8" t="s">
        <v>7096</v>
      </c>
      <c r="E3471" s="13">
        <v>115000</v>
      </c>
      <c r="F3471" s="14">
        <v>229630</v>
      </c>
    </row>
    <row r="3472" spans="1:6" x14ac:dyDescent="0.3">
      <c r="A3472" s="8">
        <v>3470</v>
      </c>
      <c r="B3472" s="8" t="s">
        <v>4148</v>
      </c>
      <c r="C3472" s="8" t="s">
        <v>7097</v>
      </c>
      <c r="D3472" s="8" t="s">
        <v>7098</v>
      </c>
      <c r="E3472" s="13">
        <v>0</v>
      </c>
      <c r="F3472" s="14">
        <v>0</v>
      </c>
    </row>
    <row r="3473" spans="1:6" x14ac:dyDescent="0.3">
      <c r="A3473" s="8">
        <v>3471</v>
      </c>
      <c r="B3473" s="8" t="s">
        <v>4148</v>
      </c>
      <c r="C3473" s="8" t="s">
        <v>7099</v>
      </c>
      <c r="D3473" s="8" t="s">
        <v>7100</v>
      </c>
      <c r="E3473" s="13">
        <v>0</v>
      </c>
      <c r="F3473" s="14">
        <v>0</v>
      </c>
    </row>
    <row r="3474" spans="1:6" x14ac:dyDescent="0.3">
      <c r="A3474" s="8">
        <v>3472</v>
      </c>
      <c r="B3474" s="8" t="s">
        <v>4148</v>
      </c>
      <c r="C3474" s="8" t="s">
        <v>7101</v>
      </c>
      <c r="D3474" s="8" t="s">
        <v>7102</v>
      </c>
      <c r="E3474" s="13">
        <v>0</v>
      </c>
      <c r="F3474" s="14">
        <v>0</v>
      </c>
    </row>
    <row r="3475" spans="1:6" x14ac:dyDescent="0.3">
      <c r="A3475" s="8">
        <v>3473</v>
      </c>
      <c r="B3475" s="8" t="s">
        <v>4148</v>
      </c>
      <c r="C3475" s="8" t="s">
        <v>7103</v>
      </c>
      <c r="D3475" s="8" t="s">
        <v>7104</v>
      </c>
      <c r="E3475" s="13">
        <v>0</v>
      </c>
      <c r="F3475" s="14">
        <v>0</v>
      </c>
    </row>
    <row r="3476" spans="1:6" x14ac:dyDescent="0.3">
      <c r="A3476" s="8">
        <v>3474</v>
      </c>
      <c r="B3476" s="8" t="s">
        <v>6029</v>
      </c>
      <c r="C3476" s="8" t="s">
        <v>7105</v>
      </c>
      <c r="D3476" s="8" t="s">
        <v>7106</v>
      </c>
      <c r="E3476" s="13">
        <v>210000</v>
      </c>
      <c r="F3476" s="14">
        <v>360000</v>
      </c>
    </row>
    <row r="3477" spans="1:6" x14ac:dyDescent="0.3">
      <c r="A3477" s="8">
        <v>3475</v>
      </c>
      <c r="B3477" s="8" t="s">
        <v>6029</v>
      </c>
      <c r="C3477" s="8" t="s">
        <v>7107</v>
      </c>
      <c r="D3477" s="8" t="s">
        <v>7108</v>
      </c>
      <c r="E3477" s="13">
        <v>121000</v>
      </c>
      <c r="F3477" s="14">
        <v>208000</v>
      </c>
    </row>
    <row r="3478" spans="1:6" x14ac:dyDescent="0.3">
      <c r="A3478" s="8">
        <v>3476</v>
      </c>
      <c r="B3478" s="8" t="s">
        <v>6022</v>
      </c>
      <c r="C3478" s="8" t="s">
        <v>7109</v>
      </c>
      <c r="D3478" s="8" t="s">
        <v>7110</v>
      </c>
      <c r="E3478" s="13">
        <v>214000</v>
      </c>
      <c r="F3478" s="14">
        <v>427778</v>
      </c>
    </row>
    <row r="3479" spans="1:6" x14ac:dyDescent="0.3">
      <c r="A3479" s="8">
        <v>3477</v>
      </c>
      <c r="B3479" s="8" t="s">
        <v>6022</v>
      </c>
      <c r="C3479" s="8" t="s">
        <v>7111</v>
      </c>
      <c r="D3479" s="8" t="s">
        <v>7112</v>
      </c>
      <c r="E3479" s="13">
        <v>214000</v>
      </c>
      <c r="F3479" s="14">
        <v>427778</v>
      </c>
    </row>
    <row r="3480" spans="1:6" x14ac:dyDescent="0.3">
      <c r="A3480" s="8">
        <v>3478</v>
      </c>
      <c r="B3480" s="8" t="s">
        <v>6022</v>
      </c>
      <c r="C3480" s="8" t="s">
        <v>7113</v>
      </c>
      <c r="D3480" s="8" t="s">
        <v>7114</v>
      </c>
      <c r="E3480" s="13">
        <v>270000</v>
      </c>
      <c r="F3480" s="14">
        <v>460000</v>
      </c>
    </row>
    <row r="3481" spans="1:6" x14ac:dyDescent="0.3">
      <c r="A3481" s="8">
        <v>3479</v>
      </c>
      <c r="B3481" s="8" t="s">
        <v>6022</v>
      </c>
      <c r="C3481" s="8" t="s">
        <v>7115</v>
      </c>
      <c r="D3481" s="8" t="s">
        <v>7116</v>
      </c>
      <c r="E3481" s="13">
        <v>177000</v>
      </c>
      <c r="F3481" s="14">
        <v>353704</v>
      </c>
    </row>
    <row r="3482" spans="1:6" x14ac:dyDescent="0.3">
      <c r="A3482" s="8">
        <v>3480</v>
      </c>
      <c r="B3482" s="8" t="s">
        <v>6022</v>
      </c>
      <c r="C3482" s="8" t="s">
        <v>7117</v>
      </c>
      <c r="D3482" s="8" t="s">
        <v>7118</v>
      </c>
      <c r="E3482" s="13">
        <v>220000</v>
      </c>
      <c r="F3482" s="14">
        <v>439815</v>
      </c>
    </row>
    <row r="3483" spans="1:6" x14ac:dyDescent="0.3">
      <c r="A3483" s="8">
        <v>3481</v>
      </c>
      <c r="B3483" s="8" t="s">
        <v>6029</v>
      </c>
      <c r="C3483" s="8" t="s">
        <v>7119</v>
      </c>
      <c r="D3483" s="8" t="s">
        <v>7120</v>
      </c>
      <c r="E3483" s="13">
        <v>0</v>
      </c>
      <c r="F3483" s="14">
        <v>0</v>
      </c>
    </row>
    <row r="3484" spans="1:6" x14ac:dyDescent="0.3">
      <c r="A3484" s="8">
        <v>3482</v>
      </c>
      <c r="B3484" s="8" t="s">
        <v>6022</v>
      </c>
      <c r="C3484" s="8" t="s">
        <v>7121</v>
      </c>
      <c r="D3484" s="8" t="s">
        <v>7122</v>
      </c>
      <c r="E3484" s="13">
        <v>104000</v>
      </c>
      <c r="F3484" s="14">
        <v>208333</v>
      </c>
    </row>
    <row r="3485" spans="1:6" x14ac:dyDescent="0.3">
      <c r="A3485" s="8">
        <v>3483</v>
      </c>
      <c r="B3485" s="8" t="s">
        <v>6022</v>
      </c>
      <c r="C3485" s="8" t="s">
        <v>7123</v>
      </c>
      <c r="D3485" s="8" t="s">
        <v>7124</v>
      </c>
      <c r="E3485" s="13">
        <v>177000</v>
      </c>
      <c r="F3485" s="14">
        <v>353704</v>
      </c>
    </row>
    <row r="3486" spans="1:6" x14ac:dyDescent="0.3">
      <c r="A3486" s="8">
        <v>3484</v>
      </c>
      <c r="B3486" s="8" t="s">
        <v>6029</v>
      </c>
      <c r="C3486" s="8" t="s">
        <v>7125</v>
      </c>
      <c r="D3486" s="8" t="s">
        <v>7126</v>
      </c>
      <c r="E3486" s="13">
        <v>0</v>
      </c>
      <c r="F3486" s="14">
        <v>0</v>
      </c>
    </row>
    <row r="3487" spans="1:6" x14ac:dyDescent="0.3">
      <c r="A3487" s="8">
        <v>3485</v>
      </c>
      <c r="B3487" s="8" t="s">
        <v>6022</v>
      </c>
      <c r="C3487" s="8" t="s">
        <v>7127</v>
      </c>
      <c r="D3487" s="8" t="s">
        <v>7128</v>
      </c>
      <c r="E3487" s="13">
        <v>0</v>
      </c>
      <c r="F3487" s="14">
        <v>0</v>
      </c>
    </row>
    <row r="3488" spans="1:6" x14ac:dyDescent="0.3">
      <c r="A3488" s="8">
        <v>3486</v>
      </c>
      <c r="B3488" s="8" t="s">
        <v>6022</v>
      </c>
      <c r="C3488" s="8" t="s">
        <v>7129</v>
      </c>
      <c r="D3488" s="8" t="s">
        <v>7130</v>
      </c>
      <c r="E3488" s="13">
        <v>232000</v>
      </c>
      <c r="F3488" s="14">
        <v>463889</v>
      </c>
    </row>
    <row r="3489" spans="1:6" x14ac:dyDescent="0.3">
      <c r="A3489" s="8">
        <v>3487</v>
      </c>
      <c r="B3489" s="8" t="s">
        <v>6022</v>
      </c>
      <c r="C3489" s="8" t="s">
        <v>7131</v>
      </c>
      <c r="D3489" s="8" t="s">
        <v>7132</v>
      </c>
      <c r="E3489" s="13">
        <v>0</v>
      </c>
      <c r="F3489" s="14">
        <v>0</v>
      </c>
    </row>
    <row r="3490" spans="1:6" x14ac:dyDescent="0.3">
      <c r="A3490" s="8">
        <v>3488</v>
      </c>
      <c r="B3490" s="8" t="s">
        <v>6022</v>
      </c>
      <c r="C3490" s="8" t="s">
        <v>7133</v>
      </c>
      <c r="D3490" s="8" t="s">
        <v>7134</v>
      </c>
      <c r="E3490" s="13">
        <v>0</v>
      </c>
      <c r="F3490" s="14">
        <v>0</v>
      </c>
    </row>
    <row r="3491" spans="1:6" x14ac:dyDescent="0.3">
      <c r="A3491" s="8">
        <v>3489</v>
      </c>
      <c r="B3491" s="8" t="s">
        <v>6022</v>
      </c>
      <c r="C3491" s="8" t="s">
        <v>7135</v>
      </c>
      <c r="D3491" s="8" t="s">
        <v>7136</v>
      </c>
      <c r="E3491" s="13">
        <v>0</v>
      </c>
      <c r="F3491" s="14">
        <v>0</v>
      </c>
    </row>
    <row r="3492" spans="1:6" x14ac:dyDescent="0.3">
      <c r="A3492" s="8">
        <v>3490</v>
      </c>
      <c r="B3492" s="8" t="s">
        <v>6029</v>
      </c>
      <c r="C3492" s="8" t="s">
        <v>7137</v>
      </c>
      <c r="D3492" s="8" t="s">
        <v>7138</v>
      </c>
      <c r="E3492" s="13">
        <v>142000</v>
      </c>
      <c r="F3492" s="14">
        <v>284259</v>
      </c>
    </row>
    <row r="3493" spans="1:6" x14ac:dyDescent="0.3">
      <c r="A3493" s="8">
        <v>3491</v>
      </c>
      <c r="B3493" s="8" t="s">
        <v>2792</v>
      </c>
      <c r="C3493" s="8" t="s">
        <v>7139</v>
      </c>
      <c r="D3493" s="8" t="s">
        <v>7140</v>
      </c>
      <c r="E3493" s="13">
        <v>0</v>
      </c>
      <c r="F3493" s="14">
        <v>0</v>
      </c>
    </row>
    <row r="3494" spans="1:6" x14ac:dyDescent="0.3">
      <c r="A3494" s="8">
        <v>3492</v>
      </c>
      <c r="B3494" s="8" t="s">
        <v>2792</v>
      </c>
      <c r="C3494" s="8" t="s">
        <v>7141</v>
      </c>
      <c r="D3494" s="8" t="s">
        <v>7142</v>
      </c>
      <c r="E3494" s="13">
        <v>0</v>
      </c>
      <c r="F3494" s="14">
        <v>0</v>
      </c>
    </row>
    <row r="3495" spans="1:6" x14ac:dyDescent="0.3">
      <c r="A3495" s="8">
        <v>3493</v>
      </c>
      <c r="B3495" s="8" t="s">
        <v>2792</v>
      </c>
      <c r="C3495" s="8" t="s">
        <v>7143</v>
      </c>
      <c r="D3495" s="8" t="s">
        <v>7144</v>
      </c>
      <c r="E3495" s="13">
        <v>0</v>
      </c>
      <c r="F3495" s="14">
        <v>0</v>
      </c>
    </row>
    <row r="3496" spans="1:6" x14ac:dyDescent="0.3">
      <c r="A3496" s="8">
        <v>3494</v>
      </c>
      <c r="B3496" s="8" t="s">
        <v>2792</v>
      </c>
      <c r="C3496" s="8" t="s">
        <v>7145</v>
      </c>
      <c r="D3496" s="8" t="s">
        <v>7146</v>
      </c>
      <c r="E3496" s="13">
        <v>0</v>
      </c>
      <c r="F3496" s="14">
        <v>910000</v>
      </c>
    </row>
    <row r="3497" spans="1:6" x14ac:dyDescent="0.3">
      <c r="A3497" s="8">
        <v>3495</v>
      </c>
      <c r="B3497" s="8" t="s">
        <v>2792</v>
      </c>
      <c r="C3497" s="8" t="s">
        <v>7147</v>
      </c>
      <c r="D3497" s="8" t="s">
        <v>7148</v>
      </c>
      <c r="E3497" s="13">
        <v>0</v>
      </c>
      <c r="F3497" s="14">
        <v>0</v>
      </c>
    </row>
    <row r="3498" spans="1:6" x14ac:dyDescent="0.3">
      <c r="A3498" s="8">
        <v>3496</v>
      </c>
      <c r="B3498" s="8" t="s">
        <v>2792</v>
      </c>
      <c r="C3498" s="8" t="s">
        <v>7149</v>
      </c>
      <c r="D3498" s="8" t="s">
        <v>7150</v>
      </c>
      <c r="E3498" s="13">
        <v>0</v>
      </c>
      <c r="F3498" s="14">
        <v>0</v>
      </c>
    </row>
    <row r="3499" spans="1:6" x14ac:dyDescent="0.3">
      <c r="A3499" s="8">
        <v>3497</v>
      </c>
      <c r="B3499" s="8" t="s">
        <v>2792</v>
      </c>
      <c r="C3499" s="8" t="s">
        <v>7151</v>
      </c>
      <c r="D3499" s="8" t="s">
        <v>7152</v>
      </c>
      <c r="E3499" s="13">
        <v>0</v>
      </c>
      <c r="F3499" s="14">
        <v>0</v>
      </c>
    </row>
    <row r="3500" spans="1:6" x14ac:dyDescent="0.3">
      <c r="A3500" s="8">
        <v>3498</v>
      </c>
      <c r="B3500" s="8" t="s">
        <v>2792</v>
      </c>
      <c r="C3500" s="8" t="s">
        <v>7153</v>
      </c>
      <c r="D3500" s="8" t="s">
        <v>7154</v>
      </c>
      <c r="E3500" s="13">
        <v>0</v>
      </c>
      <c r="F3500" s="14">
        <v>0</v>
      </c>
    </row>
    <row r="3501" spans="1:6" x14ac:dyDescent="0.3">
      <c r="A3501" s="8">
        <v>3499</v>
      </c>
      <c r="B3501" s="8" t="s">
        <v>2792</v>
      </c>
      <c r="C3501" s="8" t="s">
        <v>7155</v>
      </c>
      <c r="D3501" s="8" t="s">
        <v>7156</v>
      </c>
      <c r="E3501" s="13">
        <v>0</v>
      </c>
      <c r="F3501" s="14">
        <v>2689815</v>
      </c>
    </row>
    <row r="3502" spans="1:6" x14ac:dyDescent="0.3">
      <c r="A3502" s="8">
        <v>3500</v>
      </c>
      <c r="B3502" s="8" t="s">
        <v>2792</v>
      </c>
      <c r="C3502" s="8" t="s">
        <v>7157</v>
      </c>
      <c r="D3502" s="8" t="s">
        <v>7158</v>
      </c>
      <c r="E3502" s="13">
        <v>0</v>
      </c>
      <c r="F3502" s="14">
        <v>0</v>
      </c>
    </row>
    <row r="3503" spans="1:6" x14ac:dyDescent="0.3">
      <c r="A3503" s="8">
        <v>3501</v>
      </c>
      <c r="B3503" s="8" t="s">
        <v>2792</v>
      </c>
      <c r="C3503" s="8" t="s">
        <v>7159</v>
      </c>
      <c r="D3503" s="8" t="s">
        <v>7160</v>
      </c>
      <c r="E3503" s="13">
        <v>0</v>
      </c>
      <c r="F3503" s="14">
        <v>0</v>
      </c>
    </row>
    <row r="3504" spans="1:6" x14ac:dyDescent="0.3">
      <c r="A3504" s="8">
        <v>3502</v>
      </c>
      <c r="B3504" s="8" t="s">
        <v>2792</v>
      </c>
      <c r="C3504" s="8" t="s">
        <v>7161</v>
      </c>
      <c r="D3504" s="8" t="s">
        <v>7162</v>
      </c>
      <c r="E3504" s="13">
        <v>0</v>
      </c>
      <c r="F3504" s="14">
        <v>0</v>
      </c>
    </row>
    <row r="3505" spans="1:6" x14ac:dyDescent="0.3">
      <c r="A3505" s="8">
        <v>3503</v>
      </c>
      <c r="B3505" s="8" t="s">
        <v>2792</v>
      </c>
      <c r="C3505" s="8" t="s">
        <v>7163</v>
      </c>
      <c r="D3505" s="8" t="s">
        <v>7164</v>
      </c>
      <c r="E3505" s="13">
        <v>0</v>
      </c>
      <c r="F3505" s="14">
        <v>0</v>
      </c>
    </row>
    <row r="3506" spans="1:6" x14ac:dyDescent="0.3">
      <c r="A3506" s="8">
        <v>3504</v>
      </c>
      <c r="B3506" s="8" t="s">
        <v>2792</v>
      </c>
      <c r="C3506" s="8" t="s">
        <v>7165</v>
      </c>
      <c r="D3506" s="8" t="s">
        <v>7166</v>
      </c>
      <c r="E3506" s="13">
        <v>0</v>
      </c>
      <c r="F3506" s="14">
        <v>0</v>
      </c>
    </row>
    <row r="3507" spans="1:6" x14ac:dyDescent="0.3">
      <c r="A3507" s="8">
        <v>3505</v>
      </c>
      <c r="B3507" s="8" t="s">
        <v>2792</v>
      </c>
      <c r="C3507" s="8" t="s">
        <v>7167</v>
      </c>
      <c r="D3507" s="8" t="s">
        <v>7168</v>
      </c>
      <c r="E3507" s="13">
        <v>0</v>
      </c>
      <c r="F3507" s="14">
        <v>0</v>
      </c>
    </row>
    <row r="3508" spans="1:6" x14ac:dyDescent="0.3">
      <c r="A3508" s="8">
        <v>3506</v>
      </c>
      <c r="B3508" s="8" t="s">
        <v>2792</v>
      </c>
      <c r="C3508" s="8" t="s">
        <v>7169</v>
      </c>
      <c r="D3508" s="8" t="s">
        <v>7170</v>
      </c>
      <c r="E3508" s="13">
        <v>0</v>
      </c>
      <c r="F3508" s="14">
        <v>0</v>
      </c>
    </row>
    <row r="3509" spans="1:6" x14ac:dyDescent="0.3">
      <c r="A3509" s="8">
        <v>3507</v>
      </c>
      <c r="B3509" s="8" t="s">
        <v>2792</v>
      </c>
      <c r="C3509" s="8" t="s">
        <v>7171</v>
      </c>
      <c r="D3509" s="8" t="s">
        <v>7172</v>
      </c>
      <c r="E3509" s="13">
        <v>829000</v>
      </c>
      <c r="F3509" s="14">
        <v>1658333</v>
      </c>
    </row>
    <row r="3510" spans="1:6" x14ac:dyDescent="0.3">
      <c r="A3510" s="8">
        <v>3508</v>
      </c>
      <c r="B3510" s="8" t="s">
        <v>2792</v>
      </c>
      <c r="C3510" s="8" t="s">
        <v>7173</v>
      </c>
      <c r="D3510" s="8" t="s">
        <v>7174</v>
      </c>
      <c r="E3510" s="13">
        <v>0</v>
      </c>
      <c r="F3510" s="14">
        <v>0</v>
      </c>
    </row>
    <row r="3511" spans="1:6" x14ac:dyDescent="0.3">
      <c r="A3511" s="8">
        <v>3509</v>
      </c>
      <c r="B3511" s="8" t="s">
        <v>2792</v>
      </c>
      <c r="C3511" s="8" t="s">
        <v>7175</v>
      </c>
      <c r="D3511" s="8" t="s">
        <v>7176</v>
      </c>
      <c r="E3511" s="13">
        <v>842000</v>
      </c>
      <c r="F3511" s="14">
        <v>1684259</v>
      </c>
    </row>
    <row r="3512" spans="1:6" x14ac:dyDescent="0.3">
      <c r="A3512" s="8">
        <v>3510</v>
      </c>
      <c r="B3512" s="8" t="s">
        <v>2792</v>
      </c>
      <c r="C3512" s="8" t="s">
        <v>7177</v>
      </c>
      <c r="D3512" s="8" t="s">
        <v>7178</v>
      </c>
      <c r="E3512" s="13">
        <v>0</v>
      </c>
      <c r="F3512" s="14">
        <v>0</v>
      </c>
    </row>
    <row r="3513" spans="1:6" x14ac:dyDescent="0.3">
      <c r="A3513" s="8">
        <v>3511</v>
      </c>
      <c r="B3513" s="8" t="s">
        <v>4148</v>
      </c>
      <c r="C3513" s="8" t="s">
        <v>7179</v>
      </c>
      <c r="D3513" s="8" t="s">
        <v>7180</v>
      </c>
      <c r="E3513" s="13">
        <v>0</v>
      </c>
      <c r="F3513" s="14">
        <v>123000</v>
      </c>
    </row>
    <row r="3514" spans="1:6" x14ac:dyDescent="0.3">
      <c r="A3514" s="8">
        <v>3512</v>
      </c>
      <c r="B3514" s="8" t="s">
        <v>4148</v>
      </c>
      <c r="C3514" s="8" t="s">
        <v>7181</v>
      </c>
      <c r="D3514" s="8" t="s">
        <v>7182</v>
      </c>
      <c r="E3514" s="13">
        <v>147000</v>
      </c>
      <c r="F3514" s="14">
        <v>250000</v>
      </c>
    </row>
    <row r="3515" spans="1:6" x14ac:dyDescent="0.3">
      <c r="A3515" s="8">
        <v>3513</v>
      </c>
      <c r="B3515" s="8" t="s">
        <v>4148</v>
      </c>
      <c r="C3515" s="8" t="s">
        <v>7183</v>
      </c>
      <c r="D3515" s="8" t="s">
        <v>7184</v>
      </c>
      <c r="E3515" s="13">
        <v>0</v>
      </c>
      <c r="F3515" s="14">
        <v>973000</v>
      </c>
    </row>
    <row r="3516" spans="1:6" x14ac:dyDescent="0.3">
      <c r="A3516" s="8">
        <v>3514</v>
      </c>
      <c r="B3516" s="8" t="s">
        <v>6022</v>
      </c>
      <c r="C3516" s="8" t="s">
        <v>7185</v>
      </c>
      <c r="D3516" s="8" t="s">
        <v>7186</v>
      </c>
      <c r="E3516" s="13">
        <v>170000</v>
      </c>
      <c r="F3516" s="14">
        <v>339815</v>
      </c>
    </row>
    <row r="3517" spans="1:6" x14ac:dyDescent="0.3">
      <c r="A3517" s="8">
        <v>3515</v>
      </c>
      <c r="B3517" s="8" t="s">
        <v>6029</v>
      </c>
      <c r="C3517" s="8" t="s">
        <v>7187</v>
      </c>
      <c r="D3517" s="8" t="s">
        <v>7188</v>
      </c>
      <c r="E3517" s="13">
        <v>172000</v>
      </c>
      <c r="F3517" s="14">
        <v>344444</v>
      </c>
    </row>
    <row r="3518" spans="1:6" x14ac:dyDescent="0.3">
      <c r="A3518" s="8">
        <v>3516</v>
      </c>
      <c r="B3518" s="8" t="s">
        <v>6022</v>
      </c>
      <c r="C3518" s="8" t="s">
        <v>7189</v>
      </c>
      <c r="D3518" s="8" t="s">
        <v>7190</v>
      </c>
      <c r="E3518" s="13">
        <v>210000</v>
      </c>
      <c r="F3518" s="14">
        <v>420370</v>
      </c>
    </row>
    <row r="3519" spans="1:6" x14ac:dyDescent="0.3">
      <c r="A3519" s="8">
        <v>3517</v>
      </c>
      <c r="B3519" s="8" t="s">
        <v>6022</v>
      </c>
      <c r="C3519" s="8" t="s">
        <v>7191</v>
      </c>
      <c r="D3519" s="8" t="s">
        <v>7192</v>
      </c>
      <c r="E3519" s="13">
        <v>161000</v>
      </c>
      <c r="F3519" s="14">
        <v>322222</v>
      </c>
    </row>
    <row r="3520" spans="1:6" x14ac:dyDescent="0.3">
      <c r="A3520" s="8">
        <v>3518</v>
      </c>
      <c r="B3520" s="8" t="s">
        <v>6029</v>
      </c>
      <c r="C3520" s="8" t="s">
        <v>7193</v>
      </c>
      <c r="D3520" s="8" t="s">
        <v>7194</v>
      </c>
      <c r="E3520" s="13">
        <v>161000</v>
      </c>
      <c r="F3520" s="14">
        <v>322222</v>
      </c>
    </row>
    <row r="3521" spans="1:6" x14ac:dyDescent="0.3">
      <c r="A3521" s="8">
        <v>3519</v>
      </c>
      <c r="B3521" s="8" t="s">
        <v>6022</v>
      </c>
      <c r="C3521" s="8" t="s">
        <v>7195</v>
      </c>
      <c r="D3521" s="8" t="s">
        <v>7196</v>
      </c>
      <c r="E3521" s="13">
        <v>127000</v>
      </c>
      <c r="F3521" s="14">
        <v>253704</v>
      </c>
    </row>
    <row r="3522" spans="1:6" x14ac:dyDescent="0.3">
      <c r="A3522" s="8">
        <v>3520</v>
      </c>
      <c r="B3522" s="8" t="s">
        <v>6029</v>
      </c>
      <c r="C3522" s="8" t="s">
        <v>7197</v>
      </c>
      <c r="D3522" s="8" t="s">
        <v>7198</v>
      </c>
      <c r="E3522" s="13">
        <v>172000</v>
      </c>
      <c r="F3522" s="14">
        <v>344444</v>
      </c>
    </row>
    <row r="3523" spans="1:6" x14ac:dyDescent="0.3">
      <c r="A3523" s="8">
        <v>3521</v>
      </c>
      <c r="B3523" s="8" t="s">
        <v>6022</v>
      </c>
      <c r="C3523" s="8" t="s">
        <v>7199</v>
      </c>
      <c r="D3523" s="8" t="s">
        <v>7200</v>
      </c>
      <c r="E3523" s="13">
        <v>104000</v>
      </c>
      <c r="F3523" s="14">
        <v>208333</v>
      </c>
    </row>
    <row r="3524" spans="1:6" x14ac:dyDescent="0.3">
      <c r="A3524" s="8">
        <v>3522</v>
      </c>
      <c r="B3524" s="8" t="s">
        <v>6029</v>
      </c>
      <c r="C3524" s="8" t="s">
        <v>7201</v>
      </c>
      <c r="D3524" s="8" t="s">
        <v>7202</v>
      </c>
      <c r="E3524" s="13">
        <v>0</v>
      </c>
      <c r="F3524" s="14">
        <v>0</v>
      </c>
    </row>
    <row r="3525" spans="1:6" x14ac:dyDescent="0.3">
      <c r="A3525" s="8">
        <v>3523</v>
      </c>
      <c r="B3525" s="8" t="s">
        <v>6022</v>
      </c>
      <c r="C3525" s="8" t="s">
        <v>7203</v>
      </c>
      <c r="D3525" s="8" t="s">
        <v>7204</v>
      </c>
      <c r="E3525" s="13">
        <v>0</v>
      </c>
      <c r="F3525" s="14">
        <v>0</v>
      </c>
    </row>
    <row r="3526" spans="1:6" x14ac:dyDescent="0.3">
      <c r="A3526" s="8">
        <v>3524</v>
      </c>
      <c r="B3526" s="8" t="s">
        <v>6022</v>
      </c>
      <c r="C3526" s="8" t="s">
        <v>7205</v>
      </c>
      <c r="D3526" s="8" t="s">
        <v>7206</v>
      </c>
      <c r="E3526" s="13">
        <v>177000</v>
      </c>
      <c r="F3526" s="14">
        <v>353704</v>
      </c>
    </row>
    <row r="3527" spans="1:6" x14ac:dyDescent="0.3">
      <c r="A3527" s="8">
        <v>3525</v>
      </c>
      <c r="B3527" s="8" t="s">
        <v>6022</v>
      </c>
      <c r="C3527" s="8" t="s">
        <v>7207</v>
      </c>
      <c r="D3527" s="8" t="s">
        <v>7208</v>
      </c>
      <c r="E3527" s="13">
        <v>0</v>
      </c>
      <c r="F3527" s="14">
        <v>0</v>
      </c>
    </row>
    <row r="3528" spans="1:6" x14ac:dyDescent="0.3">
      <c r="A3528" s="8">
        <v>3526</v>
      </c>
      <c r="B3528" s="8" t="s">
        <v>6029</v>
      </c>
      <c r="C3528" s="8" t="s">
        <v>7209</v>
      </c>
      <c r="D3528" s="8" t="s">
        <v>7210</v>
      </c>
      <c r="E3528" s="13">
        <v>142000</v>
      </c>
      <c r="F3528" s="14">
        <v>284259</v>
      </c>
    </row>
    <row r="3529" spans="1:6" x14ac:dyDescent="0.3">
      <c r="A3529" s="8">
        <v>3527</v>
      </c>
      <c r="B3529" s="8" t="s">
        <v>6029</v>
      </c>
      <c r="C3529" s="8" t="s">
        <v>7211</v>
      </c>
      <c r="D3529" s="8" t="s">
        <v>7212</v>
      </c>
      <c r="E3529" s="13">
        <v>0</v>
      </c>
      <c r="F3529" s="14">
        <v>453704</v>
      </c>
    </row>
    <row r="3530" spans="1:6" x14ac:dyDescent="0.3">
      <c r="A3530" s="8">
        <v>3528</v>
      </c>
      <c r="B3530" s="8" t="s">
        <v>6022</v>
      </c>
      <c r="C3530" s="8" t="s">
        <v>7213</v>
      </c>
      <c r="D3530" s="8" t="s">
        <v>7214</v>
      </c>
      <c r="E3530" s="13">
        <v>0</v>
      </c>
      <c r="F3530" s="14">
        <v>0</v>
      </c>
    </row>
    <row r="3531" spans="1:6" x14ac:dyDescent="0.3">
      <c r="A3531" s="8">
        <v>3529</v>
      </c>
      <c r="B3531" s="8" t="s">
        <v>6022</v>
      </c>
      <c r="C3531" s="8" t="s">
        <v>7215</v>
      </c>
      <c r="D3531" s="8" t="s">
        <v>7216</v>
      </c>
      <c r="E3531" s="13">
        <v>0</v>
      </c>
      <c r="F3531" s="14">
        <v>0</v>
      </c>
    </row>
    <row r="3532" spans="1:6" x14ac:dyDescent="0.3">
      <c r="A3532" s="8">
        <v>3530</v>
      </c>
      <c r="B3532" s="8" t="s">
        <v>6516</v>
      </c>
      <c r="C3532" s="8" t="s">
        <v>7217</v>
      </c>
      <c r="D3532" s="8" t="s">
        <v>7218</v>
      </c>
      <c r="E3532" s="13">
        <v>0</v>
      </c>
      <c r="F3532" s="14">
        <v>1420000</v>
      </c>
    </row>
    <row r="3533" spans="1:6" x14ac:dyDescent="0.3">
      <c r="A3533" s="8">
        <v>3531</v>
      </c>
      <c r="B3533" s="8" t="s">
        <v>6516</v>
      </c>
      <c r="C3533" s="8" t="s">
        <v>7219</v>
      </c>
      <c r="D3533" s="8" t="s">
        <v>7220</v>
      </c>
      <c r="E3533" s="13">
        <v>2173000</v>
      </c>
      <c r="F3533" s="14">
        <v>3740000</v>
      </c>
    </row>
    <row r="3534" spans="1:6" x14ac:dyDescent="0.3">
      <c r="A3534" s="8">
        <v>3532</v>
      </c>
      <c r="B3534" s="8" t="s">
        <v>6516</v>
      </c>
      <c r="C3534" s="8" t="s">
        <v>7221</v>
      </c>
      <c r="D3534" s="8" t="s">
        <v>7222</v>
      </c>
      <c r="E3534" s="13">
        <v>0</v>
      </c>
      <c r="F3534" s="14">
        <v>0</v>
      </c>
    </row>
    <row r="3535" spans="1:6" x14ac:dyDescent="0.3">
      <c r="A3535" s="8">
        <v>3533</v>
      </c>
      <c r="B3535" s="8" t="s">
        <v>6516</v>
      </c>
      <c r="C3535" s="8" t="s">
        <v>7223</v>
      </c>
      <c r="D3535" s="8" t="s">
        <v>7224</v>
      </c>
      <c r="E3535" s="13">
        <v>0</v>
      </c>
      <c r="F3535" s="14">
        <v>0</v>
      </c>
    </row>
    <row r="3536" spans="1:6" x14ac:dyDescent="0.3">
      <c r="A3536" s="8">
        <v>3534</v>
      </c>
      <c r="B3536" s="8" t="s">
        <v>6516</v>
      </c>
      <c r="C3536" s="8" t="s">
        <v>7225</v>
      </c>
      <c r="D3536" s="8" t="s">
        <v>7226</v>
      </c>
      <c r="E3536" s="13">
        <v>0</v>
      </c>
      <c r="F3536" s="14">
        <v>0</v>
      </c>
    </row>
    <row r="3537" spans="1:6" x14ac:dyDescent="0.3">
      <c r="A3537" s="8">
        <v>3535</v>
      </c>
      <c r="B3537" s="8" t="s">
        <v>6516</v>
      </c>
      <c r="C3537" s="8" t="s">
        <v>7227</v>
      </c>
      <c r="D3537" s="8" t="s">
        <v>7228</v>
      </c>
      <c r="E3537" s="13">
        <v>0</v>
      </c>
      <c r="F3537" s="14">
        <v>0</v>
      </c>
    </row>
    <row r="3538" spans="1:6" x14ac:dyDescent="0.3">
      <c r="A3538" s="8">
        <v>3536</v>
      </c>
      <c r="B3538" s="8" t="s">
        <v>6516</v>
      </c>
      <c r="C3538" s="8" t="s">
        <v>7229</v>
      </c>
      <c r="D3538" s="8" t="s">
        <v>7230</v>
      </c>
      <c r="E3538" s="13">
        <v>0</v>
      </c>
      <c r="F3538" s="14">
        <v>0</v>
      </c>
    </row>
    <row r="3539" spans="1:6" x14ac:dyDescent="0.3">
      <c r="A3539" s="8">
        <v>3537</v>
      </c>
      <c r="B3539" s="8" t="s">
        <v>6516</v>
      </c>
      <c r="C3539" s="8" t="s">
        <v>7231</v>
      </c>
      <c r="D3539" s="8" t="s">
        <v>7232</v>
      </c>
      <c r="E3539" s="13">
        <v>0</v>
      </c>
      <c r="F3539" s="14">
        <v>1650000</v>
      </c>
    </row>
    <row r="3540" spans="1:6" x14ac:dyDescent="0.3">
      <c r="A3540" s="8">
        <v>3538</v>
      </c>
      <c r="B3540" s="8" t="s">
        <v>4148</v>
      </c>
      <c r="C3540" s="8" t="s">
        <v>7233</v>
      </c>
      <c r="D3540" s="8" t="s">
        <v>7234</v>
      </c>
      <c r="E3540" s="13">
        <v>87900</v>
      </c>
      <c r="F3540" s="14">
        <v>175926</v>
      </c>
    </row>
    <row r="3541" spans="1:6" x14ac:dyDescent="0.3">
      <c r="A3541" s="8">
        <v>3539</v>
      </c>
      <c r="B3541" s="8" t="s">
        <v>4148</v>
      </c>
      <c r="C3541" s="8" t="s">
        <v>7235</v>
      </c>
      <c r="D3541" s="8" t="s">
        <v>7236</v>
      </c>
      <c r="E3541" s="13">
        <v>0</v>
      </c>
      <c r="F3541" s="14">
        <v>0</v>
      </c>
    </row>
    <row r="3542" spans="1:6" x14ac:dyDescent="0.3">
      <c r="A3542" s="8">
        <v>3540</v>
      </c>
      <c r="B3542" s="8" t="s">
        <v>4148</v>
      </c>
      <c r="C3542" s="8" t="s">
        <v>7237</v>
      </c>
      <c r="D3542" s="8" t="s">
        <v>7238</v>
      </c>
      <c r="E3542" s="13">
        <v>0</v>
      </c>
      <c r="F3542" s="14">
        <v>0</v>
      </c>
    </row>
    <row r="3543" spans="1:6" x14ac:dyDescent="0.3">
      <c r="A3543" s="8">
        <v>3541</v>
      </c>
      <c r="B3543" s="8" t="s">
        <v>4148</v>
      </c>
      <c r="C3543" s="8" t="s">
        <v>7239</v>
      </c>
      <c r="D3543" s="8" t="s">
        <v>7240</v>
      </c>
      <c r="E3543" s="13">
        <v>94600</v>
      </c>
      <c r="F3543" s="14">
        <v>188889</v>
      </c>
    </row>
    <row r="3544" spans="1:6" x14ac:dyDescent="0.3">
      <c r="A3544" s="8">
        <v>3542</v>
      </c>
      <c r="B3544" s="8" t="s">
        <v>4148</v>
      </c>
      <c r="C3544" s="8" t="s">
        <v>7241</v>
      </c>
      <c r="D3544" s="8" t="s">
        <v>7242</v>
      </c>
      <c r="E3544" s="13">
        <v>160000</v>
      </c>
      <c r="F3544" s="14">
        <v>320370</v>
      </c>
    </row>
    <row r="3545" spans="1:6" x14ac:dyDescent="0.3">
      <c r="A3545" s="8">
        <v>3543</v>
      </c>
      <c r="B3545" s="8" t="s">
        <v>4148</v>
      </c>
      <c r="C3545" s="8" t="s">
        <v>7243</v>
      </c>
      <c r="D3545" s="8" t="s">
        <v>7244</v>
      </c>
      <c r="E3545" s="13">
        <v>83800</v>
      </c>
      <c r="F3545" s="14">
        <v>167593</v>
      </c>
    </row>
    <row r="3546" spans="1:6" x14ac:dyDescent="0.3">
      <c r="A3546" s="8">
        <v>3544</v>
      </c>
      <c r="B3546" s="8" t="s">
        <v>4148</v>
      </c>
      <c r="C3546" s="8" t="s">
        <v>7245</v>
      </c>
      <c r="D3546" s="8" t="s">
        <v>7246</v>
      </c>
      <c r="E3546" s="13">
        <v>79500</v>
      </c>
      <c r="F3546" s="14">
        <v>159259</v>
      </c>
    </row>
    <row r="3547" spans="1:6" x14ac:dyDescent="0.3">
      <c r="A3547" s="8">
        <v>3545</v>
      </c>
      <c r="B3547" s="8" t="s">
        <v>4148</v>
      </c>
      <c r="C3547" s="8" t="s">
        <v>7247</v>
      </c>
      <c r="D3547" s="8" t="s">
        <v>7248</v>
      </c>
      <c r="E3547" s="13">
        <v>110000</v>
      </c>
      <c r="F3547" s="14">
        <v>220370</v>
      </c>
    </row>
    <row r="3548" spans="1:6" x14ac:dyDescent="0.3">
      <c r="A3548" s="8">
        <v>3546</v>
      </c>
      <c r="B3548" s="8" t="s">
        <v>4148</v>
      </c>
      <c r="C3548" s="8" t="s">
        <v>7249</v>
      </c>
      <c r="D3548" s="8" t="s">
        <v>7250</v>
      </c>
      <c r="E3548" s="13">
        <v>0</v>
      </c>
      <c r="F3548" s="14">
        <v>0</v>
      </c>
    </row>
    <row r="3549" spans="1:6" x14ac:dyDescent="0.3">
      <c r="A3549" s="8">
        <v>3547</v>
      </c>
      <c r="B3549" s="8" t="s">
        <v>4148</v>
      </c>
      <c r="C3549" s="8" t="s">
        <v>7251</v>
      </c>
      <c r="D3549" s="8" t="s">
        <v>7252</v>
      </c>
      <c r="E3549" s="13">
        <v>0</v>
      </c>
      <c r="F3549" s="14">
        <v>0</v>
      </c>
    </row>
    <row r="3550" spans="1:6" x14ac:dyDescent="0.3">
      <c r="A3550" s="8">
        <v>3548</v>
      </c>
      <c r="B3550" s="8" t="s">
        <v>4148</v>
      </c>
      <c r="C3550" s="8" t="s">
        <v>7253</v>
      </c>
      <c r="D3550" s="8" t="s">
        <v>7254</v>
      </c>
      <c r="E3550" s="13">
        <v>0</v>
      </c>
      <c r="F3550" s="14">
        <v>0</v>
      </c>
    </row>
    <row r="3551" spans="1:6" x14ac:dyDescent="0.3">
      <c r="A3551" s="8">
        <v>3549</v>
      </c>
      <c r="B3551" s="8" t="s">
        <v>4148</v>
      </c>
      <c r="C3551" s="8" t="s">
        <v>7255</v>
      </c>
      <c r="D3551" s="8" t="s">
        <v>7256</v>
      </c>
      <c r="E3551" s="13">
        <v>83800</v>
      </c>
      <c r="F3551" s="14">
        <v>167593</v>
      </c>
    </row>
    <row r="3552" spans="1:6" x14ac:dyDescent="0.3">
      <c r="A3552" s="8">
        <v>3550</v>
      </c>
      <c r="B3552" s="8" t="s">
        <v>4148</v>
      </c>
      <c r="C3552" s="8" t="s">
        <v>7257</v>
      </c>
      <c r="D3552" s="8" t="s">
        <v>7258</v>
      </c>
      <c r="E3552" s="13">
        <v>0</v>
      </c>
      <c r="F3552" s="14">
        <v>0</v>
      </c>
    </row>
    <row r="3553" spans="1:6" x14ac:dyDescent="0.3">
      <c r="A3553" s="8">
        <v>3551</v>
      </c>
      <c r="B3553" s="8" t="s">
        <v>6022</v>
      </c>
      <c r="C3553" s="8" t="s">
        <v>7259</v>
      </c>
      <c r="D3553" s="8" t="s">
        <v>7260</v>
      </c>
      <c r="E3553" s="13">
        <v>0</v>
      </c>
      <c r="F3553" s="14">
        <v>0</v>
      </c>
    </row>
    <row r="3554" spans="1:6" x14ac:dyDescent="0.3">
      <c r="A3554" s="8">
        <v>3552</v>
      </c>
      <c r="B3554" s="8" t="s">
        <v>6022</v>
      </c>
      <c r="C3554" s="8" t="s">
        <v>7261</v>
      </c>
      <c r="D3554" s="8" t="s">
        <v>7262</v>
      </c>
      <c r="E3554" s="13">
        <v>366000</v>
      </c>
      <c r="F3554" s="14">
        <v>660000</v>
      </c>
    </row>
    <row r="3555" spans="1:6" x14ac:dyDescent="0.3">
      <c r="A3555" s="8">
        <v>3553</v>
      </c>
      <c r="B3555" s="8" t="s">
        <v>6029</v>
      </c>
      <c r="C3555" s="8" t="s">
        <v>7263</v>
      </c>
      <c r="D3555" s="8" t="s">
        <v>7264</v>
      </c>
      <c r="E3555" s="13">
        <v>121000</v>
      </c>
      <c r="F3555" s="14">
        <v>241667</v>
      </c>
    </row>
    <row r="3556" spans="1:6" x14ac:dyDescent="0.3">
      <c r="A3556" s="8">
        <v>3554</v>
      </c>
      <c r="B3556" s="8" t="s">
        <v>6029</v>
      </c>
      <c r="C3556" s="8" t="s">
        <v>7265</v>
      </c>
      <c r="D3556" s="8" t="s">
        <v>7266</v>
      </c>
      <c r="E3556" s="13">
        <v>214000</v>
      </c>
      <c r="F3556" s="14">
        <v>427778</v>
      </c>
    </row>
    <row r="3557" spans="1:6" x14ac:dyDescent="0.3">
      <c r="A3557" s="8">
        <v>3555</v>
      </c>
      <c r="B3557" s="8" t="s">
        <v>6022</v>
      </c>
      <c r="C3557" s="8" t="s">
        <v>7267</v>
      </c>
      <c r="D3557" s="8" t="s">
        <v>7268</v>
      </c>
      <c r="E3557" s="13">
        <v>0</v>
      </c>
      <c r="F3557" s="14">
        <v>0</v>
      </c>
    </row>
    <row r="3558" spans="1:6" x14ac:dyDescent="0.3">
      <c r="A3558" s="8">
        <v>3556</v>
      </c>
      <c r="B3558" s="8" t="s">
        <v>6022</v>
      </c>
      <c r="C3558" s="8" t="s">
        <v>7269</v>
      </c>
      <c r="D3558" s="8" t="s">
        <v>7270</v>
      </c>
      <c r="E3558" s="13">
        <v>130200</v>
      </c>
      <c r="F3558" s="14">
        <v>234000</v>
      </c>
    </row>
    <row r="3559" spans="1:6" x14ac:dyDescent="0.3">
      <c r="A3559" s="8">
        <v>3557</v>
      </c>
      <c r="B3559" s="8" t="s">
        <v>6022</v>
      </c>
      <c r="C3559" s="8" t="s">
        <v>7271</v>
      </c>
      <c r="D3559" s="8" t="s">
        <v>7272</v>
      </c>
      <c r="E3559" s="13">
        <v>165000</v>
      </c>
      <c r="F3559" s="14">
        <v>329630</v>
      </c>
    </row>
    <row r="3560" spans="1:6" x14ac:dyDescent="0.3">
      <c r="A3560" s="8">
        <v>3558</v>
      </c>
      <c r="B3560" s="8" t="s">
        <v>6022</v>
      </c>
      <c r="C3560" s="8" t="s">
        <v>7273</v>
      </c>
      <c r="D3560" s="8" t="s">
        <v>7274</v>
      </c>
      <c r="E3560" s="13">
        <v>161000</v>
      </c>
      <c r="F3560" s="14">
        <v>322222</v>
      </c>
    </row>
    <row r="3561" spans="1:6" x14ac:dyDescent="0.3">
      <c r="A3561" s="8">
        <v>3559</v>
      </c>
      <c r="B3561" s="8" t="s">
        <v>6029</v>
      </c>
      <c r="C3561" s="8" t="s">
        <v>7275</v>
      </c>
      <c r="D3561" s="8" t="s">
        <v>7276</v>
      </c>
      <c r="E3561" s="13">
        <v>121000</v>
      </c>
      <c r="F3561" s="14">
        <v>241667</v>
      </c>
    </row>
    <row r="3562" spans="1:6" x14ac:dyDescent="0.3">
      <c r="A3562" s="8">
        <v>3560</v>
      </c>
      <c r="B3562" s="8" t="s">
        <v>6022</v>
      </c>
      <c r="C3562" s="8" t="s">
        <v>7277</v>
      </c>
      <c r="D3562" s="8" t="s">
        <v>7278</v>
      </c>
      <c r="E3562" s="13">
        <v>177000</v>
      </c>
      <c r="F3562" s="14">
        <v>353704</v>
      </c>
    </row>
    <row r="3563" spans="1:6" x14ac:dyDescent="0.3">
      <c r="A3563" s="8">
        <v>3561</v>
      </c>
      <c r="B3563" s="8" t="s">
        <v>4148</v>
      </c>
      <c r="C3563" s="8" t="s">
        <v>7279</v>
      </c>
      <c r="D3563" s="8" t="s">
        <v>7280</v>
      </c>
      <c r="E3563" s="13">
        <v>0</v>
      </c>
      <c r="F3563" s="14">
        <v>0</v>
      </c>
    </row>
    <row r="3564" spans="1:6" x14ac:dyDescent="0.3">
      <c r="A3564" s="8">
        <v>3562</v>
      </c>
      <c r="B3564" s="8" t="s">
        <v>4148</v>
      </c>
      <c r="C3564" s="8" t="s">
        <v>7281</v>
      </c>
      <c r="D3564" s="8" t="s">
        <v>7282</v>
      </c>
      <c r="E3564" s="13">
        <v>79500</v>
      </c>
      <c r="F3564" s="14">
        <v>159259</v>
      </c>
    </row>
    <row r="3565" spans="1:6" x14ac:dyDescent="0.3">
      <c r="A3565" s="8">
        <v>3563</v>
      </c>
      <c r="B3565" s="8" t="s">
        <v>4148</v>
      </c>
      <c r="C3565" s="8" t="s">
        <v>7283</v>
      </c>
      <c r="D3565" s="8" t="s">
        <v>7284</v>
      </c>
      <c r="E3565" s="13">
        <v>0</v>
      </c>
      <c r="F3565" s="14">
        <v>0</v>
      </c>
    </row>
    <row r="3566" spans="1:6" x14ac:dyDescent="0.3">
      <c r="A3566" s="8">
        <v>3564</v>
      </c>
      <c r="B3566" s="8" t="s">
        <v>4148</v>
      </c>
      <c r="C3566" s="8" t="s">
        <v>7285</v>
      </c>
      <c r="D3566" s="8" t="s">
        <v>7286</v>
      </c>
      <c r="E3566" s="13">
        <v>0</v>
      </c>
      <c r="F3566" s="14">
        <v>200000</v>
      </c>
    </row>
    <row r="3567" spans="1:6" x14ac:dyDescent="0.3">
      <c r="A3567" s="8">
        <v>3565</v>
      </c>
      <c r="B3567" s="8" t="s">
        <v>4148</v>
      </c>
      <c r="C3567" s="8" t="s">
        <v>7287</v>
      </c>
      <c r="D3567" s="8" t="s">
        <v>7288</v>
      </c>
      <c r="E3567" s="13">
        <v>70100</v>
      </c>
      <c r="F3567" s="14">
        <v>139815</v>
      </c>
    </row>
    <row r="3568" spans="1:6" x14ac:dyDescent="0.3">
      <c r="A3568" s="8">
        <v>3566</v>
      </c>
      <c r="B3568" s="8" t="s">
        <v>4148</v>
      </c>
      <c r="C3568" s="8" t="s">
        <v>7289</v>
      </c>
      <c r="D3568" s="8" t="s">
        <v>7290</v>
      </c>
      <c r="E3568" s="13">
        <v>47700</v>
      </c>
      <c r="F3568" s="14">
        <v>95370</v>
      </c>
    </row>
    <row r="3569" spans="1:6" x14ac:dyDescent="0.3">
      <c r="A3569" s="8">
        <v>3567</v>
      </c>
      <c r="B3569" s="8" t="s">
        <v>4148</v>
      </c>
      <c r="C3569" s="8" t="s">
        <v>7291</v>
      </c>
      <c r="D3569" s="8" t="s">
        <v>7292</v>
      </c>
      <c r="E3569" s="13">
        <v>135000</v>
      </c>
      <c r="F3569" s="14">
        <v>270370</v>
      </c>
    </row>
    <row r="3570" spans="1:6" x14ac:dyDescent="0.3">
      <c r="A3570" s="8">
        <v>3568</v>
      </c>
      <c r="B3570" s="8" t="s">
        <v>4148</v>
      </c>
      <c r="C3570" s="8" t="s">
        <v>7293</v>
      </c>
      <c r="D3570" s="8" t="s">
        <v>7294</v>
      </c>
      <c r="E3570" s="13">
        <v>0</v>
      </c>
      <c r="F3570" s="14">
        <v>0</v>
      </c>
    </row>
    <row r="3571" spans="1:6" x14ac:dyDescent="0.3">
      <c r="A3571" s="8">
        <v>3569</v>
      </c>
      <c r="B3571" s="8" t="s">
        <v>4148</v>
      </c>
      <c r="C3571" s="8" t="s">
        <v>7295</v>
      </c>
      <c r="D3571" s="8" t="s">
        <v>7296</v>
      </c>
      <c r="E3571" s="13">
        <v>0</v>
      </c>
      <c r="F3571" s="14">
        <v>0</v>
      </c>
    </row>
    <row r="3572" spans="1:6" x14ac:dyDescent="0.3">
      <c r="A3572" s="8">
        <v>3570</v>
      </c>
      <c r="B3572" s="8" t="s">
        <v>4148</v>
      </c>
      <c r="C3572" s="8" t="s">
        <v>7297</v>
      </c>
      <c r="D3572" s="8" t="s">
        <v>7298</v>
      </c>
      <c r="E3572" s="13">
        <v>0</v>
      </c>
      <c r="F3572" s="14">
        <v>0</v>
      </c>
    </row>
    <row r="3573" spans="1:6" x14ac:dyDescent="0.3">
      <c r="A3573" s="8">
        <v>3571</v>
      </c>
      <c r="B3573" s="8" t="s">
        <v>6022</v>
      </c>
      <c r="C3573" s="8" t="s">
        <v>7299</v>
      </c>
      <c r="D3573" s="8" t="s">
        <v>7300</v>
      </c>
      <c r="E3573" s="13">
        <v>0</v>
      </c>
      <c r="F3573" s="14">
        <v>0</v>
      </c>
    </row>
    <row r="3574" spans="1:6" x14ac:dyDescent="0.3">
      <c r="A3574" s="8">
        <v>3572</v>
      </c>
      <c r="B3574" s="8" t="s">
        <v>6029</v>
      </c>
      <c r="C3574" s="8" t="s">
        <v>7301</v>
      </c>
      <c r="D3574" s="8" t="s">
        <v>7302</v>
      </c>
      <c r="E3574" s="13">
        <v>121000</v>
      </c>
      <c r="F3574" s="14">
        <v>241667</v>
      </c>
    </row>
    <row r="3575" spans="1:6" x14ac:dyDescent="0.3">
      <c r="A3575" s="8">
        <v>3573</v>
      </c>
      <c r="B3575" s="8" t="s">
        <v>6029</v>
      </c>
      <c r="C3575" s="8" t="s">
        <v>7303</v>
      </c>
      <c r="D3575" s="8" t="s">
        <v>7304</v>
      </c>
      <c r="E3575" s="13">
        <v>101000</v>
      </c>
      <c r="F3575" s="14">
        <v>160000</v>
      </c>
    </row>
    <row r="3576" spans="1:6" x14ac:dyDescent="0.3">
      <c r="A3576" s="8">
        <v>3574</v>
      </c>
      <c r="B3576" s="8" t="s">
        <v>6029</v>
      </c>
      <c r="C3576" s="8" t="s">
        <v>7305</v>
      </c>
      <c r="D3576" s="8" t="s">
        <v>7306</v>
      </c>
      <c r="E3576" s="13">
        <v>216000</v>
      </c>
      <c r="F3576" s="14">
        <v>432407</v>
      </c>
    </row>
    <row r="3577" spans="1:6" x14ac:dyDescent="0.3">
      <c r="A3577" s="8">
        <v>3575</v>
      </c>
      <c r="B3577" s="8" t="s">
        <v>6029</v>
      </c>
      <c r="C3577" s="8" t="s">
        <v>7307</v>
      </c>
      <c r="D3577" s="8" t="s">
        <v>7308</v>
      </c>
      <c r="E3577" s="13">
        <v>161000</v>
      </c>
      <c r="F3577" s="14">
        <v>322222</v>
      </c>
    </row>
    <row r="3578" spans="1:6" x14ac:dyDescent="0.3">
      <c r="A3578" s="8">
        <v>3576</v>
      </c>
      <c r="B3578" s="8" t="s">
        <v>6022</v>
      </c>
      <c r="C3578" s="8" t="s">
        <v>7309</v>
      </c>
      <c r="D3578" s="8" t="s">
        <v>7310</v>
      </c>
      <c r="E3578" s="13">
        <v>0</v>
      </c>
      <c r="F3578" s="14">
        <v>0</v>
      </c>
    </row>
    <row r="3579" spans="1:6" x14ac:dyDescent="0.3">
      <c r="A3579" s="8">
        <v>3577</v>
      </c>
      <c r="B3579" s="8" t="s">
        <v>6022</v>
      </c>
      <c r="C3579" s="8" t="s">
        <v>7311</v>
      </c>
      <c r="D3579" s="8" t="s">
        <v>7312</v>
      </c>
      <c r="E3579" s="13">
        <v>121000</v>
      </c>
      <c r="F3579" s="14">
        <v>208000</v>
      </c>
    </row>
    <row r="3580" spans="1:6" x14ac:dyDescent="0.3">
      <c r="A3580" s="8">
        <v>3578</v>
      </c>
      <c r="B3580" s="8" t="s">
        <v>6022</v>
      </c>
      <c r="C3580" s="8" t="s">
        <v>7313</v>
      </c>
      <c r="D3580" s="8" t="s">
        <v>7314</v>
      </c>
      <c r="E3580" s="13">
        <v>0</v>
      </c>
      <c r="F3580" s="14">
        <v>166000</v>
      </c>
    </row>
    <row r="3581" spans="1:6" x14ac:dyDescent="0.3">
      <c r="A3581" s="8">
        <v>3579</v>
      </c>
      <c r="B3581" s="8" t="s">
        <v>6022</v>
      </c>
      <c r="C3581" s="8" t="s">
        <v>7315</v>
      </c>
      <c r="D3581" s="8" t="s">
        <v>7316</v>
      </c>
      <c r="E3581" s="13">
        <v>165000</v>
      </c>
      <c r="F3581" s="14">
        <v>329630</v>
      </c>
    </row>
    <row r="3582" spans="1:6" x14ac:dyDescent="0.3">
      <c r="A3582" s="8">
        <v>3580</v>
      </c>
      <c r="B3582" s="8" t="s">
        <v>6029</v>
      </c>
      <c r="C3582" s="8" t="s">
        <v>7317</v>
      </c>
      <c r="D3582" s="8" t="s">
        <v>7318</v>
      </c>
      <c r="E3582" s="13">
        <v>216000</v>
      </c>
      <c r="F3582" s="14">
        <v>432407</v>
      </c>
    </row>
    <row r="3583" spans="1:6" x14ac:dyDescent="0.3">
      <c r="A3583" s="8">
        <v>3581</v>
      </c>
      <c r="B3583" s="8" t="s">
        <v>6022</v>
      </c>
      <c r="C3583" s="8" t="s">
        <v>7319</v>
      </c>
      <c r="D3583" s="8" t="s">
        <v>7320</v>
      </c>
      <c r="E3583" s="13">
        <v>177000</v>
      </c>
      <c r="F3583" s="14">
        <v>353704</v>
      </c>
    </row>
    <row r="3584" spans="1:6" x14ac:dyDescent="0.3">
      <c r="A3584" s="8">
        <v>3582</v>
      </c>
      <c r="B3584" s="8" t="s">
        <v>6029</v>
      </c>
      <c r="C3584" s="8" t="s">
        <v>7321</v>
      </c>
      <c r="D3584" s="8" t="s">
        <v>7322</v>
      </c>
      <c r="E3584" s="13">
        <v>0</v>
      </c>
      <c r="F3584" s="14">
        <v>0</v>
      </c>
    </row>
    <row r="3585" spans="1:6" x14ac:dyDescent="0.3">
      <c r="A3585" s="8">
        <v>3583</v>
      </c>
      <c r="B3585" s="8" t="s">
        <v>6029</v>
      </c>
      <c r="C3585" s="8" t="s">
        <v>7323</v>
      </c>
      <c r="D3585" s="8" t="s">
        <v>7324</v>
      </c>
      <c r="E3585" s="13">
        <v>0</v>
      </c>
      <c r="F3585" s="14">
        <v>0</v>
      </c>
    </row>
    <row r="3586" spans="1:6" x14ac:dyDescent="0.3">
      <c r="A3586" s="8">
        <v>3584</v>
      </c>
      <c r="B3586" s="8" t="s">
        <v>6029</v>
      </c>
      <c r="C3586" s="8" t="s">
        <v>7325</v>
      </c>
      <c r="D3586" s="8" t="s">
        <v>7326</v>
      </c>
      <c r="E3586" s="13">
        <v>172000</v>
      </c>
      <c r="F3586" s="14">
        <v>344444</v>
      </c>
    </row>
    <row r="3587" spans="1:6" x14ac:dyDescent="0.3">
      <c r="A3587" s="8">
        <v>3585</v>
      </c>
      <c r="B3587" s="8" t="s">
        <v>6516</v>
      </c>
      <c r="C3587" s="8" t="s">
        <v>7327</v>
      </c>
      <c r="D3587" s="8" t="s">
        <v>7328</v>
      </c>
      <c r="E3587" s="13">
        <v>0</v>
      </c>
      <c r="F3587" s="14">
        <v>0</v>
      </c>
    </row>
    <row r="3588" spans="1:6" x14ac:dyDescent="0.3">
      <c r="A3588" s="8">
        <v>3586</v>
      </c>
      <c r="B3588" s="8" t="s">
        <v>6516</v>
      </c>
      <c r="C3588" s="8" t="s">
        <v>7329</v>
      </c>
      <c r="D3588" s="8" t="s">
        <v>7330</v>
      </c>
      <c r="E3588" s="13">
        <v>0</v>
      </c>
      <c r="F3588" s="14">
        <v>0</v>
      </c>
    </row>
    <row r="3589" spans="1:6" x14ac:dyDescent="0.3">
      <c r="A3589" s="8">
        <v>3587</v>
      </c>
      <c r="B3589" s="8" t="s">
        <v>6516</v>
      </c>
      <c r="C3589" s="8" t="s">
        <v>7331</v>
      </c>
      <c r="D3589" s="8" t="s">
        <v>7332</v>
      </c>
      <c r="E3589" s="13">
        <v>0</v>
      </c>
      <c r="F3589" s="14">
        <v>0</v>
      </c>
    </row>
    <row r="3590" spans="1:6" x14ac:dyDescent="0.3">
      <c r="A3590" s="8">
        <v>3588</v>
      </c>
      <c r="B3590" s="8" t="s">
        <v>6516</v>
      </c>
      <c r="C3590" s="8" t="s">
        <v>7333</v>
      </c>
      <c r="D3590" s="8" t="s">
        <v>7334</v>
      </c>
      <c r="E3590" s="13">
        <v>0</v>
      </c>
      <c r="F3590" s="14">
        <v>0</v>
      </c>
    </row>
    <row r="3591" spans="1:6" x14ac:dyDescent="0.3">
      <c r="A3591" s="8">
        <v>3589</v>
      </c>
      <c r="B3591" s="8" t="s">
        <v>6516</v>
      </c>
      <c r="C3591" s="8" t="s">
        <v>7335</v>
      </c>
      <c r="D3591" s="8" t="s">
        <v>7336</v>
      </c>
      <c r="E3591" s="13">
        <v>0</v>
      </c>
      <c r="F3591" s="14">
        <v>0</v>
      </c>
    </row>
    <row r="3592" spans="1:6" x14ac:dyDescent="0.3">
      <c r="A3592" s="8">
        <v>3590</v>
      </c>
      <c r="B3592" s="8" t="s">
        <v>6516</v>
      </c>
      <c r="C3592" s="8" t="s">
        <v>7337</v>
      </c>
      <c r="D3592" s="8" t="s">
        <v>7338</v>
      </c>
      <c r="E3592" s="13">
        <v>0</v>
      </c>
      <c r="F3592" s="14">
        <v>0</v>
      </c>
    </row>
    <row r="3593" spans="1:6" x14ac:dyDescent="0.3">
      <c r="A3593" s="8">
        <v>3591</v>
      </c>
      <c r="B3593" s="8" t="s">
        <v>6516</v>
      </c>
      <c r="C3593" s="8" t="s">
        <v>7339</v>
      </c>
      <c r="D3593" s="8" t="s">
        <v>7340</v>
      </c>
      <c r="E3593" s="13">
        <v>481000</v>
      </c>
      <c r="F3593" s="14">
        <v>962037</v>
      </c>
    </row>
    <row r="3594" spans="1:6" x14ac:dyDescent="0.3">
      <c r="A3594" s="8">
        <v>3592</v>
      </c>
      <c r="B3594" s="8" t="s">
        <v>6516</v>
      </c>
      <c r="C3594" s="8" t="s">
        <v>7341</v>
      </c>
      <c r="D3594" s="8" t="s">
        <v>7342</v>
      </c>
      <c r="E3594" s="13">
        <v>0</v>
      </c>
      <c r="F3594" s="14">
        <v>0</v>
      </c>
    </row>
    <row r="3595" spans="1:6" x14ac:dyDescent="0.3">
      <c r="A3595" s="8">
        <v>3593</v>
      </c>
      <c r="B3595" s="8" t="s">
        <v>6516</v>
      </c>
      <c r="C3595" s="8" t="s">
        <v>7343</v>
      </c>
      <c r="D3595" s="8" t="s">
        <v>7344</v>
      </c>
      <c r="E3595" s="13">
        <v>0</v>
      </c>
      <c r="F3595" s="14">
        <v>0</v>
      </c>
    </row>
    <row r="3596" spans="1:6" x14ac:dyDescent="0.3">
      <c r="A3596" s="8">
        <v>3594</v>
      </c>
      <c r="B3596" s="8" t="s">
        <v>6516</v>
      </c>
      <c r="C3596" s="8" t="s">
        <v>7345</v>
      </c>
      <c r="D3596" s="8" t="s">
        <v>7346</v>
      </c>
      <c r="E3596" s="13">
        <v>0</v>
      </c>
      <c r="F3596" s="14">
        <v>0</v>
      </c>
    </row>
    <row r="3597" spans="1:6" x14ac:dyDescent="0.3">
      <c r="A3597" s="8">
        <v>3595</v>
      </c>
      <c r="B3597" s="8" t="s">
        <v>6516</v>
      </c>
      <c r="C3597" s="8" t="s">
        <v>7347</v>
      </c>
      <c r="D3597" s="8" t="s">
        <v>7348</v>
      </c>
      <c r="E3597" s="13">
        <v>0</v>
      </c>
      <c r="F3597" s="14">
        <v>0</v>
      </c>
    </row>
    <row r="3598" spans="1:6" x14ac:dyDescent="0.3">
      <c r="A3598" s="8">
        <v>3596</v>
      </c>
      <c r="B3598" s="8" t="s">
        <v>6516</v>
      </c>
      <c r="C3598" s="8" t="s">
        <v>7349</v>
      </c>
      <c r="D3598" s="8" t="s">
        <v>7350</v>
      </c>
      <c r="E3598" s="13">
        <v>0</v>
      </c>
      <c r="F3598" s="14">
        <v>0</v>
      </c>
    </row>
    <row r="3599" spans="1:6" x14ac:dyDescent="0.3">
      <c r="A3599" s="8">
        <v>3597</v>
      </c>
      <c r="B3599" s="8" t="s">
        <v>6516</v>
      </c>
      <c r="C3599" s="8" t="s">
        <v>7351</v>
      </c>
      <c r="D3599" s="8" t="s">
        <v>7352</v>
      </c>
      <c r="E3599" s="13">
        <v>0</v>
      </c>
      <c r="F3599" s="14">
        <v>0</v>
      </c>
    </row>
    <row r="3600" spans="1:6" x14ac:dyDescent="0.3">
      <c r="A3600" s="8">
        <v>3598</v>
      </c>
      <c r="B3600" s="8" t="s">
        <v>6516</v>
      </c>
      <c r="C3600" s="8" t="s">
        <v>7353</v>
      </c>
      <c r="D3600" s="8" t="s">
        <v>7354</v>
      </c>
      <c r="E3600" s="13">
        <v>0</v>
      </c>
      <c r="F3600" s="14">
        <v>0</v>
      </c>
    </row>
    <row r="3601" spans="1:6" x14ac:dyDescent="0.3">
      <c r="A3601" s="8">
        <v>3599</v>
      </c>
      <c r="B3601" s="8" t="s">
        <v>7355</v>
      </c>
      <c r="C3601" s="8" t="s">
        <v>7356</v>
      </c>
      <c r="D3601" s="8" t="s">
        <v>7357</v>
      </c>
      <c r="E3601" s="13">
        <v>0</v>
      </c>
      <c r="F3601" s="14">
        <v>0</v>
      </c>
    </row>
    <row r="3602" spans="1:6" x14ac:dyDescent="0.3">
      <c r="A3602" s="8">
        <v>3600</v>
      </c>
      <c r="B3602" s="8" t="s">
        <v>7355</v>
      </c>
      <c r="C3602" s="8" t="s">
        <v>7358</v>
      </c>
      <c r="D3602" s="8" t="s">
        <v>7359</v>
      </c>
      <c r="E3602" s="13">
        <v>0</v>
      </c>
      <c r="F3602" s="14">
        <v>0</v>
      </c>
    </row>
    <row r="3603" spans="1:6" x14ac:dyDescent="0.3">
      <c r="A3603" s="8">
        <v>3601</v>
      </c>
      <c r="B3603" s="8" t="s">
        <v>7355</v>
      </c>
      <c r="C3603" s="8" t="s">
        <v>7360</v>
      </c>
      <c r="D3603" s="8" t="s">
        <v>7361</v>
      </c>
      <c r="E3603" s="13">
        <v>115000</v>
      </c>
      <c r="F3603" s="14">
        <v>230000</v>
      </c>
    </row>
    <row r="3604" spans="1:6" x14ac:dyDescent="0.3">
      <c r="A3604" s="8">
        <v>3602</v>
      </c>
      <c r="B3604" s="8" t="s">
        <v>7355</v>
      </c>
      <c r="C3604" s="8" t="s">
        <v>7362</v>
      </c>
      <c r="D3604" s="8" t="s">
        <v>7363</v>
      </c>
      <c r="E3604" s="13">
        <v>2205000</v>
      </c>
      <c r="F3604" s="14">
        <v>3500000</v>
      </c>
    </row>
    <row r="3605" spans="1:6" x14ac:dyDescent="0.3">
      <c r="A3605" s="8">
        <v>3603</v>
      </c>
      <c r="B3605" s="8" t="s">
        <v>7355</v>
      </c>
      <c r="C3605" s="8" t="s">
        <v>7364</v>
      </c>
      <c r="D3605" s="8" t="s">
        <v>7365</v>
      </c>
      <c r="E3605" s="13">
        <v>0</v>
      </c>
      <c r="F3605" s="14">
        <v>0</v>
      </c>
    </row>
    <row r="3606" spans="1:6" x14ac:dyDescent="0.3">
      <c r="A3606" s="8">
        <v>3604</v>
      </c>
      <c r="B3606" s="8" t="s">
        <v>7355</v>
      </c>
      <c r="C3606" s="8" t="s">
        <v>7366</v>
      </c>
      <c r="D3606" s="8" t="s">
        <v>7367</v>
      </c>
      <c r="E3606" s="13">
        <v>0</v>
      </c>
      <c r="F3606" s="14">
        <v>0</v>
      </c>
    </row>
    <row r="3607" spans="1:6" x14ac:dyDescent="0.3">
      <c r="A3607" s="8">
        <v>3605</v>
      </c>
      <c r="B3607" s="8" t="s">
        <v>7368</v>
      </c>
      <c r="C3607" s="8" t="s">
        <v>7369</v>
      </c>
      <c r="D3607" s="8" t="s">
        <v>7370</v>
      </c>
      <c r="E3607" s="13">
        <v>150500</v>
      </c>
      <c r="F3607" s="14">
        <v>301000</v>
      </c>
    </row>
    <row r="3608" spans="1:6" x14ac:dyDescent="0.3">
      <c r="A3608" s="8">
        <v>3606</v>
      </c>
      <c r="B3608" s="8" t="s">
        <v>7368</v>
      </c>
      <c r="C3608" s="8" t="s">
        <v>7371</v>
      </c>
      <c r="D3608" s="8" t="s">
        <v>7372</v>
      </c>
      <c r="E3608" s="13">
        <v>0</v>
      </c>
      <c r="F3608" s="14">
        <v>0</v>
      </c>
    </row>
    <row r="3609" spans="1:6" x14ac:dyDescent="0.3">
      <c r="A3609" s="8">
        <v>3607</v>
      </c>
      <c r="B3609" s="8" t="s">
        <v>7368</v>
      </c>
      <c r="C3609" s="8" t="s">
        <v>7373</v>
      </c>
      <c r="D3609" s="8" t="s">
        <v>7374</v>
      </c>
      <c r="E3609" s="13">
        <v>0</v>
      </c>
      <c r="F3609" s="14">
        <v>264000</v>
      </c>
    </row>
    <row r="3610" spans="1:6" x14ac:dyDescent="0.3">
      <c r="A3610" s="8">
        <v>3608</v>
      </c>
      <c r="B3610" s="8" t="s">
        <v>4148</v>
      </c>
      <c r="C3610" s="8" t="s">
        <v>7375</v>
      </c>
      <c r="D3610" s="8" t="s">
        <v>7376</v>
      </c>
      <c r="E3610" s="13">
        <v>57400</v>
      </c>
      <c r="F3610" s="14">
        <v>114815</v>
      </c>
    </row>
    <row r="3611" spans="1:6" x14ac:dyDescent="0.3">
      <c r="A3611" s="8">
        <v>3609</v>
      </c>
      <c r="B3611" s="8" t="s">
        <v>4148</v>
      </c>
      <c r="C3611" s="8" t="s">
        <v>7377</v>
      </c>
      <c r="D3611" s="8" t="s">
        <v>7378</v>
      </c>
      <c r="E3611" s="13">
        <v>76300</v>
      </c>
      <c r="F3611" s="14">
        <v>137037</v>
      </c>
    </row>
    <row r="3612" spans="1:6" x14ac:dyDescent="0.3">
      <c r="A3612" s="8">
        <v>3610</v>
      </c>
      <c r="B3612" s="8" t="s">
        <v>4148</v>
      </c>
      <c r="C3612" s="8" t="s">
        <v>7379</v>
      </c>
      <c r="D3612" s="8" t="s">
        <v>7380</v>
      </c>
      <c r="E3612" s="13">
        <v>97200</v>
      </c>
      <c r="F3612" s="14">
        <v>194444</v>
      </c>
    </row>
    <row r="3613" spans="1:6" x14ac:dyDescent="0.3">
      <c r="A3613" s="8">
        <v>3611</v>
      </c>
      <c r="B3613" s="8" t="s">
        <v>4148</v>
      </c>
      <c r="C3613" s="8" t="s">
        <v>7381</v>
      </c>
      <c r="D3613" s="8" t="s">
        <v>7382</v>
      </c>
      <c r="E3613" s="13">
        <v>0</v>
      </c>
      <c r="F3613" s="14">
        <v>174000</v>
      </c>
    </row>
    <row r="3614" spans="1:6" x14ac:dyDescent="0.3">
      <c r="A3614" s="8">
        <v>3612</v>
      </c>
      <c r="B3614" s="8" t="s">
        <v>4148</v>
      </c>
      <c r="C3614" s="8" t="s">
        <v>7383</v>
      </c>
      <c r="D3614" s="8" t="s">
        <v>7384</v>
      </c>
      <c r="E3614" s="13">
        <v>0</v>
      </c>
      <c r="F3614" s="14">
        <v>797000</v>
      </c>
    </row>
    <row r="3615" spans="1:6" x14ac:dyDescent="0.3">
      <c r="A3615" s="8">
        <v>3613</v>
      </c>
      <c r="B3615" s="8" t="s">
        <v>4148</v>
      </c>
      <c r="C3615" s="8" t="s">
        <v>7385</v>
      </c>
      <c r="D3615" s="8" t="s">
        <v>7386</v>
      </c>
      <c r="E3615" s="13">
        <v>0</v>
      </c>
      <c r="F3615" s="14">
        <v>0</v>
      </c>
    </row>
    <row r="3616" spans="1:6" x14ac:dyDescent="0.3">
      <c r="A3616" s="8">
        <v>3614</v>
      </c>
      <c r="B3616" s="8" t="s">
        <v>4148</v>
      </c>
      <c r="C3616" s="8" t="s">
        <v>7387</v>
      </c>
      <c r="D3616" s="8" t="s">
        <v>7388</v>
      </c>
      <c r="E3616" s="13">
        <v>0</v>
      </c>
      <c r="F3616" s="14">
        <v>0</v>
      </c>
    </row>
    <row r="3617" spans="1:6" x14ac:dyDescent="0.3">
      <c r="A3617" s="8">
        <v>3615</v>
      </c>
      <c r="B3617" s="8" t="s">
        <v>4148</v>
      </c>
      <c r="C3617" s="8" t="s">
        <v>7389</v>
      </c>
      <c r="D3617" s="8" t="s">
        <v>7390</v>
      </c>
      <c r="E3617" s="13">
        <v>70100</v>
      </c>
      <c r="F3617" s="14">
        <v>156481</v>
      </c>
    </row>
    <row r="3618" spans="1:6" x14ac:dyDescent="0.3">
      <c r="A3618" s="8">
        <v>3616</v>
      </c>
      <c r="B3618" s="8" t="s">
        <v>4148</v>
      </c>
      <c r="C3618" s="8" t="s">
        <v>7391</v>
      </c>
      <c r="D3618" s="8" t="s">
        <v>7392</v>
      </c>
      <c r="E3618" s="13">
        <v>0</v>
      </c>
      <c r="F3618" s="14">
        <v>0</v>
      </c>
    </row>
    <row r="3619" spans="1:6" x14ac:dyDescent="0.3">
      <c r="A3619" s="8">
        <v>3617</v>
      </c>
      <c r="B3619" s="8" t="s">
        <v>4148</v>
      </c>
      <c r="C3619" s="8" t="s">
        <v>7393</v>
      </c>
      <c r="D3619" s="8" t="s">
        <v>7394</v>
      </c>
      <c r="E3619" s="13">
        <v>76300</v>
      </c>
      <c r="F3619" s="14">
        <v>170370</v>
      </c>
    </row>
    <row r="3620" spans="1:6" x14ac:dyDescent="0.3">
      <c r="A3620" s="8">
        <v>3618</v>
      </c>
      <c r="B3620" s="8" t="s">
        <v>4148</v>
      </c>
      <c r="C3620" s="8" t="s">
        <v>7395</v>
      </c>
      <c r="D3620" s="8" t="s">
        <v>7396</v>
      </c>
      <c r="E3620" s="13">
        <v>82400</v>
      </c>
      <c r="F3620" s="14">
        <v>185185</v>
      </c>
    </row>
    <row r="3621" spans="1:6" x14ac:dyDescent="0.3">
      <c r="A3621" s="8">
        <v>3619</v>
      </c>
      <c r="B3621" s="8" t="s">
        <v>4148</v>
      </c>
      <c r="C3621" s="8" t="s">
        <v>7397</v>
      </c>
      <c r="D3621" s="8" t="s">
        <v>7398</v>
      </c>
      <c r="E3621" s="13">
        <v>0</v>
      </c>
      <c r="F3621" s="14">
        <v>789815</v>
      </c>
    </row>
    <row r="3622" spans="1:6" x14ac:dyDescent="0.3">
      <c r="A3622" s="8">
        <v>3620</v>
      </c>
      <c r="B3622" s="8" t="s">
        <v>4148</v>
      </c>
      <c r="C3622" s="8" t="s">
        <v>7399</v>
      </c>
      <c r="D3622" s="8" t="s">
        <v>7400</v>
      </c>
      <c r="E3622" s="13">
        <v>92900</v>
      </c>
      <c r="F3622" s="14">
        <v>210185</v>
      </c>
    </row>
    <row r="3623" spans="1:6" x14ac:dyDescent="0.3">
      <c r="A3623" s="8">
        <v>3621</v>
      </c>
      <c r="B3623" s="8" t="s">
        <v>4148</v>
      </c>
      <c r="C3623" s="8" t="s">
        <v>7401</v>
      </c>
      <c r="D3623" s="8" t="s">
        <v>7402</v>
      </c>
      <c r="E3623" s="13">
        <v>48500</v>
      </c>
      <c r="F3623" s="14">
        <v>97037</v>
      </c>
    </row>
    <row r="3624" spans="1:6" x14ac:dyDescent="0.3">
      <c r="A3624" s="8">
        <v>3622</v>
      </c>
      <c r="B3624" s="8" t="s">
        <v>4148</v>
      </c>
      <c r="C3624" s="8" t="s">
        <v>7403</v>
      </c>
      <c r="D3624" s="8" t="s">
        <v>7404</v>
      </c>
      <c r="E3624" s="13">
        <v>0</v>
      </c>
      <c r="F3624" s="14">
        <v>200000</v>
      </c>
    </row>
    <row r="3625" spans="1:6" x14ac:dyDescent="0.3">
      <c r="A3625" s="8">
        <v>3623</v>
      </c>
      <c r="B3625" s="8" t="s">
        <v>4148</v>
      </c>
      <c r="C3625" s="8" t="s">
        <v>7405</v>
      </c>
      <c r="D3625" s="8" t="s">
        <v>7406</v>
      </c>
      <c r="E3625" s="13">
        <v>0</v>
      </c>
      <c r="F3625" s="14">
        <v>0</v>
      </c>
    </row>
    <row r="3626" spans="1:6" x14ac:dyDescent="0.3">
      <c r="A3626" s="8">
        <v>3624</v>
      </c>
      <c r="B3626" s="8" t="s">
        <v>4148</v>
      </c>
      <c r="C3626" s="8" t="s">
        <v>7407</v>
      </c>
      <c r="D3626" s="8" t="s">
        <v>7408</v>
      </c>
      <c r="E3626" s="13">
        <v>0</v>
      </c>
      <c r="F3626" s="14">
        <v>0</v>
      </c>
    </row>
    <row r="3627" spans="1:6" x14ac:dyDescent="0.3">
      <c r="A3627" s="8">
        <v>3625</v>
      </c>
      <c r="B3627" s="8" t="s">
        <v>4148</v>
      </c>
      <c r="C3627" s="8" t="s">
        <v>7409</v>
      </c>
      <c r="D3627" s="8" t="s">
        <v>7410</v>
      </c>
      <c r="E3627" s="13">
        <v>165000</v>
      </c>
      <c r="F3627" s="14">
        <v>329630</v>
      </c>
    </row>
    <row r="3628" spans="1:6" x14ac:dyDescent="0.3">
      <c r="A3628" s="8">
        <v>3626</v>
      </c>
      <c r="B3628" s="8" t="s">
        <v>4148</v>
      </c>
      <c r="C3628" s="8" t="s">
        <v>7411</v>
      </c>
      <c r="D3628" s="8" t="s">
        <v>7412</v>
      </c>
      <c r="E3628" s="13">
        <v>148200</v>
      </c>
      <c r="F3628" s="14">
        <v>296296</v>
      </c>
    </row>
    <row r="3629" spans="1:6" x14ac:dyDescent="0.3">
      <c r="A3629" s="8">
        <v>3627</v>
      </c>
      <c r="B3629" s="8" t="s">
        <v>4148</v>
      </c>
      <c r="C3629" s="8" t="s">
        <v>7413</v>
      </c>
      <c r="D3629" s="8" t="s">
        <v>7414</v>
      </c>
      <c r="E3629" s="13">
        <v>70100</v>
      </c>
      <c r="F3629" s="14">
        <v>139815</v>
      </c>
    </row>
    <row r="3630" spans="1:6" x14ac:dyDescent="0.3">
      <c r="A3630" s="8">
        <v>3628</v>
      </c>
      <c r="B3630" s="8" t="s">
        <v>4148</v>
      </c>
      <c r="C3630" s="8" t="s">
        <v>7415</v>
      </c>
      <c r="D3630" s="8" t="s">
        <v>7416</v>
      </c>
      <c r="E3630" s="13">
        <v>94600</v>
      </c>
      <c r="F3630" s="14">
        <v>188889</v>
      </c>
    </row>
    <row r="3631" spans="1:6" x14ac:dyDescent="0.3">
      <c r="A3631" s="8">
        <v>3629</v>
      </c>
      <c r="B3631" s="8" t="s">
        <v>4148</v>
      </c>
      <c r="C3631" s="8" t="s">
        <v>7417</v>
      </c>
      <c r="D3631" s="8" t="s">
        <v>7418</v>
      </c>
      <c r="E3631" s="13">
        <v>0</v>
      </c>
      <c r="F3631" s="14">
        <v>0</v>
      </c>
    </row>
    <row r="3632" spans="1:6" x14ac:dyDescent="0.3">
      <c r="A3632" s="8">
        <v>3630</v>
      </c>
      <c r="B3632" s="8" t="s">
        <v>4148</v>
      </c>
      <c r="C3632" s="8" t="s">
        <v>7419</v>
      </c>
      <c r="D3632" s="8" t="s">
        <v>7420</v>
      </c>
      <c r="E3632" s="13">
        <v>0</v>
      </c>
      <c r="F3632" s="14">
        <v>331000</v>
      </c>
    </row>
    <row r="3633" spans="1:6" x14ac:dyDescent="0.3">
      <c r="A3633" s="8">
        <v>3631</v>
      </c>
      <c r="B3633" s="8" t="s">
        <v>4148</v>
      </c>
      <c r="C3633" s="8" t="s">
        <v>7421</v>
      </c>
      <c r="D3633" s="8" t="s">
        <v>7422</v>
      </c>
      <c r="E3633" s="13">
        <v>66900</v>
      </c>
      <c r="F3633" s="14">
        <v>146000</v>
      </c>
    </row>
    <row r="3634" spans="1:6" x14ac:dyDescent="0.3">
      <c r="A3634" s="8">
        <v>3632</v>
      </c>
      <c r="B3634" s="8" t="s">
        <v>4148</v>
      </c>
      <c r="C3634" s="8" t="s">
        <v>7423</v>
      </c>
      <c r="D3634" s="8" t="s">
        <v>7424</v>
      </c>
      <c r="E3634" s="13">
        <v>0</v>
      </c>
      <c r="F3634" s="14">
        <v>168000</v>
      </c>
    </row>
    <row r="3635" spans="1:6" x14ac:dyDescent="0.3">
      <c r="A3635" s="8">
        <v>3633</v>
      </c>
      <c r="B3635" s="8" t="s">
        <v>4148</v>
      </c>
      <c r="C3635" s="8" t="s">
        <v>7425</v>
      </c>
      <c r="D3635" s="8" t="s">
        <v>7426</v>
      </c>
      <c r="E3635" s="13">
        <v>0</v>
      </c>
      <c r="F3635" s="14">
        <v>178000</v>
      </c>
    </row>
    <row r="3636" spans="1:6" x14ac:dyDescent="0.3">
      <c r="A3636" s="8">
        <v>3634</v>
      </c>
      <c r="B3636" s="8" t="s">
        <v>4148</v>
      </c>
      <c r="C3636" s="8" t="s">
        <v>7427</v>
      </c>
      <c r="D3636" s="8" t="s">
        <v>7428</v>
      </c>
      <c r="E3636" s="13">
        <v>0</v>
      </c>
      <c r="F3636" s="14">
        <v>168000</v>
      </c>
    </row>
    <row r="3637" spans="1:6" x14ac:dyDescent="0.3">
      <c r="A3637" s="8">
        <v>3635</v>
      </c>
      <c r="B3637" s="8" t="s">
        <v>4148</v>
      </c>
      <c r="C3637" s="8" t="s">
        <v>7429</v>
      </c>
      <c r="D3637" s="8" t="s">
        <v>7430</v>
      </c>
      <c r="E3637" s="13">
        <v>66900</v>
      </c>
      <c r="F3637" s="14">
        <v>146000</v>
      </c>
    </row>
    <row r="3638" spans="1:6" x14ac:dyDescent="0.3">
      <c r="A3638" s="8">
        <v>3636</v>
      </c>
      <c r="B3638" s="8" t="s">
        <v>4148</v>
      </c>
      <c r="C3638" s="8" t="s">
        <v>7431</v>
      </c>
      <c r="D3638" s="8" t="s">
        <v>7432</v>
      </c>
      <c r="E3638" s="13">
        <v>79600</v>
      </c>
      <c r="F3638" s="14">
        <v>174000</v>
      </c>
    </row>
    <row r="3639" spans="1:6" x14ac:dyDescent="0.3">
      <c r="A3639" s="8">
        <v>3637</v>
      </c>
      <c r="B3639" s="8" t="s">
        <v>4148</v>
      </c>
      <c r="C3639" s="8" t="s">
        <v>7433</v>
      </c>
      <c r="D3639" s="8" t="s">
        <v>7434</v>
      </c>
      <c r="E3639" s="13">
        <v>0</v>
      </c>
      <c r="F3639" s="14">
        <v>162000</v>
      </c>
    </row>
    <row r="3640" spans="1:6" x14ac:dyDescent="0.3">
      <c r="A3640" s="8">
        <v>3638</v>
      </c>
      <c r="B3640" s="8" t="s">
        <v>4148</v>
      </c>
      <c r="C3640" s="8" t="s">
        <v>7435</v>
      </c>
      <c r="D3640" s="8" t="s">
        <v>7436</v>
      </c>
      <c r="E3640" s="13">
        <v>61400</v>
      </c>
      <c r="F3640" s="14">
        <v>136111</v>
      </c>
    </row>
    <row r="3641" spans="1:6" x14ac:dyDescent="0.3">
      <c r="A3641" s="8">
        <v>3639</v>
      </c>
      <c r="B3641" s="8" t="s">
        <v>4148</v>
      </c>
      <c r="C3641" s="8" t="s">
        <v>7437</v>
      </c>
      <c r="D3641" s="8" t="s">
        <v>7438</v>
      </c>
      <c r="E3641" s="13">
        <v>0</v>
      </c>
      <c r="F3641" s="14">
        <v>0</v>
      </c>
    </row>
    <row r="3642" spans="1:6" x14ac:dyDescent="0.3">
      <c r="A3642" s="8">
        <v>3640</v>
      </c>
      <c r="B3642" s="8" t="s">
        <v>4148</v>
      </c>
      <c r="C3642" s="8" t="s">
        <v>7439</v>
      </c>
      <c r="D3642" s="8" t="s">
        <v>7440</v>
      </c>
      <c r="E3642" s="13">
        <v>0</v>
      </c>
      <c r="F3642" s="14">
        <v>0</v>
      </c>
    </row>
    <row r="3643" spans="1:6" x14ac:dyDescent="0.3">
      <c r="A3643" s="8">
        <v>3641</v>
      </c>
      <c r="B3643" s="8" t="s">
        <v>4148</v>
      </c>
      <c r="C3643" s="8" t="s">
        <v>7441</v>
      </c>
      <c r="D3643" s="8" t="s">
        <v>7442</v>
      </c>
      <c r="E3643" s="13">
        <v>57400</v>
      </c>
      <c r="F3643" s="14">
        <v>114815</v>
      </c>
    </row>
    <row r="3644" spans="1:6" x14ac:dyDescent="0.3">
      <c r="A3644" s="8">
        <v>3642</v>
      </c>
      <c r="B3644" s="8" t="s">
        <v>4148</v>
      </c>
      <c r="C3644" s="8" t="s">
        <v>7443</v>
      </c>
      <c r="D3644" s="8" t="s">
        <v>7444</v>
      </c>
      <c r="E3644" s="13">
        <v>76300</v>
      </c>
      <c r="F3644" s="14">
        <v>170370</v>
      </c>
    </row>
    <row r="3645" spans="1:6" x14ac:dyDescent="0.3">
      <c r="A3645" s="8">
        <v>3643</v>
      </c>
      <c r="B3645" s="8" t="s">
        <v>4148</v>
      </c>
      <c r="C3645" s="8" t="s">
        <v>7445</v>
      </c>
      <c r="D3645" s="8" t="s">
        <v>7446</v>
      </c>
      <c r="E3645" s="13">
        <v>88000</v>
      </c>
      <c r="F3645" s="14">
        <v>175926</v>
      </c>
    </row>
    <row r="3646" spans="1:6" x14ac:dyDescent="0.3">
      <c r="A3646" s="8">
        <v>3644</v>
      </c>
      <c r="B3646" s="8" t="s">
        <v>4148</v>
      </c>
      <c r="C3646" s="8" t="s">
        <v>7447</v>
      </c>
      <c r="D3646" s="8" t="s">
        <v>7448</v>
      </c>
      <c r="E3646" s="13">
        <v>0</v>
      </c>
      <c r="F3646" s="14">
        <v>0</v>
      </c>
    </row>
    <row r="3647" spans="1:6" x14ac:dyDescent="0.3">
      <c r="A3647" s="8">
        <v>3645</v>
      </c>
      <c r="B3647" s="8" t="s">
        <v>4148</v>
      </c>
      <c r="C3647" s="8" t="s">
        <v>7449</v>
      </c>
      <c r="D3647" s="8" t="s">
        <v>7450</v>
      </c>
      <c r="E3647" s="13">
        <v>97200</v>
      </c>
      <c r="F3647" s="14">
        <v>194444</v>
      </c>
    </row>
    <row r="3648" spans="1:6" x14ac:dyDescent="0.3">
      <c r="A3648" s="8">
        <v>3646</v>
      </c>
      <c r="B3648" s="8" t="s">
        <v>4148</v>
      </c>
      <c r="C3648" s="8" t="s">
        <v>7451</v>
      </c>
      <c r="D3648" s="8" t="s">
        <v>7452</v>
      </c>
      <c r="E3648" s="13">
        <v>79500</v>
      </c>
      <c r="F3648" s="14">
        <v>159259</v>
      </c>
    </row>
    <row r="3649" spans="1:6" x14ac:dyDescent="0.3">
      <c r="A3649" s="8">
        <v>3647</v>
      </c>
      <c r="B3649" s="8" t="s">
        <v>4148</v>
      </c>
      <c r="C3649" s="8" t="s">
        <v>7453</v>
      </c>
      <c r="D3649" s="8" t="s">
        <v>7454</v>
      </c>
      <c r="E3649" s="13">
        <v>97200</v>
      </c>
      <c r="F3649" s="14">
        <v>194444</v>
      </c>
    </row>
    <row r="3650" spans="1:6" x14ac:dyDescent="0.3">
      <c r="A3650" s="8">
        <v>3648</v>
      </c>
      <c r="B3650" s="8" t="s">
        <v>4148</v>
      </c>
      <c r="C3650" s="8" t="s">
        <v>7455</v>
      </c>
      <c r="D3650" s="8" t="s">
        <v>7456</v>
      </c>
      <c r="E3650" s="13">
        <v>0</v>
      </c>
      <c r="F3650" s="14">
        <v>0</v>
      </c>
    </row>
    <row r="3651" spans="1:6" x14ac:dyDescent="0.3">
      <c r="A3651" s="8">
        <v>3649</v>
      </c>
      <c r="B3651" s="8" t="s">
        <v>4148</v>
      </c>
      <c r="C3651" s="8" t="s">
        <v>7457</v>
      </c>
      <c r="D3651" s="8" t="s">
        <v>7458</v>
      </c>
      <c r="E3651" s="13">
        <v>65500</v>
      </c>
      <c r="F3651" s="14">
        <v>130556</v>
      </c>
    </row>
    <row r="3652" spans="1:6" x14ac:dyDescent="0.3">
      <c r="A3652" s="8">
        <v>3650</v>
      </c>
      <c r="B3652" s="8" t="s">
        <v>4148</v>
      </c>
      <c r="C3652" s="8" t="s">
        <v>7459</v>
      </c>
      <c r="D3652" s="8" t="s">
        <v>7460</v>
      </c>
      <c r="E3652" s="13">
        <v>0</v>
      </c>
      <c r="F3652" s="14">
        <v>0</v>
      </c>
    </row>
    <row r="3653" spans="1:6" x14ac:dyDescent="0.3">
      <c r="A3653" s="8">
        <v>3651</v>
      </c>
      <c r="B3653" s="8" t="s">
        <v>4148</v>
      </c>
      <c r="C3653" s="8" t="s">
        <v>7461</v>
      </c>
      <c r="D3653" s="8" t="s">
        <v>7462</v>
      </c>
      <c r="E3653" s="13">
        <v>97200</v>
      </c>
      <c r="F3653" s="14">
        <v>194444</v>
      </c>
    </row>
    <row r="3654" spans="1:6" x14ac:dyDescent="0.3">
      <c r="A3654" s="8">
        <v>3652</v>
      </c>
      <c r="B3654" s="8" t="s">
        <v>4148</v>
      </c>
      <c r="C3654" s="8" t="s">
        <v>7463</v>
      </c>
      <c r="D3654" s="8" t="s">
        <v>7464</v>
      </c>
      <c r="E3654" s="13">
        <v>0</v>
      </c>
      <c r="F3654" s="14">
        <v>0</v>
      </c>
    </row>
    <row r="3655" spans="1:6" x14ac:dyDescent="0.3">
      <c r="A3655" s="8">
        <v>3653</v>
      </c>
      <c r="B3655" s="8" t="s">
        <v>4148</v>
      </c>
      <c r="C3655" s="8" t="s">
        <v>7465</v>
      </c>
      <c r="D3655" s="8" t="s">
        <v>7466</v>
      </c>
      <c r="E3655" s="13">
        <v>0</v>
      </c>
      <c r="F3655" s="14">
        <v>0</v>
      </c>
    </row>
    <row r="3656" spans="1:6" x14ac:dyDescent="0.3">
      <c r="A3656" s="8">
        <v>3654</v>
      </c>
      <c r="B3656" s="8" t="s">
        <v>4148</v>
      </c>
      <c r="C3656" s="8" t="s">
        <v>7467</v>
      </c>
      <c r="D3656" s="8" t="s">
        <v>7468</v>
      </c>
      <c r="E3656" s="13">
        <v>180600</v>
      </c>
      <c r="F3656" s="14">
        <v>361111</v>
      </c>
    </row>
    <row r="3657" spans="1:6" x14ac:dyDescent="0.3">
      <c r="A3657" s="8">
        <v>3655</v>
      </c>
      <c r="B3657" s="8" t="s">
        <v>4148</v>
      </c>
      <c r="C3657" s="8" t="s">
        <v>7469</v>
      </c>
      <c r="D3657" s="8" t="s">
        <v>7470</v>
      </c>
      <c r="E3657" s="13">
        <v>47000</v>
      </c>
      <c r="F3657" s="14">
        <v>94444</v>
      </c>
    </row>
    <row r="3658" spans="1:6" x14ac:dyDescent="0.3">
      <c r="A3658" s="8">
        <v>3656</v>
      </c>
      <c r="B3658" s="8" t="s">
        <v>4148</v>
      </c>
      <c r="C3658" s="8" t="s">
        <v>7471</v>
      </c>
      <c r="D3658" s="8" t="s">
        <v>7472</v>
      </c>
      <c r="E3658" s="13">
        <v>0</v>
      </c>
      <c r="F3658" s="14">
        <v>0</v>
      </c>
    </row>
    <row r="3659" spans="1:6" x14ac:dyDescent="0.3">
      <c r="A3659" s="8">
        <v>3657</v>
      </c>
      <c r="B3659" s="8" t="s">
        <v>4148</v>
      </c>
      <c r="C3659" s="8" t="s">
        <v>7473</v>
      </c>
      <c r="D3659" s="8" t="s">
        <v>7474</v>
      </c>
      <c r="E3659" s="13">
        <v>57400</v>
      </c>
      <c r="F3659" s="14">
        <v>114815</v>
      </c>
    </row>
    <row r="3660" spans="1:6" x14ac:dyDescent="0.3">
      <c r="A3660" s="8">
        <v>3658</v>
      </c>
      <c r="B3660" s="8" t="s">
        <v>4148</v>
      </c>
      <c r="C3660" s="8" t="s">
        <v>7475</v>
      </c>
      <c r="D3660" s="8" t="s">
        <v>7476</v>
      </c>
      <c r="E3660" s="13">
        <v>83800</v>
      </c>
      <c r="F3660" s="14">
        <v>167593</v>
      </c>
    </row>
    <row r="3661" spans="1:6" x14ac:dyDescent="0.3">
      <c r="A3661" s="8">
        <v>3659</v>
      </c>
      <c r="B3661" s="8" t="s">
        <v>4148</v>
      </c>
      <c r="C3661" s="8" t="s">
        <v>7477</v>
      </c>
      <c r="D3661" s="8" t="s">
        <v>7478</v>
      </c>
      <c r="E3661" s="13">
        <v>79500</v>
      </c>
      <c r="F3661" s="14">
        <v>159259</v>
      </c>
    </row>
    <row r="3662" spans="1:6" x14ac:dyDescent="0.3">
      <c r="A3662" s="8">
        <v>3660</v>
      </c>
      <c r="B3662" s="8" t="s">
        <v>4148</v>
      </c>
      <c r="C3662" s="8" t="s">
        <v>7479</v>
      </c>
      <c r="D3662" s="8" t="s">
        <v>7480</v>
      </c>
      <c r="E3662" s="13">
        <v>94600</v>
      </c>
      <c r="F3662" s="14">
        <v>188889</v>
      </c>
    </row>
    <row r="3663" spans="1:6" x14ac:dyDescent="0.3">
      <c r="A3663" s="8">
        <v>3661</v>
      </c>
      <c r="B3663" s="8" t="s">
        <v>4148</v>
      </c>
      <c r="C3663" s="8" t="s">
        <v>7481</v>
      </c>
      <c r="D3663" s="8" t="s">
        <v>7482</v>
      </c>
      <c r="E3663" s="13">
        <v>0</v>
      </c>
      <c r="F3663" s="14">
        <v>0</v>
      </c>
    </row>
    <row r="3664" spans="1:6" x14ac:dyDescent="0.3">
      <c r="A3664" s="8">
        <v>3662</v>
      </c>
      <c r="B3664" s="8" t="s">
        <v>4148</v>
      </c>
      <c r="C3664" s="8" t="s">
        <v>7483</v>
      </c>
      <c r="D3664" s="8" t="s">
        <v>7484</v>
      </c>
      <c r="E3664" s="13">
        <v>0</v>
      </c>
      <c r="F3664" s="14">
        <v>129630</v>
      </c>
    </row>
    <row r="3665" spans="1:6" x14ac:dyDescent="0.3">
      <c r="A3665" s="8">
        <v>3663</v>
      </c>
      <c r="B3665" s="8" t="s">
        <v>4148</v>
      </c>
      <c r="C3665" s="8" t="s">
        <v>7485</v>
      </c>
      <c r="D3665" s="8" t="s">
        <v>7486</v>
      </c>
      <c r="E3665" s="13">
        <v>0</v>
      </c>
      <c r="F3665" s="14">
        <v>0</v>
      </c>
    </row>
    <row r="3666" spans="1:6" x14ac:dyDescent="0.3">
      <c r="A3666" s="8">
        <v>3664</v>
      </c>
      <c r="B3666" s="8" t="s">
        <v>4148</v>
      </c>
      <c r="C3666" s="8" t="s">
        <v>7487</v>
      </c>
      <c r="D3666" s="8" t="s">
        <v>7488</v>
      </c>
      <c r="E3666" s="13">
        <v>0</v>
      </c>
      <c r="F3666" s="14">
        <v>0</v>
      </c>
    </row>
    <row r="3667" spans="1:6" x14ac:dyDescent="0.3">
      <c r="A3667" s="8">
        <v>3665</v>
      </c>
      <c r="B3667" s="8" t="s">
        <v>4148</v>
      </c>
      <c r="C3667" s="8" t="s">
        <v>7489</v>
      </c>
      <c r="D3667" s="8" t="s">
        <v>7490</v>
      </c>
      <c r="E3667" s="13">
        <v>0</v>
      </c>
      <c r="F3667" s="14">
        <v>0</v>
      </c>
    </row>
    <row r="3668" spans="1:6" x14ac:dyDescent="0.3">
      <c r="A3668" s="8">
        <v>3666</v>
      </c>
      <c r="B3668" s="8" t="s">
        <v>4148</v>
      </c>
      <c r="C3668" s="8" t="s">
        <v>7491</v>
      </c>
      <c r="D3668" s="8" t="s">
        <v>7492</v>
      </c>
      <c r="E3668" s="13">
        <v>0</v>
      </c>
      <c r="F3668" s="14">
        <v>0</v>
      </c>
    </row>
    <row r="3669" spans="1:6" x14ac:dyDescent="0.3">
      <c r="A3669" s="8">
        <v>3667</v>
      </c>
      <c r="B3669" s="8" t="s">
        <v>4148</v>
      </c>
      <c r="C3669" s="8" t="s">
        <v>7493</v>
      </c>
      <c r="D3669" s="8" t="s">
        <v>7494</v>
      </c>
      <c r="E3669" s="13">
        <v>0</v>
      </c>
      <c r="F3669" s="14">
        <v>0</v>
      </c>
    </row>
    <row r="3670" spans="1:6" x14ac:dyDescent="0.3">
      <c r="A3670" s="8">
        <v>3668</v>
      </c>
      <c r="B3670" s="8" t="s">
        <v>4148</v>
      </c>
      <c r="C3670" s="8" t="s">
        <v>7495</v>
      </c>
      <c r="D3670" s="8" t="s">
        <v>7496</v>
      </c>
      <c r="E3670" s="13">
        <v>0</v>
      </c>
      <c r="F3670" s="14">
        <v>0</v>
      </c>
    </row>
    <row r="3671" spans="1:6" x14ac:dyDescent="0.3">
      <c r="A3671" s="8">
        <v>3669</v>
      </c>
      <c r="B3671" s="8" t="s">
        <v>4148</v>
      </c>
      <c r="C3671" s="8" t="s">
        <v>7497</v>
      </c>
      <c r="D3671" s="8" t="s">
        <v>7498</v>
      </c>
      <c r="E3671" s="13">
        <v>0</v>
      </c>
      <c r="F3671" s="14">
        <v>0</v>
      </c>
    </row>
    <row r="3672" spans="1:6" x14ac:dyDescent="0.3">
      <c r="A3672" s="8">
        <v>3670</v>
      </c>
      <c r="B3672" s="8" t="s">
        <v>4148</v>
      </c>
      <c r="C3672" s="8" t="s">
        <v>7499</v>
      </c>
      <c r="D3672" s="8" t="s">
        <v>7500</v>
      </c>
      <c r="E3672" s="13">
        <v>130000</v>
      </c>
      <c r="F3672" s="14">
        <v>260185</v>
      </c>
    </row>
    <row r="3673" spans="1:6" x14ac:dyDescent="0.3">
      <c r="A3673" s="8">
        <v>3671</v>
      </c>
      <c r="B3673" s="8" t="s">
        <v>4148</v>
      </c>
      <c r="C3673" s="8" t="s">
        <v>7501</v>
      </c>
      <c r="D3673" s="8" t="s">
        <v>7502</v>
      </c>
      <c r="E3673" s="13">
        <v>180000</v>
      </c>
      <c r="F3673" s="14">
        <v>360185</v>
      </c>
    </row>
    <row r="3674" spans="1:6" x14ac:dyDescent="0.3">
      <c r="A3674" s="8">
        <v>3672</v>
      </c>
      <c r="B3674" s="8" t="s">
        <v>4148</v>
      </c>
      <c r="C3674" s="8" t="s">
        <v>7503</v>
      </c>
      <c r="D3674" s="8" t="s">
        <v>7504</v>
      </c>
      <c r="E3674" s="13">
        <v>70100</v>
      </c>
      <c r="F3674" s="14">
        <v>139815</v>
      </c>
    </row>
    <row r="3675" spans="1:6" x14ac:dyDescent="0.3">
      <c r="A3675" s="8">
        <v>3673</v>
      </c>
      <c r="B3675" s="8" t="s">
        <v>4148</v>
      </c>
      <c r="C3675" s="8" t="s">
        <v>7505</v>
      </c>
      <c r="D3675" s="8" t="s">
        <v>7506</v>
      </c>
      <c r="E3675" s="13">
        <v>115000</v>
      </c>
      <c r="F3675" s="14">
        <v>229630</v>
      </c>
    </row>
    <row r="3676" spans="1:6" x14ac:dyDescent="0.3">
      <c r="A3676" s="8">
        <v>3674</v>
      </c>
      <c r="B3676" s="8" t="s">
        <v>4148</v>
      </c>
      <c r="C3676" s="8" t="s">
        <v>7507</v>
      </c>
      <c r="D3676" s="8" t="s">
        <v>7508</v>
      </c>
      <c r="E3676" s="13">
        <v>0</v>
      </c>
      <c r="F3676" s="14">
        <v>0</v>
      </c>
    </row>
    <row r="3677" spans="1:6" x14ac:dyDescent="0.3">
      <c r="A3677" s="8">
        <v>3675</v>
      </c>
      <c r="B3677" s="8" t="s">
        <v>6516</v>
      </c>
      <c r="C3677" s="8" t="s">
        <v>7509</v>
      </c>
      <c r="D3677" s="8" t="s">
        <v>7510</v>
      </c>
      <c r="E3677" s="13">
        <v>0</v>
      </c>
      <c r="F3677" s="14">
        <v>0</v>
      </c>
    </row>
    <row r="3678" spans="1:6" x14ac:dyDescent="0.3">
      <c r="A3678" s="8">
        <v>3676</v>
      </c>
      <c r="B3678" s="8" t="s">
        <v>6516</v>
      </c>
      <c r="C3678" s="8" t="s">
        <v>7511</v>
      </c>
      <c r="D3678" s="8" t="s">
        <v>7512</v>
      </c>
      <c r="E3678" s="13">
        <v>0</v>
      </c>
      <c r="F3678" s="14">
        <v>0</v>
      </c>
    </row>
    <row r="3679" spans="1:6" x14ac:dyDescent="0.3">
      <c r="A3679" s="8">
        <v>3677</v>
      </c>
      <c r="B3679" s="8" t="s">
        <v>6516</v>
      </c>
      <c r="C3679" s="8" t="s">
        <v>7513</v>
      </c>
      <c r="D3679" s="8" t="s">
        <v>7514</v>
      </c>
      <c r="E3679" s="13">
        <v>0</v>
      </c>
      <c r="F3679" s="14">
        <v>0</v>
      </c>
    </row>
    <row r="3680" spans="1:6" x14ac:dyDescent="0.3">
      <c r="A3680" s="8">
        <v>3678</v>
      </c>
      <c r="B3680" s="8" t="s">
        <v>6516</v>
      </c>
      <c r="C3680" s="8" t="s">
        <v>7515</v>
      </c>
      <c r="D3680" s="8" t="s">
        <v>7516</v>
      </c>
      <c r="E3680" s="13">
        <v>0</v>
      </c>
      <c r="F3680" s="14">
        <v>0</v>
      </c>
    </row>
    <row r="3681" spans="1:6" x14ac:dyDescent="0.3">
      <c r="A3681" s="8">
        <v>3679</v>
      </c>
      <c r="B3681" s="8" t="s">
        <v>6516</v>
      </c>
      <c r="C3681" s="8" t="s">
        <v>7517</v>
      </c>
      <c r="D3681" s="8" t="s">
        <v>7518</v>
      </c>
      <c r="E3681" s="13">
        <v>0</v>
      </c>
      <c r="F3681" s="14">
        <v>0</v>
      </c>
    </row>
    <row r="3682" spans="1:6" x14ac:dyDescent="0.3">
      <c r="A3682" s="8">
        <v>3680</v>
      </c>
      <c r="B3682" s="8" t="s">
        <v>6516</v>
      </c>
      <c r="C3682" s="8" t="s">
        <v>7519</v>
      </c>
      <c r="D3682" s="8" t="s">
        <v>7520</v>
      </c>
      <c r="E3682" s="13">
        <v>0</v>
      </c>
      <c r="F3682" s="14">
        <v>0</v>
      </c>
    </row>
    <row r="3683" spans="1:6" x14ac:dyDescent="0.3">
      <c r="A3683" s="8">
        <v>3681</v>
      </c>
      <c r="B3683" s="8" t="s">
        <v>6516</v>
      </c>
      <c r="C3683" s="8" t="s">
        <v>7521</v>
      </c>
      <c r="D3683" s="8" t="s">
        <v>7522</v>
      </c>
      <c r="E3683" s="13">
        <v>0</v>
      </c>
      <c r="F3683" s="14">
        <v>1400000</v>
      </c>
    </row>
    <row r="3684" spans="1:6" x14ac:dyDescent="0.3">
      <c r="A3684" s="8">
        <v>3682</v>
      </c>
      <c r="B3684" s="8" t="s">
        <v>6516</v>
      </c>
      <c r="C3684" s="8" t="s">
        <v>7523</v>
      </c>
      <c r="D3684" s="8" t="s">
        <v>7524</v>
      </c>
      <c r="E3684" s="13">
        <v>0</v>
      </c>
      <c r="F3684" s="14">
        <v>0</v>
      </c>
    </row>
    <row r="3685" spans="1:6" x14ac:dyDescent="0.3">
      <c r="A3685" s="8">
        <v>3683</v>
      </c>
      <c r="B3685" s="8" t="s">
        <v>6516</v>
      </c>
      <c r="C3685" s="8" t="s">
        <v>7525</v>
      </c>
      <c r="D3685" s="8" t="s">
        <v>7526</v>
      </c>
      <c r="E3685" s="13">
        <v>0</v>
      </c>
      <c r="F3685" s="14">
        <v>0</v>
      </c>
    </row>
    <row r="3686" spans="1:6" x14ac:dyDescent="0.3">
      <c r="A3686" s="8">
        <v>3684</v>
      </c>
      <c r="B3686" s="8" t="s">
        <v>6516</v>
      </c>
      <c r="C3686" s="8" t="s">
        <v>7527</v>
      </c>
      <c r="D3686" s="8" t="s">
        <v>7528</v>
      </c>
      <c r="E3686" s="13">
        <v>0</v>
      </c>
      <c r="F3686" s="14">
        <v>1212963</v>
      </c>
    </row>
    <row r="3687" spans="1:6" x14ac:dyDescent="0.3">
      <c r="A3687" s="8">
        <v>3685</v>
      </c>
      <c r="B3687" s="8" t="s">
        <v>6516</v>
      </c>
      <c r="C3687" s="8" t="s">
        <v>7529</v>
      </c>
      <c r="D3687" s="8" t="s">
        <v>7530</v>
      </c>
      <c r="E3687" s="13">
        <v>0</v>
      </c>
      <c r="F3687" s="14">
        <v>1501852</v>
      </c>
    </row>
    <row r="3688" spans="1:6" x14ac:dyDescent="0.3">
      <c r="A3688" s="8">
        <v>3686</v>
      </c>
      <c r="B3688" s="8" t="s">
        <v>6516</v>
      </c>
      <c r="C3688" s="8" t="s">
        <v>7531</v>
      </c>
      <c r="D3688" s="8" t="s">
        <v>7532</v>
      </c>
      <c r="E3688" s="13">
        <v>0</v>
      </c>
      <c r="F3688" s="14">
        <v>0</v>
      </c>
    </row>
    <row r="3689" spans="1:6" x14ac:dyDescent="0.3">
      <c r="A3689" s="8">
        <v>3687</v>
      </c>
      <c r="B3689" s="8" t="s">
        <v>6516</v>
      </c>
      <c r="C3689" s="8" t="s">
        <v>7533</v>
      </c>
      <c r="D3689" s="8" t="s">
        <v>7534</v>
      </c>
      <c r="E3689" s="13">
        <v>0</v>
      </c>
      <c r="F3689" s="14">
        <v>0</v>
      </c>
    </row>
    <row r="3690" spans="1:6" x14ac:dyDescent="0.3">
      <c r="A3690" s="8">
        <v>3688</v>
      </c>
      <c r="B3690" s="8" t="s">
        <v>6516</v>
      </c>
      <c r="C3690" s="8" t="s">
        <v>7535</v>
      </c>
      <c r="D3690" s="8" t="s">
        <v>7536</v>
      </c>
      <c r="E3690" s="13">
        <v>0</v>
      </c>
      <c r="F3690" s="14">
        <v>1501852</v>
      </c>
    </row>
    <row r="3691" spans="1:6" x14ac:dyDescent="0.3">
      <c r="A3691" s="8">
        <v>3689</v>
      </c>
      <c r="B3691" s="8" t="s">
        <v>6516</v>
      </c>
      <c r="C3691" s="8" t="s">
        <v>7537</v>
      </c>
      <c r="D3691" s="8" t="s">
        <v>7538</v>
      </c>
      <c r="E3691" s="13">
        <v>0</v>
      </c>
      <c r="F3691" s="14">
        <v>0</v>
      </c>
    </row>
    <row r="3692" spans="1:6" x14ac:dyDescent="0.3">
      <c r="A3692" s="8">
        <v>3690</v>
      </c>
      <c r="B3692" s="8" t="s">
        <v>6516</v>
      </c>
      <c r="C3692" s="8" t="s">
        <v>7539</v>
      </c>
      <c r="D3692" s="8" t="s">
        <v>7540</v>
      </c>
      <c r="E3692" s="13">
        <v>481000</v>
      </c>
      <c r="F3692" s="14">
        <v>962037</v>
      </c>
    </row>
    <row r="3693" spans="1:6" x14ac:dyDescent="0.3">
      <c r="A3693" s="8">
        <v>3691</v>
      </c>
      <c r="B3693" s="8" t="s">
        <v>6516</v>
      </c>
      <c r="C3693" s="8" t="s">
        <v>7541</v>
      </c>
      <c r="D3693" s="8" t="s">
        <v>7542</v>
      </c>
      <c r="E3693" s="13">
        <v>0</v>
      </c>
      <c r="F3693" s="14">
        <v>0</v>
      </c>
    </row>
    <row r="3694" spans="1:6" x14ac:dyDescent="0.3">
      <c r="A3694" s="8">
        <v>3692</v>
      </c>
      <c r="B3694" s="8" t="s">
        <v>6516</v>
      </c>
      <c r="C3694" s="8" t="s">
        <v>7543</v>
      </c>
      <c r="D3694" s="8" t="s">
        <v>7544</v>
      </c>
      <c r="E3694" s="13">
        <v>0</v>
      </c>
      <c r="F3694" s="14">
        <v>0</v>
      </c>
    </row>
    <row r="3695" spans="1:6" x14ac:dyDescent="0.3">
      <c r="A3695" s="8">
        <v>3693</v>
      </c>
      <c r="B3695" s="8" t="s">
        <v>6516</v>
      </c>
      <c r="C3695" s="8" t="s">
        <v>7545</v>
      </c>
      <c r="D3695" s="8" t="s">
        <v>7546</v>
      </c>
      <c r="E3695" s="13">
        <v>0</v>
      </c>
      <c r="F3695" s="14">
        <v>0</v>
      </c>
    </row>
    <row r="3696" spans="1:6" x14ac:dyDescent="0.3">
      <c r="A3696" s="8">
        <v>3694</v>
      </c>
      <c r="B3696" s="8" t="s">
        <v>6516</v>
      </c>
      <c r="C3696" s="8" t="s">
        <v>7547</v>
      </c>
      <c r="D3696" s="8" t="s">
        <v>7548</v>
      </c>
      <c r="E3696" s="13">
        <v>0</v>
      </c>
      <c r="F3696" s="14">
        <v>0</v>
      </c>
    </row>
    <row r="3697" spans="1:6" x14ac:dyDescent="0.3">
      <c r="A3697" s="8">
        <v>3695</v>
      </c>
      <c r="B3697" s="8" t="s">
        <v>6516</v>
      </c>
      <c r="C3697" s="8" t="s">
        <v>7549</v>
      </c>
      <c r="D3697" s="8" t="s">
        <v>7550</v>
      </c>
      <c r="E3697" s="13">
        <v>0</v>
      </c>
      <c r="F3697" s="14">
        <v>0</v>
      </c>
    </row>
    <row r="3698" spans="1:6" x14ac:dyDescent="0.3">
      <c r="A3698" s="8">
        <v>3696</v>
      </c>
      <c r="B3698" s="8" t="s">
        <v>6516</v>
      </c>
      <c r="C3698" s="8" t="s">
        <v>7551</v>
      </c>
      <c r="D3698" s="8" t="s">
        <v>7552</v>
      </c>
      <c r="E3698" s="13">
        <v>0</v>
      </c>
      <c r="F3698" s="14">
        <v>1501852</v>
      </c>
    </row>
    <row r="3699" spans="1:6" x14ac:dyDescent="0.3">
      <c r="A3699" s="8">
        <v>3697</v>
      </c>
      <c r="B3699" s="8" t="s">
        <v>6516</v>
      </c>
      <c r="C3699" s="8" t="s">
        <v>7553</v>
      </c>
      <c r="D3699" s="8" t="s">
        <v>7554</v>
      </c>
      <c r="E3699" s="13">
        <v>0</v>
      </c>
      <c r="F3699" s="14">
        <v>0</v>
      </c>
    </row>
    <row r="3700" spans="1:6" x14ac:dyDescent="0.3">
      <c r="A3700" s="8">
        <v>3698</v>
      </c>
      <c r="B3700" s="8" t="s">
        <v>6022</v>
      </c>
      <c r="C3700" s="8" t="s">
        <v>7555</v>
      </c>
      <c r="D3700" s="8" t="s">
        <v>7556</v>
      </c>
      <c r="E3700" s="13">
        <v>0</v>
      </c>
      <c r="F3700" s="14">
        <v>0</v>
      </c>
    </row>
    <row r="3701" spans="1:6" x14ac:dyDescent="0.3">
      <c r="A3701" s="8">
        <v>3699</v>
      </c>
      <c r="B3701" s="8" t="s">
        <v>6022</v>
      </c>
      <c r="C3701" s="8" t="s">
        <v>7557</v>
      </c>
      <c r="D3701" s="8" t="s">
        <v>7558</v>
      </c>
      <c r="E3701" s="13">
        <v>214000</v>
      </c>
      <c r="F3701" s="14">
        <v>427778</v>
      </c>
    </row>
    <row r="3702" spans="1:6" x14ac:dyDescent="0.3">
      <c r="A3702" s="8">
        <v>3700</v>
      </c>
      <c r="B3702" s="8" t="s">
        <v>6022</v>
      </c>
      <c r="C3702" s="8" t="s">
        <v>7559</v>
      </c>
      <c r="D3702" s="8" t="s">
        <v>7560</v>
      </c>
      <c r="E3702" s="13">
        <v>161000</v>
      </c>
      <c r="F3702" s="14">
        <v>322222</v>
      </c>
    </row>
    <row r="3703" spans="1:6" x14ac:dyDescent="0.3">
      <c r="A3703" s="8">
        <v>3701</v>
      </c>
      <c r="B3703" s="8" t="s">
        <v>6022</v>
      </c>
      <c r="C3703" s="8" t="s">
        <v>7561</v>
      </c>
      <c r="D3703" s="8" t="s">
        <v>7562</v>
      </c>
      <c r="E3703" s="13">
        <v>127000</v>
      </c>
      <c r="F3703" s="14">
        <v>253704</v>
      </c>
    </row>
    <row r="3704" spans="1:6" x14ac:dyDescent="0.3">
      <c r="A3704" s="8">
        <v>3702</v>
      </c>
      <c r="B3704" s="8" t="s">
        <v>6022</v>
      </c>
      <c r="C3704" s="8" t="s">
        <v>7563</v>
      </c>
      <c r="D3704" s="8" t="s">
        <v>7564</v>
      </c>
      <c r="E3704" s="13">
        <v>127000</v>
      </c>
      <c r="F3704" s="14">
        <v>253704</v>
      </c>
    </row>
    <row r="3705" spans="1:6" x14ac:dyDescent="0.3">
      <c r="A3705" s="8">
        <v>3703</v>
      </c>
      <c r="B3705" s="8" t="s">
        <v>6022</v>
      </c>
      <c r="C3705" s="8" t="s">
        <v>7565</v>
      </c>
      <c r="D3705" s="8" t="s">
        <v>7566</v>
      </c>
      <c r="E3705" s="13">
        <v>0</v>
      </c>
      <c r="F3705" s="14">
        <v>0</v>
      </c>
    </row>
    <row r="3706" spans="1:6" x14ac:dyDescent="0.3">
      <c r="A3706" s="8">
        <v>3704</v>
      </c>
      <c r="B3706" s="8" t="s">
        <v>6022</v>
      </c>
      <c r="C3706" s="8" t="s">
        <v>7567</v>
      </c>
      <c r="D3706" s="8" t="s">
        <v>7568</v>
      </c>
      <c r="E3706" s="13">
        <v>0</v>
      </c>
      <c r="F3706" s="14">
        <v>0</v>
      </c>
    </row>
    <row r="3707" spans="1:6" x14ac:dyDescent="0.3">
      <c r="A3707" s="8">
        <v>3705</v>
      </c>
      <c r="B3707" s="8" t="s">
        <v>6022</v>
      </c>
      <c r="C3707" s="8" t="s">
        <v>7569</v>
      </c>
      <c r="D3707" s="8" t="s">
        <v>7570</v>
      </c>
      <c r="E3707" s="13">
        <v>177000</v>
      </c>
      <c r="F3707" s="14">
        <v>353704</v>
      </c>
    </row>
    <row r="3708" spans="1:6" x14ac:dyDescent="0.3">
      <c r="A3708" s="8">
        <v>3706</v>
      </c>
      <c r="B3708" s="8" t="s">
        <v>6022</v>
      </c>
      <c r="C3708" s="8" t="s">
        <v>7571</v>
      </c>
      <c r="D3708" s="8" t="s">
        <v>7572</v>
      </c>
      <c r="E3708" s="13">
        <v>0</v>
      </c>
      <c r="F3708" s="14">
        <v>0</v>
      </c>
    </row>
    <row r="3709" spans="1:6" x14ac:dyDescent="0.3">
      <c r="A3709" s="8">
        <v>3707</v>
      </c>
      <c r="B3709" s="8" t="s">
        <v>6516</v>
      </c>
      <c r="C3709" s="8" t="s">
        <v>7573</v>
      </c>
      <c r="D3709" s="8" t="s">
        <v>7574</v>
      </c>
      <c r="E3709" s="13">
        <v>0</v>
      </c>
      <c r="F3709" s="14">
        <v>0</v>
      </c>
    </row>
    <row r="3710" spans="1:6" x14ac:dyDescent="0.3">
      <c r="A3710" s="8">
        <v>3708</v>
      </c>
      <c r="B3710" s="8" t="s">
        <v>6516</v>
      </c>
      <c r="C3710" s="8" t="s">
        <v>7575</v>
      </c>
      <c r="D3710" s="8" t="s">
        <v>7576</v>
      </c>
      <c r="E3710" s="13">
        <v>1153000</v>
      </c>
      <c r="F3710" s="14">
        <v>2076000</v>
      </c>
    </row>
    <row r="3711" spans="1:6" x14ac:dyDescent="0.3">
      <c r="A3711" s="8">
        <v>3709</v>
      </c>
      <c r="B3711" s="8" t="s">
        <v>6516</v>
      </c>
      <c r="C3711" s="8" t="s">
        <v>7577</v>
      </c>
      <c r="D3711" s="8" t="s">
        <v>7578</v>
      </c>
      <c r="E3711" s="13">
        <v>0</v>
      </c>
      <c r="F3711" s="14">
        <v>1115000</v>
      </c>
    </row>
    <row r="3712" spans="1:6" x14ac:dyDescent="0.3">
      <c r="A3712" s="8">
        <v>3710</v>
      </c>
      <c r="B3712" s="8" t="s">
        <v>6516</v>
      </c>
      <c r="C3712" s="8" t="s">
        <v>7579</v>
      </c>
      <c r="D3712" s="8" t="s">
        <v>7580</v>
      </c>
      <c r="E3712" s="13">
        <v>0</v>
      </c>
      <c r="F3712" s="14">
        <v>1115000</v>
      </c>
    </row>
    <row r="3713" spans="1:6" x14ac:dyDescent="0.3">
      <c r="A3713" s="8">
        <v>3711</v>
      </c>
      <c r="B3713" s="8" t="s">
        <v>6516</v>
      </c>
      <c r="C3713" s="8" t="s">
        <v>7581</v>
      </c>
      <c r="D3713" s="8" t="s">
        <v>7582</v>
      </c>
      <c r="E3713" s="13">
        <v>0</v>
      </c>
      <c r="F3713" s="14">
        <v>0</v>
      </c>
    </row>
    <row r="3714" spans="1:6" x14ac:dyDescent="0.3">
      <c r="A3714" s="8">
        <v>3712</v>
      </c>
      <c r="B3714" s="8" t="s">
        <v>6516</v>
      </c>
      <c r="C3714" s="8" t="s">
        <v>7583</v>
      </c>
      <c r="D3714" s="8" t="s">
        <v>7584</v>
      </c>
      <c r="E3714" s="13">
        <v>0</v>
      </c>
      <c r="F3714" s="14">
        <v>0</v>
      </c>
    </row>
    <row r="3715" spans="1:6" x14ac:dyDescent="0.3">
      <c r="A3715" s="8">
        <v>3713</v>
      </c>
      <c r="B3715" s="8" t="s">
        <v>6516</v>
      </c>
      <c r="C3715" s="8" t="s">
        <v>7585</v>
      </c>
      <c r="D3715" s="8" t="s">
        <v>7586</v>
      </c>
      <c r="E3715" s="13">
        <v>0</v>
      </c>
      <c r="F3715" s="14">
        <v>2415000</v>
      </c>
    </row>
    <row r="3716" spans="1:6" x14ac:dyDescent="0.3">
      <c r="A3716" s="8">
        <v>3714</v>
      </c>
      <c r="B3716" s="8" t="s">
        <v>6516</v>
      </c>
      <c r="C3716" s="8" t="s">
        <v>7587</v>
      </c>
      <c r="D3716" s="8" t="s">
        <v>7588</v>
      </c>
      <c r="E3716" s="13">
        <v>0</v>
      </c>
      <c r="F3716" s="14">
        <v>0</v>
      </c>
    </row>
    <row r="3717" spans="1:6" x14ac:dyDescent="0.3">
      <c r="A3717" s="8">
        <v>3715</v>
      </c>
      <c r="B3717" s="8" t="s">
        <v>6516</v>
      </c>
      <c r="C3717" s="8" t="s">
        <v>7589</v>
      </c>
      <c r="D3717" s="8" t="s">
        <v>7590</v>
      </c>
      <c r="E3717" s="13">
        <v>0</v>
      </c>
      <c r="F3717" s="14">
        <v>0</v>
      </c>
    </row>
    <row r="3718" spans="1:6" x14ac:dyDescent="0.3">
      <c r="A3718" s="8">
        <v>3716</v>
      </c>
      <c r="B3718" s="8" t="s">
        <v>6516</v>
      </c>
      <c r="C3718" s="8" t="s">
        <v>7591</v>
      </c>
      <c r="D3718" s="8" t="s">
        <v>7592</v>
      </c>
      <c r="E3718" s="13">
        <v>0</v>
      </c>
      <c r="F3718" s="14">
        <v>0</v>
      </c>
    </row>
    <row r="3719" spans="1:6" x14ac:dyDescent="0.3">
      <c r="A3719" s="8">
        <v>3717</v>
      </c>
      <c r="B3719" s="8" t="s">
        <v>6516</v>
      </c>
      <c r="C3719" s="8" t="s">
        <v>7593</v>
      </c>
      <c r="D3719" s="8" t="s">
        <v>7594</v>
      </c>
      <c r="E3719" s="13">
        <v>0</v>
      </c>
      <c r="F3719" s="14">
        <v>0</v>
      </c>
    </row>
    <row r="3720" spans="1:6" x14ac:dyDescent="0.3">
      <c r="A3720" s="8">
        <v>3718</v>
      </c>
      <c r="B3720" s="8" t="s">
        <v>6516</v>
      </c>
      <c r="C3720" s="8" t="s">
        <v>7595</v>
      </c>
      <c r="D3720" s="8" t="s">
        <v>7596</v>
      </c>
      <c r="E3720" s="13">
        <v>0</v>
      </c>
      <c r="F3720" s="14">
        <v>0</v>
      </c>
    </row>
    <row r="3721" spans="1:6" x14ac:dyDescent="0.3">
      <c r="A3721" s="8">
        <v>3719</v>
      </c>
      <c r="B3721" s="8" t="s">
        <v>6516</v>
      </c>
      <c r="C3721" s="8" t="s">
        <v>7597</v>
      </c>
      <c r="D3721" s="8" t="s">
        <v>7598</v>
      </c>
      <c r="E3721" s="13">
        <v>481000</v>
      </c>
      <c r="F3721" s="14">
        <v>962037</v>
      </c>
    </row>
    <row r="3722" spans="1:6" x14ac:dyDescent="0.3">
      <c r="A3722" s="8">
        <v>3720</v>
      </c>
      <c r="B3722" s="8" t="s">
        <v>6516</v>
      </c>
      <c r="C3722" s="8" t="s">
        <v>7599</v>
      </c>
      <c r="D3722" s="8" t="s">
        <v>7600</v>
      </c>
      <c r="E3722" s="13">
        <v>0</v>
      </c>
      <c r="F3722" s="14">
        <v>0</v>
      </c>
    </row>
    <row r="3723" spans="1:6" x14ac:dyDescent="0.3">
      <c r="A3723" s="8">
        <v>3721</v>
      </c>
      <c r="B3723" s="8" t="s">
        <v>6029</v>
      </c>
      <c r="C3723" s="8" t="s">
        <v>7601</v>
      </c>
      <c r="D3723" s="8" t="s">
        <v>7602</v>
      </c>
      <c r="E3723" s="13">
        <v>0</v>
      </c>
      <c r="F3723" s="14">
        <v>0</v>
      </c>
    </row>
    <row r="3724" spans="1:6" x14ac:dyDescent="0.3">
      <c r="A3724" s="8">
        <v>3722</v>
      </c>
      <c r="B3724" s="8" t="s">
        <v>6022</v>
      </c>
      <c r="C3724" s="8" t="s">
        <v>7603</v>
      </c>
      <c r="D3724" s="8" t="s">
        <v>7604</v>
      </c>
      <c r="E3724" s="13">
        <v>0</v>
      </c>
      <c r="F3724" s="14">
        <v>0</v>
      </c>
    </row>
    <row r="3725" spans="1:6" x14ac:dyDescent="0.3">
      <c r="A3725" s="8">
        <v>3723</v>
      </c>
      <c r="B3725" s="8" t="s">
        <v>6516</v>
      </c>
      <c r="C3725" s="8" t="s">
        <v>7605</v>
      </c>
      <c r="D3725" s="8" t="s">
        <v>7606</v>
      </c>
      <c r="E3725" s="13">
        <v>1178000</v>
      </c>
      <c r="F3725" s="14">
        <v>2356000</v>
      </c>
    </row>
    <row r="3726" spans="1:6" x14ac:dyDescent="0.3">
      <c r="A3726" s="8">
        <v>3724</v>
      </c>
      <c r="B3726" s="8" t="s">
        <v>6516</v>
      </c>
      <c r="C3726" s="8" t="s">
        <v>7607</v>
      </c>
      <c r="D3726" s="8" t="s">
        <v>7608</v>
      </c>
      <c r="E3726" s="13">
        <v>0</v>
      </c>
      <c r="F3726" s="14">
        <v>0</v>
      </c>
    </row>
    <row r="3727" spans="1:6" x14ac:dyDescent="0.3">
      <c r="A3727" s="8">
        <v>3725</v>
      </c>
      <c r="B3727" s="8" t="s">
        <v>6516</v>
      </c>
      <c r="C3727" s="8" t="s">
        <v>7609</v>
      </c>
      <c r="D3727" s="8" t="s">
        <v>7610</v>
      </c>
      <c r="E3727" s="13">
        <v>0</v>
      </c>
      <c r="F3727" s="14">
        <v>0</v>
      </c>
    </row>
    <row r="3728" spans="1:6" x14ac:dyDescent="0.3">
      <c r="A3728" s="8">
        <v>3726</v>
      </c>
      <c r="B3728" s="8" t="s">
        <v>6516</v>
      </c>
      <c r="C3728" s="8" t="s">
        <v>7611</v>
      </c>
      <c r="D3728" s="8" t="s">
        <v>7612</v>
      </c>
      <c r="E3728" s="13">
        <v>0</v>
      </c>
      <c r="F3728" s="14">
        <v>1213000</v>
      </c>
    </row>
    <row r="3729" spans="1:6" x14ac:dyDescent="0.3">
      <c r="A3729" s="8">
        <v>3727</v>
      </c>
      <c r="B3729" s="8" t="s">
        <v>6516</v>
      </c>
      <c r="C3729" s="8" t="s">
        <v>7613</v>
      </c>
      <c r="D3729" s="8" t="s">
        <v>7614</v>
      </c>
      <c r="E3729" s="13">
        <v>0</v>
      </c>
      <c r="F3729" s="14">
        <v>1213000</v>
      </c>
    </row>
    <row r="3730" spans="1:6" x14ac:dyDescent="0.3">
      <c r="A3730" s="8">
        <v>3728</v>
      </c>
      <c r="B3730" s="8" t="s">
        <v>6516</v>
      </c>
      <c r="C3730" s="8" t="s">
        <v>7615</v>
      </c>
      <c r="D3730" s="8" t="s">
        <v>7616</v>
      </c>
      <c r="E3730" s="13">
        <v>0</v>
      </c>
      <c r="F3730" s="14">
        <v>0</v>
      </c>
    </row>
    <row r="3731" spans="1:6" x14ac:dyDescent="0.3">
      <c r="A3731" s="8">
        <v>3729</v>
      </c>
      <c r="B3731" s="8" t="s">
        <v>6516</v>
      </c>
      <c r="C3731" s="8" t="s">
        <v>7617</v>
      </c>
      <c r="D3731" s="8" t="s">
        <v>7618</v>
      </c>
      <c r="E3731" s="13">
        <v>0</v>
      </c>
      <c r="F3731" s="14">
        <v>2415000</v>
      </c>
    </row>
    <row r="3732" spans="1:6" x14ac:dyDescent="0.3">
      <c r="A3732" s="8">
        <v>3730</v>
      </c>
      <c r="B3732" s="8" t="s">
        <v>6516</v>
      </c>
      <c r="C3732" s="8" t="s">
        <v>7619</v>
      </c>
      <c r="D3732" s="8" t="s">
        <v>7620</v>
      </c>
      <c r="E3732" s="13">
        <v>0</v>
      </c>
      <c r="F3732" s="14">
        <v>0</v>
      </c>
    </row>
    <row r="3733" spans="1:6" x14ac:dyDescent="0.3">
      <c r="A3733" s="8">
        <v>3731</v>
      </c>
      <c r="B3733" s="8" t="s">
        <v>6516</v>
      </c>
      <c r="C3733" s="8" t="s">
        <v>7621</v>
      </c>
      <c r="D3733" s="8" t="s">
        <v>7622</v>
      </c>
      <c r="E3733" s="13">
        <v>537000</v>
      </c>
      <c r="F3733" s="14">
        <v>1074074</v>
      </c>
    </row>
    <row r="3734" spans="1:6" x14ac:dyDescent="0.3">
      <c r="A3734" s="8">
        <v>3732</v>
      </c>
      <c r="B3734" s="8" t="s">
        <v>6516</v>
      </c>
      <c r="C3734" s="8" t="s">
        <v>7623</v>
      </c>
      <c r="D3734" s="8" t="s">
        <v>7624</v>
      </c>
      <c r="E3734" s="13">
        <v>0</v>
      </c>
      <c r="F3734" s="14">
        <v>0</v>
      </c>
    </row>
    <row r="3735" spans="1:6" x14ac:dyDescent="0.3">
      <c r="A3735" s="8">
        <v>3733</v>
      </c>
      <c r="B3735" s="8" t="s">
        <v>6516</v>
      </c>
      <c r="C3735" s="8" t="s">
        <v>7625</v>
      </c>
      <c r="D3735" s="8" t="s">
        <v>7626</v>
      </c>
      <c r="E3735" s="13">
        <v>0</v>
      </c>
      <c r="F3735" s="14">
        <v>1212963</v>
      </c>
    </row>
    <row r="3736" spans="1:6" x14ac:dyDescent="0.3">
      <c r="A3736" s="8">
        <v>3734</v>
      </c>
      <c r="B3736" s="8" t="s">
        <v>6516</v>
      </c>
      <c r="C3736" s="8" t="s">
        <v>7627</v>
      </c>
      <c r="D3736" s="8" t="s">
        <v>7628</v>
      </c>
      <c r="E3736" s="13">
        <v>0</v>
      </c>
      <c r="F3736" s="14">
        <v>0</v>
      </c>
    </row>
    <row r="3737" spans="1:6" x14ac:dyDescent="0.3">
      <c r="A3737" s="8">
        <v>3735</v>
      </c>
      <c r="B3737" s="8" t="s">
        <v>6516</v>
      </c>
      <c r="C3737" s="8" t="s">
        <v>7629</v>
      </c>
      <c r="D3737" s="8" t="s">
        <v>7630</v>
      </c>
      <c r="E3737" s="13">
        <v>0</v>
      </c>
      <c r="F3737" s="14">
        <v>1733333</v>
      </c>
    </row>
    <row r="3738" spans="1:6" x14ac:dyDescent="0.3">
      <c r="A3738" s="8">
        <v>3736</v>
      </c>
      <c r="B3738" s="8" t="s">
        <v>6516</v>
      </c>
      <c r="C3738" s="8" t="s">
        <v>7631</v>
      </c>
      <c r="D3738" s="8" t="s">
        <v>7632</v>
      </c>
      <c r="E3738" s="13">
        <v>0</v>
      </c>
      <c r="F3738" s="14">
        <v>0</v>
      </c>
    </row>
    <row r="3739" spans="1:6" x14ac:dyDescent="0.3">
      <c r="A3739" s="8">
        <v>3737</v>
      </c>
      <c r="B3739" s="8" t="s">
        <v>6516</v>
      </c>
      <c r="C3739" s="8" t="s">
        <v>7633</v>
      </c>
      <c r="D3739" s="8" t="s">
        <v>7634</v>
      </c>
      <c r="E3739" s="13">
        <v>0</v>
      </c>
      <c r="F3739" s="14">
        <v>0</v>
      </c>
    </row>
    <row r="3740" spans="1:6" x14ac:dyDescent="0.3">
      <c r="A3740" s="8">
        <v>3738</v>
      </c>
      <c r="B3740" s="8" t="s">
        <v>6516</v>
      </c>
      <c r="C3740" s="8" t="s">
        <v>7635</v>
      </c>
      <c r="D3740" s="8" t="s">
        <v>7636</v>
      </c>
      <c r="E3740" s="13">
        <v>0</v>
      </c>
      <c r="F3740" s="14">
        <v>0</v>
      </c>
    </row>
    <row r="3741" spans="1:6" x14ac:dyDescent="0.3">
      <c r="A3741" s="8">
        <v>3739</v>
      </c>
      <c r="B3741" s="8" t="s">
        <v>6516</v>
      </c>
      <c r="C3741" s="8" t="s">
        <v>7637</v>
      </c>
      <c r="D3741" s="8" t="s">
        <v>7638</v>
      </c>
      <c r="E3741" s="13">
        <v>481000</v>
      </c>
      <c r="F3741" s="14">
        <v>962037</v>
      </c>
    </row>
    <row r="3742" spans="1:6" x14ac:dyDescent="0.3">
      <c r="A3742" s="8">
        <v>3740</v>
      </c>
      <c r="B3742" s="8" t="s">
        <v>6516</v>
      </c>
      <c r="C3742" s="8" t="s">
        <v>7639</v>
      </c>
      <c r="D3742" s="8" t="s">
        <v>7640</v>
      </c>
      <c r="E3742" s="13">
        <v>0</v>
      </c>
      <c r="F3742" s="14">
        <v>0</v>
      </c>
    </row>
    <row r="3743" spans="1:6" x14ac:dyDescent="0.3">
      <c r="A3743" s="8">
        <v>3741</v>
      </c>
      <c r="B3743" s="8" t="s">
        <v>6516</v>
      </c>
      <c r="C3743" s="8" t="s">
        <v>7641</v>
      </c>
      <c r="D3743" s="8" t="s">
        <v>7642</v>
      </c>
      <c r="E3743" s="13">
        <v>0</v>
      </c>
      <c r="F3743" s="14">
        <v>0</v>
      </c>
    </row>
    <row r="3744" spans="1:6" x14ac:dyDescent="0.3">
      <c r="A3744" s="8">
        <v>3742</v>
      </c>
      <c r="B3744" s="8" t="s">
        <v>6516</v>
      </c>
      <c r="C3744" s="8" t="s">
        <v>7643</v>
      </c>
      <c r="D3744" s="8" t="s">
        <v>7644</v>
      </c>
      <c r="E3744" s="13">
        <v>0</v>
      </c>
      <c r="F3744" s="14">
        <v>0</v>
      </c>
    </row>
    <row r="3745" spans="1:6" x14ac:dyDescent="0.3">
      <c r="A3745" s="8">
        <v>3743</v>
      </c>
      <c r="B3745" s="8" t="s">
        <v>6516</v>
      </c>
      <c r="C3745" s="8" t="s">
        <v>7645</v>
      </c>
      <c r="D3745" s="8" t="s">
        <v>7646</v>
      </c>
      <c r="E3745" s="13">
        <v>0</v>
      </c>
      <c r="F3745" s="14">
        <v>0</v>
      </c>
    </row>
    <row r="3746" spans="1:6" x14ac:dyDescent="0.3">
      <c r="A3746" s="8">
        <v>3744</v>
      </c>
      <c r="B3746" s="8" t="s">
        <v>6516</v>
      </c>
      <c r="C3746" s="8" t="s">
        <v>7647</v>
      </c>
      <c r="D3746" s="8" t="s">
        <v>7648</v>
      </c>
      <c r="E3746" s="13">
        <v>0</v>
      </c>
      <c r="F3746" s="14">
        <v>0</v>
      </c>
    </row>
    <row r="3747" spans="1:6" x14ac:dyDescent="0.3">
      <c r="A3747" s="8">
        <v>3745</v>
      </c>
      <c r="B3747" s="8" t="s">
        <v>6516</v>
      </c>
      <c r="C3747" s="8" t="s">
        <v>7649</v>
      </c>
      <c r="D3747" s="8" t="s">
        <v>7650</v>
      </c>
      <c r="E3747" s="13">
        <v>0</v>
      </c>
      <c r="F3747" s="14">
        <v>0</v>
      </c>
    </row>
    <row r="3748" spans="1:6" x14ac:dyDescent="0.3">
      <c r="A3748" s="8">
        <v>3746</v>
      </c>
      <c r="B3748" s="8" t="s">
        <v>7355</v>
      </c>
      <c r="C3748" s="8" t="s">
        <v>7651</v>
      </c>
      <c r="D3748" s="8" t="s">
        <v>7652</v>
      </c>
      <c r="E3748" s="13">
        <v>0</v>
      </c>
      <c r="F3748" s="14">
        <v>0</v>
      </c>
    </row>
    <row r="3749" spans="1:6" x14ac:dyDescent="0.3">
      <c r="A3749" s="8">
        <v>3747</v>
      </c>
      <c r="B3749" s="8" t="s">
        <v>7355</v>
      </c>
      <c r="C3749" s="8" t="s">
        <v>7653</v>
      </c>
      <c r="D3749" s="8" t="s">
        <v>7654</v>
      </c>
      <c r="E3749" s="13">
        <v>126000</v>
      </c>
      <c r="F3749" s="14">
        <v>252000</v>
      </c>
    </row>
    <row r="3750" spans="1:6" x14ac:dyDescent="0.3">
      <c r="A3750" s="8">
        <v>3748</v>
      </c>
      <c r="B3750" s="8" t="s">
        <v>7355</v>
      </c>
      <c r="C3750" s="8" t="s">
        <v>7655</v>
      </c>
      <c r="D3750" s="8" t="s">
        <v>7656</v>
      </c>
      <c r="E3750" s="13">
        <v>0</v>
      </c>
      <c r="F3750" s="14">
        <v>0</v>
      </c>
    </row>
    <row r="3751" spans="1:6" x14ac:dyDescent="0.3">
      <c r="A3751" s="8">
        <v>3749</v>
      </c>
      <c r="B3751" s="8" t="s">
        <v>7355</v>
      </c>
      <c r="C3751" s="8" t="s">
        <v>7657</v>
      </c>
      <c r="D3751" s="8" t="s">
        <v>7658</v>
      </c>
      <c r="E3751" s="13">
        <v>0</v>
      </c>
      <c r="F3751" s="14">
        <v>0</v>
      </c>
    </row>
    <row r="3752" spans="1:6" x14ac:dyDescent="0.3">
      <c r="A3752" s="8">
        <v>3750</v>
      </c>
      <c r="B3752" s="8" t="s">
        <v>7355</v>
      </c>
      <c r="C3752" s="8" t="s">
        <v>7659</v>
      </c>
      <c r="D3752" s="8" t="s">
        <v>7660</v>
      </c>
      <c r="E3752" s="13">
        <v>87000</v>
      </c>
      <c r="F3752" s="14">
        <v>174074</v>
      </c>
    </row>
    <row r="3753" spans="1:6" x14ac:dyDescent="0.3">
      <c r="A3753" s="8">
        <v>3751</v>
      </c>
      <c r="B3753" s="8" t="s">
        <v>7368</v>
      </c>
      <c r="C3753" s="8" t="s">
        <v>7661</v>
      </c>
      <c r="D3753" s="8" t="s">
        <v>7662</v>
      </c>
      <c r="E3753" s="13">
        <v>80300</v>
      </c>
      <c r="F3753" s="14">
        <v>160000</v>
      </c>
    </row>
    <row r="3754" spans="1:6" x14ac:dyDescent="0.3">
      <c r="A3754" s="8">
        <v>3752</v>
      </c>
      <c r="B3754" s="8" t="s">
        <v>7368</v>
      </c>
      <c r="C3754" s="8" t="s">
        <v>7663</v>
      </c>
      <c r="D3754" s="8" t="s">
        <v>7664</v>
      </c>
      <c r="E3754" s="13">
        <v>90500</v>
      </c>
      <c r="F3754" s="14">
        <v>181000</v>
      </c>
    </row>
    <row r="3755" spans="1:6" x14ac:dyDescent="0.3">
      <c r="A3755" s="8">
        <v>3753</v>
      </c>
      <c r="B3755" s="8" t="s">
        <v>7368</v>
      </c>
      <c r="C3755" s="8" t="s">
        <v>7665</v>
      </c>
      <c r="D3755" s="8" t="s">
        <v>7666</v>
      </c>
      <c r="E3755" s="13">
        <v>0</v>
      </c>
      <c r="F3755" s="14">
        <v>0</v>
      </c>
    </row>
    <row r="3756" spans="1:6" x14ac:dyDescent="0.3">
      <c r="A3756" s="8">
        <v>3754</v>
      </c>
      <c r="B3756" s="8" t="s">
        <v>7368</v>
      </c>
      <c r="C3756" s="8" t="s">
        <v>7667</v>
      </c>
      <c r="D3756" s="8" t="s">
        <v>7668</v>
      </c>
      <c r="E3756" s="13">
        <v>0</v>
      </c>
      <c r="F3756" s="14">
        <v>0</v>
      </c>
    </row>
    <row r="3757" spans="1:6" x14ac:dyDescent="0.3">
      <c r="A3757" s="8">
        <v>3755</v>
      </c>
      <c r="B3757" s="8" t="s">
        <v>7368</v>
      </c>
      <c r="C3757" s="8" t="s">
        <v>7669</v>
      </c>
      <c r="D3757" s="8" t="s">
        <v>7670</v>
      </c>
      <c r="E3757" s="13">
        <v>0</v>
      </c>
      <c r="F3757" s="14">
        <v>204000</v>
      </c>
    </row>
    <row r="3758" spans="1:6" x14ac:dyDescent="0.3">
      <c r="A3758" s="8">
        <v>3756</v>
      </c>
      <c r="B3758" s="8" t="s">
        <v>7368</v>
      </c>
      <c r="C3758" s="8" t="s">
        <v>7671</v>
      </c>
      <c r="D3758" s="8" t="s">
        <v>7672</v>
      </c>
      <c r="E3758" s="13">
        <v>0</v>
      </c>
      <c r="F3758" s="14">
        <v>0</v>
      </c>
    </row>
    <row r="3759" spans="1:6" x14ac:dyDescent="0.3">
      <c r="A3759" s="8">
        <v>3757</v>
      </c>
      <c r="B3759" s="8" t="s">
        <v>7368</v>
      </c>
      <c r="C3759" s="8" t="s">
        <v>7673</v>
      </c>
      <c r="D3759" s="8" t="s">
        <v>7674</v>
      </c>
      <c r="E3759" s="13">
        <v>0</v>
      </c>
      <c r="F3759" s="14">
        <v>0</v>
      </c>
    </row>
    <row r="3760" spans="1:6" x14ac:dyDescent="0.3">
      <c r="A3760" s="8">
        <v>3758</v>
      </c>
      <c r="B3760" s="8" t="s">
        <v>7368</v>
      </c>
      <c r="C3760" s="8" t="s">
        <v>7675</v>
      </c>
      <c r="D3760" s="8" t="s">
        <v>7676</v>
      </c>
      <c r="E3760" s="13">
        <v>105000</v>
      </c>
      <c r="F3760" s="14">
        <v>210185</v>
      </c>
    </row>
    <row r="3761" spans="1:6" x14ac:dyDescent="0.3">
      <c r="A3761" s="8">
        <v>3759</v>
      </c>
      <c r="B3761" s="8" t="s">
        <v>7368</v>
      </c>
      <c r="C3761" s="8" t="s">
        <v>7677</v>
      </c>
      <c r="D3761" s="8" t="s">
        <v>7678</v>
      </c>
      <c r="E3761" s="13">
        <v>0</v>
      </c>
      <c r="F3761" s="14">
        <v>0</v>
      </c>
    </row>
    <row r="3762" spans="1:6" x14ac:dyDescent="0.3">
      <c r="A3762" s="8">
        <v>3760</v>
      </c>
      <c r="B3762" s="8" t="s">
        <v>7368</v>
      </c>
      <c r="C3762" s="8" t="s">
        <v>7679</v>
      </c>
      <c r="D3762" s="8" t="s">
        <v>7680</v>
      </c>
      <c r="E3762" s="13">
        <v>35400</v>
      </c>
      <c r="F3762" s="14">
        <v>70833</v>
      </c>
    </row>
    <row r="3763" spans="1:6" x14ac:dyDescent="0.3">
      <c r="A3763" s="8">
        <v>3761</v>
      </c>
      <c r="B3763" s="8" t="s">
        <v>7681</v>
      </c>
      <c r="C3763" s="8" t="s">
        <v>7682</v>
      </c>
      <c r="D3763" s="8" t="s">
        <v>7683</v>
      </c>
      <c r="E3763" s="13">
        <v>33000</v>
      </c>
      <c r="F3763" s="14">
        <v>66000</v>
      </c>
    </row>
    <row r="3764" spans="1:6" x14ac:dyDescent="0.3">
      <c r="A3764" s="8">
        <v>3762</v>
      </c>
      <c r="B3764" s="8" t="s">
        <v>7681</v>
      </c>
      <c r="C3764" s="8" t="s">
        <v>7684</v>
      </c>
      <c r="D3764" s="8" t="s">
        <v>7685</v>
      </c>
      <c r="E3764" s="13">
        <v>583000</v>
      </c>
      <c r="F3764" s="14">
        <v>1166000</v>
      </c>
    </row>
    <row r="3765" spans="1:6" x14ac:dyDescent="0.3">
      <c r="A3765" s="8">
        <v>3763</v>
      </c>
      <c r="B3765" s="8" t="s">
        <v>7681</v>
      </c>
      <c r="C3765" s="8" t="s">
        <v>7686</v>
      </c>
      <c r="D3765" s="8" t="s">
        <v>7687</v>
      </c>
      <c r="E3765" s="13">
        <v>0</v>
      </c>
      <c r="F3765" s="14">
        <v>0</v>
      </c>
    </row>
    <row r="3766" spans="1:6" x14ac:dyDescent="0.3">
      <c r="A3766" s="8">
        <v>3764</v>
      </c>
      <c r="B3766" s="8" t="s">
        <v>7681</v>
      </c>
      <c r="C3766" s="8" t="s">
        <v>7688</v>
      </c>
      <c r="D3766" s="8" t="s">
        <v>7689</v>
      </c>
      <c r="E3766" s="13">
        <v>78000</v>
      </c>
      <c r="F3766" s="14">
        <v>156000</v>
      </c>
    </row>
    <row r="3767" spans="1:6" x14ac:dyDescent="0.3">
      <c r="A3767" s="8">
        <v>3765</v>
      </c>
      <c r="B3767" s="8" t="s">
        <v>7681</v>
      </c>
      <c r="C3767" s="8" t="s">
        <v>7690</v>
      </c>
      <c r="D3767" s="8" t="s">
        <v>7691</v>
      </c>
      <c r="E3767" s="13">
        <v>64600</v>
      </c>
      <c r="F3767" s="14">
        <v>129000</v>
      </c>
    </row>
    <row r="3768" spans="1:6" x14ac:dyDescent="0.3">
      <c r="A3768" s="8">
        <v>3766</v>
      </c>
      <c r="B3768" s="8" t="s">
        <v>7681</v>
      </c>
      <c r="C3768" s="8" t="s">
        <v>7692</v>
      </c>
      <c r="D3768" s="8" t="s">
        <v>7693</v>
      </c>
      <c r="E3768" s="13">
        <v>0</v>
      </c>
      <c r="F3768" s="14">
        <v>0</v>
      </c>
    </row>
    <row r="3769" spans="1:6" x14ac:dyDescent="0.3">
      <c r="A3769" s="8">
        <v>3767</v>
      </c>
      <c r="B3769" s="8" t="s">
        <v>7694</v>
      </c>
      <c r="C3769" s="8" t="s">
        <v>7695</v>
      </c>
      <c r="D3769" s="8" t="s">
        <v>7696</v>
      </c>
      <c r="E3769" s="13">
        <v>0</v>
      </c>
      <c r="F3769" s="14">
        <v>0</v>
      </c>
    </row>
    <row r="3770" spans="1:6" x14ac:dyDescent="0.3">
      <c r="A3770" s="8">
        <v>3768</v>
      </c>
      <c r="B3770" s="8" t="s">
        <v>7694</v>
      </c>
      <c r="C3770" s="8" t="s">
        <v>7697</v>
      </c>
      <c r="D3770" s="8" t="s">
        <v>7698</v>
      </c>
      <c r="E3770" s="13">
        <v>226800</v>
      </c>
      <c r="F3770" s="14">
        <v>504000</v>
      </c>
    </row>
    <row r="3771" spans="1:6" x14ac:dyDescent="0.3">
      <c r="A3771" s="8">
        <v>3769</v>
      </c>
      <c r="B3771" s="8" t="s">
        <v>4148</v>
      </c>
      <c r="C3771" s="8" t="s">
        <v>7699</v>
      </c>
      <c r="D3771" s="8" t="s">
        <v>7700</v>
      </c>
      <c r="E3771" s="13">
        <v>83800</v>
      </c>
      <c r="F3771" s="14">
        <v>167593</v>
      </c>
    </row>
    <row r="3772" spans="1:6" x14ac:dyDescent="0.3">
      <c r="A3772" s="8">
        <v>3770</v>
      </c>
      <c r="B3772" s="8" t="s">
        <v>4148</v>
      </c>
      <c r="C3772" s="8" t="s">
        <v>7701</v>
      </c>
      <c r="D3772" s="8" t="s">
        <v>7702</v>
      </c>
      <c r="E3772" s="13">
        <v>0</v>
      </c>
      <c r="F3772" s="14">
        <v>0</v>
      </c>
    </row>
    <row r="3773" spans="1:6" x14ac:dyDescent="0.3">
      <c r="A3773" s="8">
        <v>3771</v>
      </c>
      <c r="B3773" s="8" t="s">
        <v>4148</v>
      </c>
      <c r="C3773" s="8" t="s">
        <v>7703</v>
      </c>
      <c r="D3773" s="8" t="s">
        <v>7704</v>
      </c>
      <c r="E3773" s="13">
        <v>81200</v>
      </c>
      <c r="F3773" s="14">
        <v>162037</v>
      </c>
    </row>
    <row r="3774" spans="1:6" x14ac:dyDescent="0.3">
      <c r="A3774" s="8">
        <v>3772</v>
      </c>
      <c r="B3774" s="8" t="s">
        <v>4148</v>
      </c>
      <c r="C3774" s="8" t="s">
        <v>7705</v>
      </c>
      <c r="D3774" s="8" t="s">
        <v>7706</v>
      </c>
      <c r="E3774" s="13">
        <v>57400</v>
      </c>
      <c r="F3774" s="14">
        <v>114815</v>
      </c>
    </row>
    <row r="3775" spans="1:6" x14ac:dyDescent="0.3">
      <c r="A3775" s="8">
        <v>3773</v>
      </c>
      <c r="B3775" s="8" t="s">
        <v>4148</v>
      </c>
      <c r="C3775" s="8" t="s">
        <v>7707</v>
      </c>
      <c r="D3775" s="8" t="s">
        <v>7708</v>
      </c>
      <c r="E3775" s="13">
        <v>94600</v>
      </c>
      <c r="F3775" s="14">
        <v>188889</v>
      </c>
    </row>
    <row r="3776" spans="1:6" x14ac:dyDescent="0.3">
      <c r="A3776" s="8">
        <v>3774</v>
      </c>
      <c r="B3776" s="8" t="s">
        <v>4148</v>
      </c>
      <c r="C3776" s="8" t="s">
        <v>7709</v>
      </c>
      <c r="D3776" s="8" t="s">
        <v>7710</v>
      </c>
      <c r="E3776" s="13">
        <v>70100</v>
      </c>
      <c r="F3776" s="14">
        <v>139815</v>
      </c>
    </row>
    <row r="3777" spans="1:6" x14ac:dyDescent="0.3">
      <c r="A3777" s="8">
        <v>3775</v>
      </c>
      <c r="B3777" s="8" t="s">
        <v>4148</v>
      </c>
      <c r="C3777" s="8" t="s">
        <v>7711</v>
      </c>
      <c r="D3777" s="8" t="s">
        <v>7712</v>
      </c>
      <c r="E3777" s="13">
        <v>87700</v>
      </c>
      <c r="F3777" s="14">
        <v>197222</v>
      </c>
    </row>
    <row r="3778" spans="1:6" x14ac:dyDescent="0.3">
      <c r="A3778" s="8">
        <v>3776</v>
      </c>
      <c r="B3778" s="8" t="s">
        <v>4148</v>
      </c>
      <c r="C3778" s="8" t="s">
        <v>7713</v>
      </c>
      <c r="D3778" s="8" t="s">
        <v>7714</v>
      </c>
      <c r="E3778" s="13">
        <v>0</v>
      </c>
      <c r="F3778" s="14">
        <v>331000</v>
      </c>
    </row>
    <row r="3779" spans="1:6" x14ac:dyDescent="0.3">
      <c r="A3779" s="8">
        <v>3777</v>
      </c>
      <c r="B3779" s="8" t="s">
        <v>4148</v>
      </c>
      <c r="C3779" s="8" t="s">
        <v>7715</v>
      </c>
      <c r="D3779" s="8" t="s">
        <v>7716</v>
      </c>
      <c r="E3779" s="13">
        <v>54400</v>
      </c>
      <c r="F3779" s="14">
        <v>122222</v>
      </c>
    </row>
    <row r="3780" spans="1:6" x14ac:dyDescent="0.3">
      <c r="A3780" s="8">
        <v>3778</v>
      </c>
      <c r="B3780" s="8" t="s">
        <v>4148</v>
      </c>
      <c r="C3780" s="8" t="s">
        <v>7717</v>
      </c>
      <c r="D3780" s="8" t="s">
        <v>7718</v>
      </c>
      <c r="E3780" s="13">
        <v>132000</v>
      </c>
      <c r="F3780" s="14">
        <v>210000</v>
      </c>
    </row>
    <row r="3781" spans="1:6" x14ac:dyDescent="0.3">
      <c r="A3781" s="8">
        <v>3779</v>
      </c>
      <c r="B3781" s="8" t="s">
        <v>4148</v>
      </c>
      <c r="C3781" s="8" t="s">
        <v>7719</v>
      </c>
      <c r="D3781" s="8" t="s">
        <v>7720</v>
      </c>
      <c r="E3781" s="13">
        <v>0</v>
      </c>
      <c r="F3781" s="14">
        <v>0</v>
      </c>
    </row>
    <row r="3782" spans="1:6" x14ac:dyDescent="0.3">
      <c r="A3782" s="8">
        <v>3780</v>
      </c>
      <c r="B3782" s="8" t="s">
        <v>4148</v>
      </c>
      <c r="C3782" s="8" t="s">
        <v>7721</v>
      </c>
      <c r="D3782" s="8" t="s">
        <v>7722</v>
      </c>
      <c r="E3782" s="13">
        <v>97200</v>
      </c>
      <c r="F3782" s="14">
        <v>194444</v>
      </c>
    </row>
    <row r="3783" spans="1:6" x14ac:dyDescent="0.3">
      <c r="A3783" s="8">
        <v>3781</v>
      </c>
      <c r="B3783" s="8" t="s">
        <v>4148</v>
      </c>
      <c r="C3783" s="8" t="s">
        <v>7723</v>
      </c>
      <c r="D3783" s="8" t="s">
        <v>7724</v>
      </c>
      <c r="E3783" s="13">
        <v>148200</v>
      </c>
      <c r="F3783" s="14">
        <v>296296</v>
      </c>
    </row>
    <row r="3784" spans="1:6" x14ac:dyDescent="0.3">
      <c r="A3784" s="8">
        <v>3782</v>
      </c>
      <c r="B3784" s="8" t="s">
        <v>4148</v>
      </c>
      <c r="C3784" s="8" t="s">
        <v>7725</v>
      </c>
      <c r="D3784" s="8" t="s">
        <v>7726</v>
      </c>
      <c r="E3784" s="13">
        <v>0</v>
      </c>
      <c r="F3784" s="14">
        <v>0</v>
      </c>
    </row>
    <row r="3785" spans="1:6" x14ac:dyDescent="0.3">
      <c r="A3785" s="8">
        <v>3783</v>
      </c>
      <c r="B3785" s="8" t="s">
        <v>4148</v>
      </c>
      <c r="C3785" s="8" t="s">
        <v>7727</v>
      </c>
      <c r="D3785" s="8" t="s">
        <v>7728</v>
      </c>
      <c r="E3785" s="13">
        <v>0</v>
      </c>
      <c r="F3785" s="14">
        <v>0</v>
      </c>
    </row>
    <row r="3786" spans="1:6" x14ac:dyDescent="0.3">
      <c r="A3786" s="8">
        <v>3784</v>
      </c>
      <c r="B3786" s="8" t="s">
        <v>4148</v>
      </c>
      <c r="C3786" s="8" t="s">
        <v>7729</v>
      </c>
      <c r="D3786" s="8" t="s">
        <v>7730</v>
      </c>
      <c r="E3786" s="13">
        <v>0</v>
      </c>
      <c r="F3786" s="14">
        <v>0</v>
      </c>
    </row>
    <row r="3787" spans="1:6" x14ac:dyDescent="0.3">
      <c r="A3787" s="8">
        <v>3785</v>
      </c>
      <c r="B3787" s="8" t="s">
        <v>4148</v>
      </c>
      <c r="C3787" s="8" t="s">
        <v>7731</v>
      </c>
      <c r="D3787" s="8" t="s">
        <v>7732</v>
      </c>
      <c r="E3787" s="13">
        <v>0</v>
      </c>
      <c r="F3787" s="14">
        <v>0</v>
      </c>
    </row>
    <row r="3788" spans="1:6" x14ac:dyDescent="0.3">
      <c r="A3788" s="8">
        <v>3786</v>
      </c>
      <c r="B3788" s="8" t="s">
        <v>4148</v>
      </c>
      <c r="C3788" s="8" t="s">
        <v>7733</v>
      </c>
      <c r="D3788" s="8" t="s">
        <v>7734</v>
      </c>
      <c r="E3788" s="13">
        <v>0</v>
      </c>
      <c r="F3788" s="14">
        <v>0</v>
      </c>
    </row>
    <row r="3789" spans="1:6" x14ac:dyDescent="0.3">
      <c r="A3789" s="8">
        <v>3787</v>
      </c>
      <c r="B3789" s="8" t="s">
        <v>4148</v>
      </c>
      <c r="C3789" s="8" t="s">
        <v>7735</v>
      </c>
      <c r="D3789" s="8" t="s">
        <v>7736</v>
      </c>
      <c r="E3789" s="13">
        <v>0</v>
      </c>
      <c r="F3789" s="14">
        <v>0</v>
      </c>
    </row>
    <row r="3790" spans="1:6" x14ac:dyDescent="0.3">
      <c r="A3790" s="8">
        <v>3788</v>
      </c>
      <c r="B3790" s="8" t="s">
        <v>4148</v>
      </c>
      <c r="C3790" s="8" t="s">
        <v>7737</v>
      </c>
      <c r="D3790" s="8" t="s">
        <v>7738</v>
      </c>
      <c r="E3790" s="13">
        <v>136000</v>
      </c>
      <c r="F3790" s="14">
        <v>272222</v>
      </c>
    </row>
    <row r="3791" spans="1:6" x14ac:dyDescent="0.3">
      <c r="A3791" s="8">
        <v>3789</v>
      </c>
      <c r="B3791" s="8" t="s">
        <v>4148</v>
      </c>
      <c r="C3791" s="8" t="s">
        <v>7739</v>
      </c>
      <c r="D3791" s="8" t="s">
        <v>7740</v>
      </c>
      <c r="E3791" s="13">
        <v>0</v>
      </c>
      <c r="F3791" s="14">
        <v>0</v>
      </c>
    </row>
    <row r="3792" spans="1:6" x14ac:dyDescent="0.3">
      <c r="A3792" s="8">
        <v>3790</v>
      </c>
      <c r="B3792" s="8" t="s">
        <v>4148</v>
      </c>
      <c r="C3792" s="8" t="s">
        <v>7741</v>
      </c>
      <c r="D3792" s="8" t="s">
        <v>7742</v>
      </c>
      <c r="E3792" s="13">
        <v>0</v>
      </c>
      <c r="F3792" s="14">
        <v>0</v>
      </c>
    </row>
    <row r="3793" spans="1:6" x14ac:dyDescent="0.3">
      <c r="A3793" s="8">
        <v>3791</v>
      </c>
      <c r="B3793" s="8" t="s">
        <v>4148</v>
      </c>
      <c r="C3793" s="8" t="s">
        <v>7743</v>
      </c>
      <c r="D3793" s="8" t="s">
        <v>7744</v>
      </c>
      <c r="E3793" s="13">
        <v>0</v>
      </c>
      <c r="F3793" s="14">
        <v>0</v>
      </c>
    </row>
    <row r="3794" spans="1:6" x14ac:dyDescent="0.3">
      <c r="A3794" s="8">
        <v>3792</v>
      </c>
      <c r="B3794" s="8" t="s">
        <v>6029</v>
      </c>
      <c r="C3794" s="8" t="s">
        <v>7745</v>
      </c>
      <c r="D3794" s="8" t="s">
        <v>7746</v>
      </c>
      <c r="E3794" s="13">
        <v>172000</v>
      </c>
      <c r="F3794" s="14">
        <v>344444</v>
      </c>
    </row>
    <row r="3795" spans="1:6" x14ac:dyDescent="0.3">
      <c r="A3795" s="8">
        <v>3793</v>
      </c>
      <c r="B3795" s="8" t="s">
        <v>6029</v>
      </c>
      <c r="C3795" s="8" t="s">
        <v>7747</v>
      </c>
      <c r="D3795" s="8" t="s">
        <v>7748</v>
      </c>
      <c r="E3795" s="13">
        <v>172000</v>
      </c>
      <c r="F3795" s="14">
        <v>344444</v>
      </c>
    </row>
    <row r="3796" spans="1:6" x14ac:dyDescent="0.3">
      <c r="A3796" s="8">
        <v>3794</v>
      </c>
      <c r="B3796" s="8" t="s">
        <v>6029</v>
      </c>
      <c r="C3796" s="8" t="s">
        <v>7749</v>
      </c>
      <c r="D3796" s="8" t="s">
        <v>7750</v>
      </c>
      <c r="E3796" s="13">
        <v>0</v>
      </c>
      <c r="F3796" s="14">
        <v>0</v>
      </c>
    </row>
    <row r="3797" spans="1:6" x14ac:dyDescent="0.3">
      <c r="A3797" s="8">
        <v>3795</v>
      </c>
      <c r="B3797" s="8" t="s">
        <v>6022</v>
      </c>
      <c r="C3797" s="8" t="s">
        <v>7751</v>
      </c>
      <c r="D3797" s="8" t="s">
        <v>7752</v>
      </c>
      <c r="E3797" s="13">
        <v>0</v>
      </c>
      <c r="F3797" s="14">
        <v>0</v>
      </c>
    </row>
    <row r="3798" spans="1:6" x14ac:dyDescent="0.3">
      <c r="A3798" s="8">
        <v>3796</v>
      </c>
      <c r="B3798" s="8" t="s">
        <v>6029</v>
      </c>
      <c r="C3798" s="8" t="s">
        <v>7753</v>
      </c>
      <c r="D3798" s="8" t="s">
        <v>7754</v>
      </c>
      <c r="E3798" s="13">
        <v>0</v>
      </c>
      <c r="F3798" s="14">
        <v>0</v>
      </c>
    </row>
    <row r="3799" spans="1:6" x14ac:dyDescent="0.3">
      <c r="A3799" s="8">
        <v>3797</v>
      </c>
      <c r="B3799" s="8" t="s">
        <v>6022</v>
      </c>
      <c r="C3799" s="8" t="s">
        <v>7755</v>
      </c>
      <c r="D3799" s="8" t="s">
        <v>7756</v>
      </c>
      <c r="E3799" s="13">
        <v>0</v>
      </c>
      <c r="F3799" s="14">
        <v>0</v>
      </c>
    </row>
    <row r="3800" spans="1:6" x14ac:dyDescent="0.3">
      <c r="A3800" s="8">
        <v>3798</v>
      </c>
      <c r="B3800" s="8" t="s">
        <v>6516</v>
      </c>
      <c r="C3800" s="8" t="s">
        <v>7757</v>
      </c>
      <c r="D3800" s="8" t="s">
        <v>7758</v>
      </c>
      <c r="E3800" s="13">
        <v>724500</v>
      </c>
      <c r="F3800" s="14">
        <v>1952000</v>
      </c>
    </row>
    <row r="3801" spans="1:6" x14ac:dyDescent="0.3">
      <c r="A3801" s="8">
        <v>3799</v>
      </c>
      <c r="B3801" s="8" t="s">
        <v>6516</v>
      </c>
      <c r="C3801" s="8" t="s">
        <v>7759</v>
      </c>
      <c r="D3801" s="8" t="s">
        <v>7760</v>
      </c>
      <c r="E3801" s="13">
        <v>0</v>
      </c>
      <c r="F3801" s="14">
        <v>2040000</v>
      </c>
    </row>
    <row r="3802" spans="1:6" x14ac:dyDescent="0.3">
      <c r="A3802" s="8">
        <v>3800</v>
      </c>
      <c r="B3802" s="8" t="s">
        <v>6516</v>
      </c>
      <c r="C3802" s="8" t="s">
        <v>7761</v>
      </c>
      <c r="D3802" s="8" t="s">
        <v>7762</v>
      </c>
      <c r="E3802" s="13">
        <v>0</v>
      </c>
      <c r="F3802" s="14">
        <v>1640000</v>
      </c>
    </row>
    <row r="3803" spans="1:6" x14ac:dyDescent="0.3">
      <c r="A3803" s="8">
        <v>3801</v>
      </c>
      <c r="B3803" s="8" t="s">
        <v>6516</v>
      </c>
      <c r="C3803" s="8" t="s">
        <v>7763</v>
      </c>
      <c r="D3803" s="8" t="s">
        <v>7764</v>
      </c>
      <c r="E3803" s="13">
        <v>1153000</v>
      </c>
      <c r="F3803" s="14">
        <v>2076000</v>
      </c>
    </row>
    <row r="3804" spans="1:6" x14ac:dyDescent="0.3">
      <c r="A3804" s="8">
        <v>3802</v>
      </c>
      <c r="B3804" s="8" t="s">
        <v>6516</v>
      </c>
      <c r="C3804" s="8" t="s">
        <v>7765</v>
      </c>
      <c r="D3804" s="8" t="s">
        <v>7766</v>
      </c>
      <c r="E3804" s="13">
        <v>0</v>
      </c>
      <c r="F3804" s="14">
        <v>1115000</v>
      </c>
    </row>
    <row r="3805" spans="1:6" x14ac:dyDescent="0.3">
      <c r="A3805" s="8">
        <v>3803</v>
      </c>
      <c r="B3805" s="8" t="s">
        <v>6516</v>
      </c>
      <c r="C3805" s="8" t="s">
        <v>7767</v>
      </c>
      <c r="D3805" s="8" t="s">
        <v>7768</v>
      </c>
      <c r="E3805" s="13">
        <v>782000</v>
      </c>
      <c r="F3805" s="14">
        <v>1340000</v>
      </c>
    </row>
    <row r="3806" spans="1:6" x14ac:dyDescent="0.3">
      <c r="A3806" s="8">
        <v>3804</v>
      </c>
      <c r="B3806" s="8" t="s">
        <v>6516</v>
      </c>
      <c r="C3806" s="8" t="s">
        <v>7769</v>
      </c>
      <c r="D3806" s="8" t="s">
        <v>7770</v>
      </c>
      <c r="E3806" s="13">
        <v>0</v>
      </c>
      <c r="F3806" s="14">
        <v>0</v>
      </c>
    </row>
    <row r="3807" spans="1:6" x14ac:dyDescent="0.3">
      <c r="A3807" s="8">
        <v>3805</v>
      </c>
      <c r="B3807" s="8" t="s">
        <v>6516</v>
      </c>
      <c r="C3807" s="8" t="s">
        <v>7771</v>
      </c>
      <c r="D3807" s="8" t="s">
        <v>7772</v>
      </c>
      <c r="E3807" s="13">
        <v>0</v>
      </c>
      <c r="F3807" s="14">
        <v>0</v>
      </c>
    </row>
    <row r="3808" spans="1:6" x14ac:dyDescent="0.3">
      <c r="A3808" s="8">
        <v>3806</v>
      </c>
      <c r="B3808" s="8" t="s">
        <v>6516</v>
      </c>
      <c r="C3808" s="8" t="s">
        <v>7773</v>
      </c>
      <c r="D3808" s="8" t="s">
        <v>7774</v>
      </c>
      <c r="E3808" s="13">
        <v>0</v>
      </c>
      <c r="F3808" s="14">
        <v>2415000</v>
      </c>
    </row>
    <row r="3809" spans="1:6" x14ac:dyDescent="0.3">
      <c r="A3809" s="8">
        <v>3807</v>
      </c>
      <c r="B3809" s="8" t="s">
        <v>6516</v>
      </c>
      <c r="C3809" s="8" t="s">
        <v>7775</v>
      </c>
      <c r="D3809" s="8" t="s">
        <v>7776</v>
      </c>
      <c r="E3809" s="13">
        <v>0</v>
      </c>
      <c r="F3809" s="14">
        <v>1037000</v>
      </c>
    </row>
    <row r="3810" spans="1:6" x14ac:dyDescent="0.3">
      <c r="A3810" s="8">
        <v>3808</v>
      </c>
      <c r="B3810" s="8" t="s">
        <v>6516</v>
      </c>
      <c r="C3810" s="8" t="s">
        <v>7777</v>
      </c>
      <c r="D3810" s="8" t="s">
        <v>7778</v>
      </c>
      <c r="E3810" s="13">
        <v>0</v>
      </c>
      <c r="F3810" s="14">
        <v>0</v>
      </c>
    </row>
    <row r="3811" spans="1:6" x14ac:dyDescent="0.3">
      <c r="A3811" s="8">
        <v>3809</v>
      </c>
      <c r="B3811" s="8" t="s">
        <v>6516</v>
      </c>
      <c r="C3811" s="8" t="s">
        <v>7779</v>
      </c>
      <c r="D3811" s="8" t="s">
        <v>7780</v>
      </c>
      <c r="E3811" s="13">
        <v>0</v>
      </c>
      <c r="F3811" s="14">
        <v>1213000</v>
      </c>
    </row>
    <row r="3812" spans="1:6" x14ac:dyDescent="0.3">
      <c r="A3812" s="8">
        <v>3810</v>
      </c>
      <c r="B3812" s="8" t="s">
        <v>6516</v>
      </c>
      <c r="C3812" s="8" t="s">
        <v>7781</v>
      </c>
      <c r="D3812" s="8" t="s">
        <v>7782</v>
      </c>
      <c r="E3812" s="13">
        <v>0</v>
      </c>
      <c r="F3812" s="14">
        <v>0</v>
      </c>
    </row>
    <row r="3813" spans="1:6" x14ac:dyDescent="0.3">
      <c r="A3813" s="8">
        <v>3811</v>
      </c>
      <c r="B3813" s="8" t="s">
        <v>6516</v>
      </c>
      <c r="C3813" s="8" t="s">
        <v>7783</v>
      </c>
      <c r="D3813" s="8" t="s">
        <v>7784</v>
      </c>
      <c r="E3813" s="13">
        <v>0</v>
      </c>
      <c r="F3813" s="14">
        <v>0</v>
      </c>
    </row>
    <row r="3814" spans="1:6" x14ac:dyDescent="0.3">
      <c r="A3814" s="8">
        <v>3812</v>
      </c>
      <c r="B3814" s="8" t="s">
        <v>6516</v>
      </c>
      <c r="C3814" s="8" t="s">
        <v>7785</v>
      </c>
      <c r="D3814" s="8" t="s">
        <v>7786</v>
      </c>
      <c r="E3814" s="13">
        <v>0</v>
      </c>
      <c r="F3814" s="14">
        <v>0</v>
      </c>
    </row>
    <row r="3815" spans="1:6" x14ac:dyDescent="0.3">
      <c r="A3815" s="8">
        <v>3813</v>
      </c>
      <c r="B3815" s="8" t="s">
        <v>6516</v>
      </c>
      <c r="C3815" s="8" t="s">
        <v>7787</v>
      </c>
      <c r="D3815" s="8" t="s">
        <v>7788</v>
      </c>
      <c r="E3815" s="13">
        <v>0</v>
      </c>
      <c r="F3815" s="14">
        <v>0</v>
      </c>
    </row>
    <row r="3816" spans="1:6" x14ac:dyDescent="0.3">
      <c r="A3816" s="8">
        <v>3814</v>
      </c>
      <c r="B3816" s="8" t="s">
        <v>6516</v>
      </c>
      <c r="C3816" s="8" t="s">
        <v>7789</v>
      </c>
      <c r="D3816" s="8" t="s">
        <v>7790</v>
      </c>
      <c r="E3816" s="13">
        <v>0</v>
      </c>
      <c r="F3816" s="14">
        <v>0</v>
      </c>
    </row>
    <row r="3817" spans="1:6" x14ac:dyDescent="0.3">
      <c r="A3817" s="8">
        <v>3815</v>
      </c>
      <c r="B3817" s="8" t="s">
        <v>4148</v>
      </c>
      <c r="C3817" s="8" t="s">
        <v>7791</v>
      </c>
      <c r="D3817" s="8" t="s">
        <v>7792</v>
      </c>
      <c r="E3817" s="13">
        <v>0</v>
      </c>
      <c r="F3817" s="14">
        <v>0</v>
      </c>
    </row>
    <row r="3818" spans="1:6" x14ac:dyDescent="0.3">
      <c r="A3818" s="8">
        <v>3816</v>
      </c>
      <c r="B3818" s="8" t="s">
        <v>4148</v>
      </c>
      <c r="C3818" s="8" t="s">
        <v>7793</v>
      </c>
      <c r="D3818" s="8" t="s">
        <v>7794</v>
      </c>
      <c r="E3818" s="13">
        <v>0</v>
      </c>
      <c r="F3818" s="14">
        <v>0</v>
      </c>
    </row>
    <row r="3819" spans="1:6" x14ac:dyDescent="0.3">
      <c r="A3819" s="8">
        <v>3817</v>
      </c>
      <c r="B3819" s="8" t="s">
        <v>4148</v>
      </c>
      <c r="C3819" s="8" t="s">
        <v>7795</v>
      </c>
      <c r="D3819" s="8" t="s">
        <v>7796</v>
      </c>
      <c r="E3819" s="13">
        <v>0</v>
      </c>
      <c r="F3819" s="14">
        <v>0</v>
      </c>
    </row>
    <row r="3820" spans="1:6" x14ac:dyDescent="0.3">
      <c r="A3820" s="8">
        <v>3818</v>
      </c>
      <c r="B3820" s="8" t="s">
        <v>4148</v>
      </c>
      <c r="C3820" s="8" t="s">
        <v>7797</v>
      </c>
      <c r="D3820" s="8" t="s">
        <v>7798</v>
      </c>
      <c r="E3820" s="13">
        <v>0</v>
      </c>
      <c r="F3820" s="14">
        <v>0</v>
      </c>
    </row>
    <row r="3821" spans="1:6" x14ac:dyDescent="0.3">
      <c r="A3821" s="8">
        <v>3819</v>
      </c>
      <c r="B3821" s="8" t="s">
        <v>4148</v>
      </c>
      <c r="C3821" s="8" t="s">
        <v>7799</v>
      </c>
      <c r="D3821" s="8" t="s">
        <v>7800</v>
      </c>
      <c r="E3821" s="13">
        <v>0</v>
      </c>
      <c r="F3821" s="14">
        <v>0</v>
      </c>
    </row>
    <row r="3822" spans="1:6" x14ac:dyDescent="0.3">
      <c r="A3822" s="8">
        <v>3820</v>
      </c>
      <c r="B3822" s="8" t="s">
        <v>4148</v>
      </c>
      <c r="C3822" s="8" t="s">
        <v>7801</v>
      </c>
      <c r="D3822" s="8" t="s">
        <v>7802</v>
      </c>
      <c r="E3822" s="13">
        <v>0</v>
      </c>
      <c r="F3822" s="14">
        <v>0</v>
      </c>
    </row>
    <row r="3823" spans="1:6" x14ac:dyDescent="0.3">
      <c r="A3823" s="8">
        <v>3821</v>
      </c>
      <c r="B3823" s="8" t="s">
        <v>6022</v>
      </c>
      <c r="C3823" s="8" t="s">
        <v>7803</v>
      </c>
      <c r="D3823" s="8" t="s">
        <v>7804</v>
      </c>
      <c r="E3823" s="13">
        <v>121000</v>
      </c>
      <c r="F3823" s="14">
        <v>241667</v>
      </c>
    </row>
    <row r="3824" spans="1:6" x14ac:dyDescent="0.3">
      <c r="A3824" s="8">
        <v>3822</v>
      </c>
      <c r="B3824" s="8" t="s">
        <v>6029</v>
      </c>
      <c r="C3824" s="8" t="s">
        <v>7805</v>
      </c>
      <c r="D3824" s="8" t="s">
        <v>7806</v>
      </c>
      <c r="E3824" s="13">
        <v>163800</v>
      </c>
      <c r="F3824" s="14">
        <v>294000</v>
      </c>
    </row>
    <row r="3825" spans="1:6" x14ac:dyDescent="0.3">
      <c r="A3825" s="8">
        <v>3823</v>
      </c>
      <c r="B3825" s="8" t="s">
        <v>6029</v>
      </c>
      <c r="C3825" s="8" t="s">
        <v>7807</v>
      </c>
      <c r="D3825" s="8" t="s">
        <v>7808</v>
      </c>
      <c r="E3825" s="13">
        <v>165000</v>
      </c>
      <c r="F3825" s="14">
        <v>329630</v>
      </c>
    </row>
    <row r="3826" spans="1:6" x14ac:dyDescent="0.3">
      <c r="A3826" s="8">
        <v>3824</v>
      </c>
      <c r="B3826" s="8" t="s">
        <v>6029</v>
      </c>
      <c r="C3826" s="8" t="s">
        <v>7809</v>
      </c>
      <c r="D3826" s="8" t="s">
        <v>7810</v>
      </c>
      <c r="E3826" s="13">
        <v>216000</v>
      </c>
      <c r="F3826" s="14">
        <v>432407</v>
      </c>
    </row>
    <row r="3827" spans="1:6" x14ac:dyDescent="0.3">
      <c r="A3827" s="8">
        <v>3825</v>
      </c>
      <c r="B3827" s="8" t="s">
        <v>6029</v>
      </c>
      <c r="C3827" s="8" t="s">
        <v>7811</v>
      </c>
      <c r="D3827" s="8" t="s">
        <v>7812</v>
      </c>
      <c r="E3827" s="13">
        <v>0</v>
      </c>
      <c r="F3827" s="14">
        <v>388000</v>
      </c>
    </row>
    <row r="3828" spans="1:6" x14ac:dyDescent="0.3">
      <c r="A3828" s="8">
        <v>3826</v>
      </c>
      <c r="B3828" s="8" t="s">
        <v>6029</v>
      </c>
      <c r="C3828" s="8" t="s">
        <v>7813</v>
      </c>
      <c r="D3828" s="8" t="s">
        <v>7814</v>
      </c>
      <c r="E3828" s="13">
        <v>0</v>
      </c>
      <c r="F3828" s="14">
        <v>400000</v>
      </c>
    </row>
    <row r="3829" spans="1:6" x14ac:dyDescent="0.3">
      <c r="A3829" s="8">
        <v>3827</v>
      </c>
      <c r="B3829" s="8" t="s">
        <v>6029</v>
      </c>
      <c r="C3829" s="8" t="s">
        <v>7815</v>
      </c>
      <c r="D3829" s="8" t="s">
        <v>7816</v>
      </c>
      <c r="E3829" s="13">
        <v>0</v>
      </c>
      <c r="F3829" s="14">
        <v>0</v>
      </c>
    </row>
    <row r="3830" spans="1:6" x14ac:dyDescent="0.3">
      <c r="A3830" s="8">
        <v>3828</v>
      </c>
      <c r="B3830" s="8" t="s">
        <v>6022</v>
      </c>
      <c r="C3830" s="8" t="s">
        <v>7817</v>
      </c>
      <c r="D3830" s="8" t="s">
        <v>7818</v>
      </c>
      <c r="E3830" s="13">
        <v>0</v>
      </c>
      <c r="F3830" s="14">
        <v>0</v>
      </c>
    </row>
    <row r="3831" spans="1:6" x14ac:dyDescent="0.3">
      <c r="A3831" s="8">
        <v>3829</v>
      </c>
      <c r="B3831" s="8" t="s">
        <v>6022</v>
      </c>
      <c r="C3831" s="8" t="s">
        <v>7819</v>
      </c>
      <c r="D3831" s="8" t="s">
        <v>7820</v>
      </c>
      <c r="E3831" s="13">
        <v>127000</v>
      </c>
      <c r="F3831" s="14">
        <v>253704</v>
      </c>
    </row>
    <row r="3832" spans="1:6" x14ac:dyDescent="0.3">
      <c r="A3832" s="8">
        <v>3830</v>
      </c>
      <c r="B3832" s="8" t="s">
        <v>6029</v>
      </c>
      <c r="C3832" s="8" t="s">
        <v>7821</v>
      </c>
      <c r="D3832" s="8" t="s">
        <v>7822</v>
      </c>
      <c r="E3832" s="13">
        <v>142000</v>
      </c>
      <c r="F3832" s="14">
        <v>284259</v>
      </c>
    </row>
    <row r="3833" spans="1:6" x14ac:dyDescent="0.3">
      <c r="A3833" s="8">
        <v>3831</v>
      </c>
      <c r="B3833" s="8" t="s">
        <v>6029</v>
      </c>
      <c r="C3833" s="8" t="s">
        <v>7823</v>
      </c>
      <c r="D3833" s="8" t="s">
        <v>7824</v>
      </c>
      <c r="E3833" s="13">
        <v>180000</v>
      </c>
      <c r="F3833" s="14">
        <v>360185</v>
      </c>
    </row>
    <row r="3834" spans="1:6" x14ac:dyDescent="0.3">
      <c r="A3834" s="8">
        <v>3832</v>
      </c>
      <c r="B3834" s="8" t="s">
        <v>6022</v>
      </c>
      <c r="C3834" s="8" t="s">
        <v>7825</v>
      </c>
      <c r="D3834" s="8" t="s">
        <v>7826</v>
      </c>
      <c r="E3834" s="13">
        <v>420000</v>
      </c>
      <c r="F3834" s="14">
        <v>879630</v>
      </c>
    </row>
    <row r="3835" spans="1:6" x14ac:dyDescent="0.3">
      <c r="A3835" s="8">
        <v>3833</v>
      </c>
      <c r="B3835" s="8" t="s">
        <v>6022</v>
      </c>
      <c r="C3835" s="8" t="s">
        <v>7827</v>
      </c>
      <c r="D3835" s="8" t="s">
        <v>7828</v>
      </c>
      <c r="E3835" s="13">
        <v>142000</v>
      </c>
      <c r="F3835" s="14">
        <v>284259</v>
      </c>
    </row>
    <row r="3836" spans="1:6" x14ac:dyDescent="0.3">
      <c r="A3836" s="8">
        <v>3834</v>
      </c>
      <c r="B3836" s="8" t="s">
        <v>6022</v>
      </c>
      <c r="C3836" s="8" t="s">
        <v>7829</v>
      </c>
      <c r="D3836" s="8" t="s">
        <v>7830</v>
      </c>
      <c r="E3836" s="13">
        <v>177000</v>
      </c>
      <c r="F3836" s="14">
        <v>353704</v>
      </c>
    </row>
    <row r="3837" spans="1:6" x14ac:dyDescent="0.3">
      <c r="A3837" s="8">
        <v>3835</v>
      </c>
      <c r="B3837" s="8" t="s">
        <v>6022</v>
      </c>
      <c r="C3837" s="8" t="s">
        <v>7831</v>
      </c>
      <c r="D3837" s="8" t="s">
        <v>7832</v>
      </c>
      <c r="E3837" s="13">
        <v>104000</v>
      </c>
      <c r="F3837" s="14">
        <v>208333</v>
      </c>
    </row>
    <row r="3838" spans="1:6" x14ac:dyDescent="0.3">
      <c r="A3838" s="8">
        <v>3836</v>
      </c>
      <c r="B3838" s="8" t="s">
        <v>6022</v>
      </c>
      <c r="C3838" s="8" t="s">
        <v>7833</v>
      </c>
      <c r="D3838" s="8" t="s">
        <v>7834</v>
      </c>
      <c r="E3838" s="13">
        <v>214000</v>
      </c>
      <c r="F3838" s="14">
        <v>427778</v>
      </c>
    </row>
    <row r="3839" spans="1:6" x14ac:dyDescent="0.3">
      <c r="A3839" s="8">
        <v>3837</v>
      </c>
      <c r="B3839" s="8" t="s">
        <v>6022</v>
      </c>
      <c r="C3839" s="8" t="s">
        <v>7835</v>
      </c>
      <c r="D3839" s="8" t="s">
        <v>7836</v>
      </c>
      <c r="E3839" s="13">
        <v>127000</v>
      </c>
      <c r="F3839" s="14">
        <v>253704</v>
      </c>
    </row>
    <row r="3840" spans="1:6" x14ac:dyDescent="0.3">
      <c r="A3840" s="8">
        <v>3838</v>
      </c>
      <c r="B3840" s="8" t="s">
        <v>6029</v>
      </c>
      <c r="C3840" s="8" t="s">
        <v>7837</v>
      </c>
      <c r="D3840" s="8" t="s">
        <v>7838</v>
      </c>
      <c r="E3840" s="13">
        <v>214000</v>
      </c>
      <c r="F3840" s="14">
        <v>427778</v>
      </c>
    </row>
    <row r="3841" spans="1:6" x14ac:dyDescent="0.3">
      <c r="A3841" s="8">
        <v>3839</v>
      </c>
      <c r="B3841" s="8" t="s">
        <v>4148</v>
      </c>
      <c r="C3841" s="8" t="s">
        <v>7839</v>
      </c>
      <c r="D3841" s="8" t="s">
        <v>7840</v>
      </c>
      <c r="E3841" s="13">
        <v>0</v>
      </c>
      <c r="F3841" s="14">
        <v>460185</v>
      </c>
    </row>
    <row r="3842" spans="1:6" x14ac:dyDescent="0.3">
      <c r="A3842" s="8">
        <v>3840</v>
      </c>
      <c r="B3842" s="8" t="s">
        <v>4148</v>
      </c>
      <c r="C3842" s="8" t="s">
        <v>7841</v>
      </c>
      <c r="D3842" s="8" t="s">
        <v>7842</v>
      </c>
      <c r="E3842" s="13">
        <v>0</v>
      </c>
      <c r="F3842" s="14">
        <v>0</v>
      </c>
    </row>
    <row r="3843" spans="1:6" x14ac:dyDescent="0.3">
      <c r="A3843" s="8">
        <v>3841</v>
      </c>
      <c r="B3843" s="8" t="s">
        <v>4148</v>
      </c>
      <c r="C3843" s="8" t="s">
        <v>7843</v>
      </c>
      <c r="D3843" s="8" t="s">
        <v>7844</v>
      </c>
      <c r="E3843" s="13">
        <v>72700</v>
      </c>
      <c r="F3843" s="14">
        <v>145370</v>
      </c>
    </row>
    <row r="3844" spans="1:6" x14ac:dyDescent="0.3">
      <c r="A3844" s="8">
        <v>3842</v>
      </c>
      <c r="B3844" s="8" t="s">
        <v>4148</v>
      </c>
      <c r="C3844" s="8" t="s">
        <v>7845</v>
      </c>
      <c r="D3844" s="8" t="s">
        <v>7846</v>
      </c>
      <c r="E3844" s="13">
        <v>0</v>
      </c>
      <c r="F3844" s="14">
        <v>0</v>
      </c>
    </row>
    <row r="3845" spans="1:6" x14ac:dyDescent="0.3">
      <c r="A3845" s="8">
        <v>3843</v>
      </c>
      <c r="B3845" s="8" t="s">
        <v>4148</v>
      </c>
      <c r="C3845" s="8" t="s">
        <v>7847</v>
      </c>
      <c r="D3845" s="8" t="s">
        <v>7848</v>
      </c>
      <c r="E3845" s="13">
        <v>79500</v>
      </c>
      <c r="F3845" s="14">
        <v>159259</v>
      </c>
    </row>
    <row r="3846" spans="1:6" x14ac:dyDescent="0.3">
      <c r="A3846" s="8">
        <v>3844</v>
      </c>
      <c r="B3846" s="8" t="s">
        <v>4148</v>
      </c>
      <c r="C3846" s="8" t="s">
        <v>7849</v>
      </c>
      <c r="D3846" s="8" t="s">
        <v>7850</v>
      </c>
      <c r="E3846" s="13">
        <v>110000</v>
      </c>
      <c r="F3846" s="14">
        <v>220370</v>
      </c>
    </row>
    <row r="3847" spans="1:6" x14ac:dyDescent="0.3">
      <c r="A3847" s="8">
        <v>3845</v>
      </c>
      <c r="B3847" s="8" t="s">
        <v>4148</v>
      </c>
      <c r="C3847" s="8" t="s">
        <v>7851</v>
      </c>
      <c r="D3847" s="8" t="s">
        <v>7852</v>
      </c>
      <c r="E3847" s="13">
        <v>70100</v>
      </c>
      <c r="F3847" s="14">
        <v>139815</v>
      </c>
    </row>
    <row r="3848" spans="1:6" x14ac:dyDescent="0.3">
      <c r="A3848" s="8">
        <v>3846</v>
      </c>
      <c r="B3848" s="8" t="s">
        <v>4148</v>
      </c>
      <c r="C3848" s="8" t="s">
        <v>7853</v>
      </c>
      <c r="D3848" s="8" t="s">
        <v>7854</v>
      </c>
      <c r="E3848" s="13">
        <v>70100</v>
      </c>
      <c r="F3848" s="14">
        <v>139815</v>
      </c>
    </row>
    <row r="3849" spans="1:6" x14ac:dyDescent="0.3">
      <c r="A3849" s="8">
        <v>3847</v>
      </c>
      <c r="B3849" s="8" t="s">
        <v>4148</v>
      </c>
      <c r="C3849" s="8" t="s">
        <v>7855</v>
      </c>
      <c r="D3849" s="8" t="s">
        <v>7856</v>
      </c>
      <c r="E3849" s="13">
        <v>79500</v>
      </c>
      <c r="F3849" s="14">
        <v>159259</v>
      </c>
    </row>
    <row r="3850" spans="1:6" x14ac:dyDescent="0.3">
      <c r="A3850" s="8">
        <v>3848</v>
      </c>
      <c r="B3850" s="8" t="s">
        <v>4148</v>
      </c>
      <c r="C3850" s="8" t="s">
        <v>7857</v>
      </c>
      <c r="D3850" s="8" t="s">
        <v>7858</v>
      </c>
      <c r="E3850" s="13">
        <v>83800</v>
      </c>
      <c r="F3850" s="14">
        <v>167593</v>
      </c>
    </row>
    <row r="3851" spans="1:6" x14ac:dyDescent="0.3">
      <c r="A3851" s="8">
        <v>3849</v>
      </c>
      <c r="B3851" s="8" t="s">
        <v>4148</v>
      </c>
      <c r="C3851" s="8" t="s">
        <v>7859</v>
      </c>
      <c r="D3851" s="8" t="s">
        <v>7860</v>
      </c>
      <c r="E3851" s="13">
        <v>0</v>
      </c>
      <c r="F3851" s="14">
        <v>0</v>
      </c>
    </row>
    <row r="3852" spans="1:6" x14ac:dyDescent="0.3">
      <c r="A3852" s="8">
        <v>3850</v>
      </c>
      <c r="B3852" s="8" t="s">
        <v>4148</v>
      </c>
      <c r="C3852" s="8" t="s">
        <v>7861</v>
      </c>
      <c r="D3852" s="8" t="s">
        <v>7862</v>
      </c>
      <c r="E3852" s="13">
        <v>0</v>
      </c>
      <c r="F3852" s="14">
        <v>0</v>
      </c>
    </row>
    <row r="3853" spans="1:6" x14ac:dyDescent="0.3">
      <c r="A3853" s="8">
        <v>3851</v>
      </c>
      <c r="B3853" s="8" t="s">
        <v>4148</v>
      </c>
      <c r="C3853" s="8" t="s">
        <v>7863</v>
      </c>
      <c r="D3853" s="8" t="s">
        <v>7864</v>
      </c>
      <c r="E3853" s="13">
        <v>0</v>
      </c>
      <c r="F3853" s="14">
        <v>0</v>
      </c>
    </row>
    <row r="3854" spans="1:6" x14ac:dyDescent="0.3">
      <c r="A3854" s="8">
        <v>3852</v>
      </c>
      <c r="B3854" s="8" t="s">
        <v>4148</v>
      </c>
      <c r="C3854" s="8" t="s">
        <v>7865</v>
      </c>
      <c r="D3854" s="8" t="s">
        <v>7866</v>
      </c>
      <c r="E3854" s="13">
        <v>0</v>
      </c>
      <c r="F3854" s="14">
        <v>0</v>
      </c>
    </row>
    <row r="3855" spans="1:6" x14ac:dyDescent="0.3">
      <c r="A3855" s="8">
        <v>3853</v>
      </c>
      <c r="B3855" s="8" t="s">
        <v>4148</v>
      </c>
      <c r="C3855" s="8" t="s">
        <v>7867</v>
      </c>
      <c r="D3855" s="8" t="s">
        <v>7868</v>
      </c>
      <c r="E3855" s="13">
        <v>0</v>
      </c>
      <c r="F3855" s="14">
        <v>370370</v>
      </c>
    </row>
    <row r="3856" spans="1:6" x14ac:dyDescent="0.3">
      <c r="A3856" s="8">
        <v>3854</v>
      </c>
      <c r="B3856" s="8" t="s">
        <v>4148</v>
      </c>
      <c r="C3856" s="8" t="s">
        <v>7869</v>
      </c>
      <c r="D3856" s="8" t="s">
        <v>7870</v>
      </c>
      <c r="E3856" s="13">
        <v>0</v>
      </c>
      <c r="F3856" s="14">
        <v>0</v>
      </c>
    </row>
    <row r="3857" spans="1:6" x14ac:dyDescent="0.3">
      <c r="A3857" s="8">
        <v>3855</v>
      </c>
      <c r="B3857" s="8" t="s">
        <v>6022</v>
      </c>
      <c r="C3857" s="8" t="s">
        <v>7871</v>
      </c>
      <c r="D3857" s="8" t="s">
        <v>7872</v>
      </c>
      <c r="E3857" s="13">
        <v>216000</v>
      </c>
      <c r="F3857" s="14">
        <v>432407</v>
      </c>
    </row>
    <row r="3858" spans="1:6" x14ac:dyDescent="0.3">
      <c r="A3858" s="8">
        <v>3856</v>
      </c>
      <c r="B3858" s="8" t="s">
        <v>6022</v>
      </c>
      <c r="C3858" s="8" t="s">
        <v>7873</v>
      </c>
      <c r="D3858" s="8" t="s">
        <v>7874</v>
      </c>
      <c r="E3858" s="13">
        <v>122100</v>
      </c>
      <c r="F3858" s="14">
        <v>220000</v>
      </c>
    </row>
    <row r="3859" spans="1:6" x14ac:dyDescent="0.3">
      <c r="A3859" s="8">
        <v>3857</v>
      </c>
      <c r="B3859" s="8" t="s">
        <v>6022</v>
      </c>
      <c r="C3859" s="8" t="s">
        <v>7875</v>
      </c>
      <c r="D3859" s="8" t="s">
        <v>7876</v>
      </c>
      <c r="E3859" s="13">
        <v>0</v>
      </c>
      <c r="F3859" s="14">
        <v>0</v>
      </c>
    </row>
    <row r="3860" spans="1:6" x14ac:dyDescent="0.3">
      <c r="A3860" s="8">
        <v>3858</v>
      </c>
      <c r="B3860" s="8" t="s">
        <v>6029</v>
      </c>
      <c r="C3860" s="8" t="s">
        <v>7877</v>
      </c>
      <c r="D3860" s="8" t="s">
        <v>7878</v>
      </c>
      <c r="E3860" s="13">
        <v>0</v>
      </c>
      <c r="F3860" s="14">
        <v>0</v>
      </c>
    </row>
    <row r="3861" spans="1:6" x14ac:dyDescent="0.3">
      <c r="A3861" s="8">
        <v>3859</v>
      </c>
      <c r="B3861" s="8" t="s">
        <v>6022</v>
      </c>
      <c r="C3861" s="8" t="s">
        <v>7879</v>
      </c>
      <c r="D3861" s="8" t="s">
        <v>7880</v>
      </c>
      <c r="E3861" s="13">
        <v>0</v>
      </c>
      <c r="F3861" s="14">
        <v>0</v>
      </c>
    </row>
    <row r="3862" spans="1:6" x14ac:dyDescent="0.3">
      <c r="A3862" s="8">
        <v>3860</v>
      </c>
      <c r="B3862" s="8" t="s">
        <v>6022</v>
      </c>
      <c r="C3862" s="8" t="s">
        <v>7881</v>
      </c>
      <c r="D3862" s="8" t="s">
        <v>7882</v>
      </c>
      <c r="E3862" s="13">
        <v>104000</v>
      </c>
      <c r="F3862" s="14">
        <v>208333</v>
      </c>
    </row>
    <row r="3863" spans="1:6" x14ac:dyDescent="0.3">
      <c r="A3863" s="8">
        <v>3861</v>
      </c>
      <c r="B3863" s="8" t="s">
        <v>6022</v>
      </c>
      <c r="C3863" s="8" t="s">
        <v>7883</v>
      </c>
      <c r="D3863" s="8" t="s">
        <v>7884</v>
      </c>
      <c r="E3863" s="13">
        <v>0</v>
      </c>
      <c r="F3863" s="14">
        <v>0</v>
      </c>
    </row>
    <row r="3864" spans="1:6" x14ac:dyDescent="0.3">
      <c r="A3864" s="8">
        <v>3862</v>
      </c>
      <c r="B3864" s="8" t="s">
        <v>6516</v>
      </c>
      <c r="C3864" s="8" t="s">
        <v>7885</v>
      </c>
      <c r="D3864" s="8" t="s">
        <v>7886</v>
      </c>
      <c r="E3864" s="13">
        <v>0</v>
      </c>
      <c r="F3864" s="14">
        <v>0</v>
      </c>
    </row>
    <row r="3865" spans="1:6" x14ac:dyDescent="0.3">
      <c r="A3865" s="8">
        <v>3863</v>
      </c>
      <c r="B3865" s="8" t="s">
        <v>6516</v>
      </c>
      <c r="C3865" s="8" t="s">
        <v>7887</v>
      </c>
      <c r="D3865" s="8" t="s">
        <v>7888</v>
      </c>
      <c r="E3865" s="13">
        <v>0</v>
      </c>
      <c r="F3865" s="14">
        <v>0</v>
      </c>
    </row>
    <row r="3866" spans="1:6" x14ac:dyDescent="0.3">
      <c r="A3866" s="8">
        <v>3864</v>
      </c>
      <c r="B3866" s="8" t="s">
        <v>6516</v>
      </c>
      <c r="C3866" s="8" t="s">
        <v>7889</v>
      </c>
      <c r="D3866" s="8" t="s">
        <v>7890</v>
      </c>
      <c r="E3866" s="13">
        <v>0</v>
      </c>
      <c r="F3866" s="14">
        <v>0</v>
      </c>
    </row>
    <row r="3867" spans="1:6" x14ac:dyDescent="0.3">
      <c r="A3867" s="8">
        <v>3865</v>
      </c>
      <c r="B3867" s="8" t="s">
        <v>6516</v>
      </c>
      <c r="C3867" s="8" t="s">
        <v>7891</v>
      </c>
      <c r="D3867" s="8" t="s">
        <v>7892</v>
      </c>
      <c r="E3867" s="13">
        <v>0</v>
      </c>
      <c r="F3867" s="14">
        <v>1400000</v>
      </c>
    </row>
    <row r="3868" spans="1:6" x14ac:dyDescent="0.3">
      <c r="A3868" s="8">
        <v>3866</v>
      </c>
      <c r="B3868" s="8" t="s">
        <v>6516</v>
      </c>
      <c r="C3868" s="8" t="s">
        <v>7893</v>
      </c>
      <c r="D3868" s="8" t="s">
        <v>7894</v>
      </c>
      <c r="E3868" s="13">
        <v>0</v>
      </c>
      <c r="F3868" s="14">
        <v>0</v>
      </c>
    </row>
    <row r="3869" spans="1:6" x14ac:dyDescent="0.3">
      <c r="A3869" s="8">
        <v>3867</v>
      </c>
      <c r="B3869" s="8" t="s">
        <v>6516</v>
      </c>
      <c r="C3869" s="8" t="s">
        <v>7895</v>
      </c>
      <c r="D3869" s="8" t="s">
        <v>7896</v>
      </c>
      <c r="E3869" s="13">
        <v>0</v>
      </c>
      <c r="F3869" s="14">
        <v>0</v>
      </c>
    </row>
    <row r="3870" spans="1:6" x14ac:dyDescent="0.3">
      <c r="A3870" s="8">
        <v>3868</v>
      </c>
      <c r="B3870" s="8" t="s">
        <v>6516</v>
      </c>
      <c r="C3870" s="8" t="s">
        <v>7897</v>
      </c>
      <c r="D3870" s="8" t="s">
        <v>7898</v>
      </c>
      <c r="E3870" s="13">
        <v>0</v>
      </c>
      <c r="F3870" s="14">
        <v>0</v>
      </c>
    </row>
    <row r="3871" spans="1:6" x14ac:dyDescent="0.3">
      <c r="A3871" s="8">
        <v>3869</v>
      </c>
      <c r="B3871" s="8" t="s">
        <v>6516</v>
      </c>
      <c r="C3871" s="8" t="s">
        <v>7899</v>
      </c>
      <c r="D3871" s="8" t="s">
        <v>7900</v>
      </c>
      <c r="E3871" s="13">
        <v>0</v>
      </c>
      <c r="F3871" s="14">
        <v>0</v>
      </c>
    </row>
    <row r="3872" spans="1:6" x14ac:dyDescent="0.3">
      <c r="A3872" s="8">
        <v>3870</v>
      </c>
      <c r="B3872" s="8" t="s">
        <v>6516</v>
      </c>
      <c r="C3872" s="8" t="s">
        <v>7901</v>
      </c>
      <c r="D3872" s="8" t="s">
        <v>7902</v>
      </c>
      <c r="E3872" s="13">
        <v>0</v>
      </c>
      <c r="F3872" s="14">
        <v>0</v>
      </c>
    </row>
    <row r="3873" spans="1:6" x14ac:dyDescent="0.3">
      <c r="A3873" s="8">
        <v>3871</v>
      </c>
      <c r="B3873" s="8" t="s">
        <v>6516</v>
      </c>
      <c r="C3873" s="8" t="s">
        <v>7903</v>
      </c>
      <c r="D3873" s="8" t="s">
        <v>7904</v>
      </c>
      <c r="E3873" s="13">
        <v>0</v>
      </c>
      <c r="F3873" s="14">
        <v>0</v>
      </c>
    </row>
    <row r="3874" spans="1:6" x14ac:dyDescent="0.3">
      <c r="A3874" s="8">
        <v>3872</v>
      </c>
      <c r="B3874" s="8" t="s">
        <v>6516</v>
      </c>
      <c r="C3874" s="8" t="s">
        <v>7905</v>
      </c>
      <c r="D3874" s="8" t="s">
        <v>7906</v>
      </c>
      <c r="E3874" s="13">
        <v>0</v>
      </c>
      <c r="F3874" s="14">
        <v>0</v>
      </c>
    </row>
    <row r="3875" spans="1:6" x14ac:dyDescent="0.3">
      <c r="A3875" s="8">
        <v>3873</v>
      </c>
      <c r="B3875" s="8" t="s">
        <v>6516</v>
      </c>
      <c r="C3875" s="8" t="s">
        <v>7907</v>
      </c>
      <c r="D3875" s="8" t="s">
        <v>7908</v>
      </c>
      <c r="E3875" s="13">
        <v>0</v>
      </c>
      <c r="F3875" s="14">
        <v>0</v>
      </c>
    </row>
    <row r="3876" spans="1:6" x14ac:dyDescent="0.3">
      <c r="A3876" s="8">
        <v>3874</v>
      </c>
      <c r="B3876" s="8" t="s">
        <v>6516</v>
      </c>
      <c r="C3876" s="8" t="s">
        <v>7909</v>
      </c>
      <c r="D3876" s="8" t="s">
        <v>7910</v>
      </c>
      <c r="E3876" s="13">
        <v>481000</v>
      </c>
      <c r="F3876" s="14">
        <v>962037</v>
      </c>
    </row>
    <row r="3877" spans="1:6" x14ac:dyDescent="0.3">
      <c r="A3877" s="8">
        <v>3875</v>
      </c>
      <c r="B3877" s="8" t="s">
        <v>6516</v>
      </c>
      <c r="C3877" s="8" t="s">
        <v>7911</v>
      </c>
      <c r="D3877" s="8" t="s">
        <v>7912</v>
      </c>
      <c r="E3877" s="13">
        <v>997000</v>
      </c>
      <c r="F3877" s="14">
        <v>1994444</v>
      </c>
    </row>
    <row r="3878" spans="1:6" x14ac:dyDescent="0.3">
      <c r="A3878" s="8">
        <v>3876</v>
      </c>
      <c r="B3878" s="8" t="s">
        <v>6516</v>
      </c>
      <c r="C3878" s="8" t="s">
        <v>7913</v>
      </c>
      <c r="D3878" s="8" t="s">
        <v>7914</v>
      </c>
      <c r="E3878" s="13">
        <v>0</v>
      </c>
      <c r="F3878" s="14">
        <v>0</v>
      </c>
    </row>
    <row r="3879" spans="1:6" x14ac:dyDescent="0.3">
      <c r="A3879" s="8">
        <v>3877</v>
      </c>
      <c r="B3879" s="8" t="s">
        <v>6516</v>
      </c>
      <c r="C3879" s="8" t="s">
        <v>7915</v>
      </c>
      <c r="D3879" s="8" t="s">
        <v>7916</v>
      </c>
      <c r="E3879" s="13">
        <v>0</v>
      </c>
      <c r="F3879" s="14">
        <v>0</v>
      </c>
    </row>
    <row r="3880" spans="1:6" x14ac:dyDescent="0.3">
      <c r="A3880" s="8">
        <v>3878</v>
      </c>
      <c r="B3880" s="8" t="s">
        <v>6516</v>
      </c>
      <c r="C3880" s="8" t="s">
        <v>7917</v>
      </c>
      <c r="D3880" s="8" t="s">
        <v>7918</v>
      </c>
      <c r="E3880" s="13">
        <v>0</v>
      </c>
      <c r="F3880" s="14">
        <v>0</v>
      </c>
    </row>
    <row r="3881" spans="1:6" x14ac:dyDescent="0.3">
      <c r="A3881" s="8">
        <v>3879</v>
      </c>
      <c r="B3881" s="8" t="s">
        <v>6516</v>
      </c>
      <c r="C3881" s="8" t="s">
        <v>7919</v>
      </c>
      <c r="D3881" s="8" t="s">
        <v>7920</v>
      </c>
      <c r="E3881" s="13">
        <v>0</v>
      </c>
      <c r="F3881" s="14">
        <v>0</v>
      </c>
    </row>
    <row r="3882" spans="1:6" x14ac:dyDescent="0.3">
      <c r="A3882" s="8">
        <v>3880</v>
      </c>
      <c r="B3882" s="8" t="s">
        <v>6516</v>
      </c>
      <c r="C3882" s="8" t="s">
        <v>7921</v>
      </c>
      <c r="D3882" s="8" t="s">
        <v>7922</v>
      </c>
      <c r="E3882" s="13">
        <v>0</v>
      </c>
      <c r="F3882" s="14">
        <v>0</v>
      </c>
    </row>
    <row r="3883" spans="1:6" x14ac:dyDescent="0.3">
      <c r="A3883" s="8">
        <v>3881</v>
      </c>
      <c r="B3883" s="8" t="s">
        <v>6516</v>
      </c>
      <c r="C3883" s="8" t="s">
        <v>7923</v>
      </c>
      <c r="D3883" s="8" t="s">
        <v>7924</v>
      </c>
      <c r="E3883" s="13">
        <v>0</v>
      </c>
      <c r="F3883" s="14">
        <v>0</v>
      </c>
    </row>
    <row r="3884" spans="1:6" x14ac:dyDescent="0.3">
      <c r="A3884" s="8">
        <v>3882</v>
      </c>
      <c r="B3884" s="8" t="s">
        <v>6516</v>
      </c>
      <c r="C3884" s="8" t="s">
        <v>7925</v>
      </c>
      <c r="D3884" s="8" t="s">
        <v>7926</v>
      </c>
      <c r="E3884" s="13">
        <v>0</v>
      </c>
      <c r="F3884" s="14">
        <v>0</v>
      </c>
    </row>
    <row r="3885" spans="1:6" x14ac:dyDescent="0.3">
      <c r="A3885" s="8">
        <v>3883</v>
      </c>
      <c r="B3885" s="8" t="s">
        <v>7355</v>
      </c>
      <c r="C3885" s="8" t="s">
        <v>7927</v>
      </c>
      <c r="D3885" s="8" t="s">
        <v>7928</v>
      </c>
      <c r="E3885" s="13">
        <v>115000</v>
      </c>
      <c r="F3885" s="14">
        <v>230000</v>
      </c>
    </row>
    <row r="3886" spans="1:6" x14ac:dyDescent="0.3">
      <c r="A3886" s="8">
        <v>3884</v>
      </c>
      <c r="B3886" s="8" t="s">
        <v>4148</v>
      </c>
      <c r="C3886" s="8" t="s">
        <v>7929</v>
      </c>
      <c r="D3886" s="8" t="s">
        <v>7930</v>
      </c>
      <c r="E3886" s="13">
        <v>167000</v>
      </c>
      <c r="F3886" s="14">
        <v>287000</v>
      </c>
    </row>
    <row r="3887" spans="1:6" x14ac:dyDescent="0.3">
      <c r="A3887" s="8">
        <v>3885</v>
      </c>
      <c r="B3887" s="8" t="s">
        <v>4148</v>
      </c>
      <c r="C3887" s="8" t="s">
        <v>7931</v>
      </c>
      <c r="D3887" s="8" t="s">
        <v>7932</v>
      </c>
      <c r="E3887" s="13">
        <v>73000</v>
      </c>
      <c r="F3887" s="14">
        <v>146296</v>
      </c>
    </row>
    <row r="3888" spans="1:6" x14ac:dyDescent="0.3">
      <c r="A3888" s="8">
        <v>3886</v>
      </c>
      <c r="B3888" s="8" t="s">
        <v>4148</v>
      </c>
      <c r="C3888" s="8" t="s">
        <v>7933</v>
      </c>
      <c r="D3888" s="8" t="s">
        <v>7934</v>
      </c>
      <c r="E3888" s="13">
        <v>0</v>
      </c>
      <c r="F3888" s="14">
        <v>0</v>
      </c>
    </row>
    <row r="3889" spans="1:6" x14ac:dyDescent="0.3">
      <c r="A3889" s="8">
        <v>3887</v>
      </c>
      <c r="B3889" s="8" t="s">
        <v>4148</v>
      </c>
      <c r="C3889" s="8" t="s">
        <v>7935</v>
      </c>
      <c r="D3889" s="8" t="s">
        <v>7936</v>
      </c>
      <c r="E3889" s="13">
        <v>178000</v>
      </c>
      <c r="F3889" s="14">
        <v>355556</v>
      </c>
    </row>
    <row r="3890" spans="1:6" x14ac:dyDescent="0.3">
      <c r="A3890" s="8">
        <v>3888</v>
      </c>
      <c r="B3890" s="8" t="s">
        <v>4148</v>
      </c>
      <c r="C3890" s="8" t="s">
        <v>7937</v>
      </c>
      <c r="D3890" s="8" t="s">
        <v>7938</v>
      </c>
      <c r="E3890" s="13">
        <v>153000</v>
      </c>
      <c r="F3890" s="14">
        <v>305556</v>
      </c>
    </row>
    <row r="3891" spans="1:6" x14ac:dyDescent="0.3">
      <c r="A3891" s="8">
        <v>3889</v>
      </c>
      <c r="B3891" s="8" t="s">
        <v>4148</v>
      </c>
      <c r="C3891" s="8" t="s">
        <v>7939</v>
      </c>
      <c r="D3891" s="8" t="s">
        <v>7940</v>
      </c>
      <c r="E3891" s="13">
        <v>37037</v>
      </c>
      <c r="F3891" s="14">
        <v>37037</v>
      </c>
    </row>
    <row r="3892" spans="1:6" x14ac:dyDescent="0.3">
      <c r="A3892" s="8">
        <v>3890</v>
      </c>
      <c r="B3892" s="8" t="s">
        <v>4148</v>
      </c>
      <c r="C3892" s="8" t="s">
        <v>7941</v>
      </c>
      <c r="D3892" s="8" t="s">
        <v>7942</v>
      </c>
      <c r="E3892" s="13">
        <v>63100</v>
      </c>
      <c r="F3892" s="14">
        <v>113000</v>
      </c>
    </row>
    <row r="3893" spans="1:6" x14ac:dyDescent="0.3">
      <c r="A3893" s="8">
        <v>3891</v>
      </c>
      <c r="B3893" s="8" t="s">
        <v>4148</v>
      </c>
      <c r="C3893" s="8" t="s">
        <v>7943</v>
      </c>
      <c r="D3893" s="8" t="s">
        <v>7944</v>
      </c>
      <c r="E3893" s="13">
        <v>37037</v>
      </c>
      <c r="F3893" s="14">
        <v>37037</v>
      </c>
    </row>
    <row r="3894" spans="1:6" x14ac:dyDescent="0.3">
      <c r="A3894" s="8">
        <v>3892</v>
      </c>
      <c r="B3894" s="8" t="s">
        <v>4148</v>
      </c>
      <c r="C3894" s="8" t="s">
        <v>7945</v>
      </c>
      <c r="D3894" s="8" t="s">
        <v>7946</v>
      </c>
      <c r="E3894" s="13">
        <v>54000</v>
      </c>
      <c r="F3894" s="14">
        <v>97000</v>
      </c>
    </row>
    <row r="3895" spans="1:6" x14ac:dyDescent="0.3">
      <c r="A3895" s="8">
        <v>3893</v>
      </c>
      <c r="B3895" s="8" t="s">
        <v>4148</v>
      </c>
      <c r="C3895" s="8" t="s">
        <v>7947</v>
      </c>
      <c r="D3895" s="8" t="s">
        <v>7948</v>
      </c>
      <c r="E3895" s="13">
        <v>47000</v>
      </c>
      <c r="F3895" s="14">
        <v>94444</v>
      </c>
    </row>
    <row r="3896" spans="1:6" x14ac:dyDescent="0.3">
      <c r="A3896" s="8">
        <v>3894</v>
      </c>
      <c r="B3896" s="8" t="s">
        <v>4148</v>
      </c>
      <c r="C3896" s="8" t="s">
        <v>7949</v>
      </c>
      <c r="D3896" s="8" t="s">
        <v>7950</v>
      </c>
      <c r="E3896" s="13">
        <v>0</v>
      </c>
      <c r="F3896" s="14">
        <v>118000</v>
      </c>
    </row>
    <row r="3897" spans="1:6" x14ac:dyDescent="0.3">
      <c r="A3897" s="8">
        <v>3895</v>
      </c>
      <c r="B3897" s="8" t="s">
        <v>4148</v>
      </c>
      <c r="C3897" s="8" t="s">
        <v>7951</v>
      </c>
      <c r="D3897" s="8" t="s">
        <v>7952</v>
      </c>
      <c r="E3897" s="13">
        <v>54000</v>
      </c>
      <c r="F3897" s="14">
        <v>97273</v>
      </c>
    </row>
    <row r="3898" spans="1:6" x14ac:dyDescent="0.3">
      <c r="A3898" s="8">
        <v>3896</v>
      </c>
      <c r="B3898" s="8" t="s">
        <v>4148</v>
      </c>
      <c r="C3898" s="8" t="s">
        <v>7953</v>
      </c>
      <c r="D3898" s="8" t="s">
        <v>7954</v>
      </c>
      <c r="E3898" s="13">
        <v>0</v>
      </c>
      <c r="F3898" s="14">
        <v>206000</v>
      </c>
    </row>
    <row r="3899" spans="1:6" x14ac:dyDescent="0.3">
      <c r="A3899" s="8">
        <v>3897</v>
      </c>
      <c r="B3899" s="8" t="s">
        <v>4148</v>
      </c>
      <c r="C3899" s="8" t="s">
        <v>7955</v>
      </c>
      <c r="D3899" s="8" t="s">
        <v>7956</v>
      </c>
      <c r="E3899" s="13">
        <v>0</v>
      </c>
      <c r="F3899" s="14">
        <v>0</v>
      </c>
    </row>
    <row r="3900" spans="1:6" x14ac:dyDescent="0.3">
      <c r="A3900" s="8">
        <v>3898</v>
      </c>
      <c r="B3900" s="8" t="s">
        <v>4148</v>
      </c>
      <c r="C3900" s="8" t="s">
        <v>7957</v>
      </c>
      <c r="D3900" s="8" t="s">
        <v>7958</v>
      </c>
      <c r="E3900" s="13">
        <v>0</v>
      </c>
      <c r="F3900" s="14">
        <v>0</v>
      </c>
    </row>
    <row r="3901" spans="1:6" x14ac:dyDescent="0.3">
      <c r="A3901" s="8">
        <v>3899</v>
      </c>
      <c r="B3901" s="8" t="s">
        <v>4148</v>
      </c>
      <c r="C3901" s="8" t="s">
        <v>7959</v>
      </c>
      <c r="D3901" s="8" t="s">
        <v>7960</v>
      </c>
      <c r="E3901" s="13">
        <v>92900</v>
      </c>
      <c r="F3901" s="14">
        <v>210185</v>
      </c>
    </row>
    <row r="3902" spans="1:6" x14ac:dyDescent="0.3">
      <c r="A3902" s="8">
        <v>3900</v>
      </c>
      <c r="B3902" s="8" t="s">
        <v>4148</v>
      </c>
      <c r="C3902" s="8" t="s">
        <v>7961</v>
      </c>
      <c r="D3902" s="8" t="s">
        <v>7962</v>
      </c>
      <c r="E3902" s="13">
        <v>0</v>
      </c>
      <c r="F3902" s="14">
        <v>0</v>
      </c>
    </row>
    <row r="3903" spans="1:6" x14ac:dyDescent="0.3">
      <c r="A3903" s="8">
        <v>3901</v>
      </c>
      <c r="B3903" s="8" t="s">
        <v>4148</v>
      </c>
      <c r="C3903" s="8" t="s">
        <v>7963</v>
      </c>
      <c r="D3903" s="8" t="s">
        <v>7964</v>
      </c>
      <c r="E3903" s="13">
        <v>87700</v>
      </c>
      <c r="F3903" s="14">
        <v>197222</v>
      </c>
    </row>
    <row r="3904" spans="1:6" x14ac:dyDescent="0.3">
      <c r="A3904" s="8">
        <v>3902</v>
      </c>
      <c r="B3904" s="8" t="s">
        <v>4148</v>
      </c>
      <c r="C3904" s="8" t="s">
        <v>7965</v>
      </c>
      <c r="D3904" s="8" t="s">
        <v>7966</v>
      </c>
      <c r="E3904" s="13">
        <v>0</v>
      </c>
      <c r="F3904" s="14">
        <v>0</v>
      </c>
    </row>
    <row r="3905" spans="1:6" x14ac:dyDescent="0.3">
      <c r="A3905" s="8">
        <v>3903</v>
      </c>
      <c r="B3905" s="8" t="s">
        <v>4148</v>
      </c>
      <c r="C3905" s="8" t="s">
        <v>7967</v>
      </c>
      <c r="D3905" s="8" t="s">
        <v>7968</v>
      </c>
      <c r="E3905" s="13">
        <v>0</v>
      </c>
      <c r="F3905" s="14">
        <v>386000</v>
      </c>
    </row>
    <row r="3906" spans="1:6" x14ac:dyDescent="0.3">
      <c r="A3906" s="8">
        <v>3904</v>
      </c>
      <c r="B3906" s="8" t="s">
        <v>4148</v>
      </c>
      <c r="C3906" s="8" t="s">
        <v>7969</v>
      </c>
      <c r="D3906" s="8" t="s">
        <v>7970</v>
      </c>
      <c r="E3906" s="13">
        <v>153000</v>
      </c>
      <c r="F3906" s="14">
        <v>305556</v>
      </c>
    </row>
    <row r="3907" spans="1:6" x14ac:dyDescent="0.3">
      <c r="A3907" s="8">
        <v>3905</v>
      </c>
      <c r="B3907" s="8" t="s">
        <v>4148</v>
      </c>
      <c r="C3907" s="8" t="s">
        <v>7971</v>
      </c>
      <c r="D3907" s="8" t="s">
        <v>7972</v>
      </c>
      <c r="E3907" s="13">
        <v>57400</v>
      </c>
      <c r="F3907" s="14">
        <v>114815</v>
      </c>
    </row>
    <row r="3908" spans="1:6" x14ac:dyDescent="0.3">
      <c r="A3908" s="8">
        <v>3906</v>
      </c>
      <c r="B3908" s="8" t="s">
        <v>4148</v>
      </c>
      <c r="C3908" s="8" t="s">
        <v>7973</v>
      </c>
      <c r="D3908" s="8" t="s">
        <v>7974</v>
      </c>
      <c r="E3908" s="13">
        <v>59600</v>
      </c>
      <c r="F3908" s="14">
        <v>133333</v>
      </c>
    </row>
    <row r="3909" spans="1:6" x14ac:dyDescent="0.3">
      <c r="A3909" s="8">
        <v>3907</v>
      </c>
      <c r="B3909" s="8" t="s">
        <v>6022</v>
      </c>
      <c r="C3909" s="8" t="s">
        <v>7975</v>
      </c>
      <c r="D3909" s="8" t="s">
        <v>7976</v>
      </c>
      <c r="E3909" s="13">
        <v>140000</v>
      </c>
      <c r="F3909" s="14">
        <v>279630</v>
      </c>
    </row>
    <row r="3910" spans="1:6" x14ac:dyDescent="0.3">
      <c r="A3910" s="8">
        <v>3908</v>
      </c>
      <c r="B3910" s="8" t="s">
        <v>6022</v>
      </c>
      <c r="C3910" s="8" t="s">
        <v>7977</v>
      </c>
      <c r="D3910" s="8" t="s">
        <v>7978</v>
      </c>
      <c r="E3910" s="13">
        <v>0</v>
      </c>
      <c r="F3910" s="14">
        <v>0</v>
      </c>
    </row>
    <row r="3911" spans="1:6" x14ac:dyDescent="0.3">
      <c r="A3911" s="8">
        <v>3909</v>
      </c>
      <c r="B3911" s="8" t="s">
        <v>6022</v>
      </c>
      <c r="C3911" s="8" t="s">
        <v>7979</v>
      </c>
      <c r="D3911" s="8" t="s">
        <v>7980</v>
      </c>
      <c r="E3911" s="13">
        <v>0</v>
      </c>
      <c r="F3911" s="14">
        <v>0</v>
      </c>
    </row>
    <row r="3912" spans="1:6" x14ac:dyDescent="0.3">
      <c r="A3912" s="8">
        <v>3910</v>
      </c>
      <c r="B3912" s="8" t="s">
        <v>6022</v>
      </c>
      <c r="C3912" s="8" t="s">
        <v>7981</v>
      </c>
      <c r="D3912" s="8" t="s">
        <v>7982</v>
      </c>
      <c r="E3912" s="13">
        <v>177000</v>
      </c>
      <c r="F3912" s="14">
        <v>353704</v>
      </c>
    </row>
    <row r="3913" spans="1:6" x14ac:dyDescent="0.3">
      <c r="A3913" s="8">
        <v>3911</v>
      </c>
      <c r="B3913" s="8" t="s">
        <v>6022</v>
      </c>
      <c r="C3913" s="8" t="s">
        <v>7983</v>
      </c>
      <c r="D3913" s="8" t="s">
        <v>7984</v>
      </c>
      <c r="E3913" s="13">
        <v>220000</v>
      </c>
      <c r="F3913" s="14">
        <v>439815</v>
      </c>
    </row>
    <row r="3914" spans="1:6" x14ac:dyDescent="0.3">
      <c r="A3914" s="8">
        <v>3912</v>
      </c>
      <c r="B3914" s="8" t="s">
        <v>6022</v>
      </c>
      <c r="C3914" s="8" t="s">
        <v>7985</v>
      </c>
      <c r="D3914" s="8" t="s">
        <v>7986</v>
      </c>
      <c r="E3914" s="13">
        <v>0</v>
      </c>
      <c r="F3914" s="14">
        <v>0</v>
      </c>
    </row>
    <row r="3915" spans="1:6" x14ac:dyDescent="0.3">
      <c r="A3915" s="8">
        <v>3913</v>
      </c>
      <c r="B3915" s="8" t="s">
        <v>6022</v>
      </c>
      <c r="C3915" s="8" t="s">
        <v>7987</v>
      </c>
      <c r="D3915" s="8" t="s">
        <v>7988</v>
      </c>
      <c r="E3915" s="13">
        <v>0</v>
      </c>
      <c r="F3915" s="14">
        <v>0</v>
      </c>
    </row>
    <row r="3916" spans="1:6" x14ac:dyDescent="0.3">
      <c r="A3916" s="8">
        <v>3914</v>
      </c>
      <c r="B3916" s="8" t="s">
        <v>6516</v>
      </c>
      <c r="C3916" s="8" t="s">
        <v>7989</v>
      </c>
      <c r="D3916" s="8" t="s">
        <v>7990</v>
      </c>
      <c r="E3916" s="13">
        <v>109000</v>
      </c>
      <c r="F3916" s="14">
        <v>210185</v>
      </c>
    </row>
    <row r="3917" spans="1:6" x14ac:dyDescent="0.3">
      <c r="A3917" s="8">
        <v>3915</v>
      </c>
      <c r="B3917" s="8" t="s">
        <v>6516</v>
      </c>
      <c r="C3917" s="8" t="s">
        <v>7991</v>
      </c>
      <c r="D3917" s="8" t="s">
        <v>7992</v>
      </c>
      <c r="E3917" s="13">
        <v>132430</v>
      </c>
      <c r="F3917" s="14">
        <v>250000</v>
      </c>
    </row>
    <row r="3918" spans="1:6" x14ac:dyDescent="0.3">
      <c r="A3918" s="8">
        <v>3916</v>
      </c>
      <c r="B3918" s="8" t="s">
        <v>6516</v>
      </c>
      <c r="C3918" s="8" t="s">
        <v>7993</v>
      </c>
      <c r="D3918" s="8" t="s">
        <v>7994</v>
      </c>
      <c r="E3918" s="13">
        <v>746000</v>
      </c>
      <c r="F3918" s="14">
        <v>1197000</v>
      </c>
    </row>
    <row r="3919" spans="1:6" x14ac:dyDescent="0.3">
      <c r="A3919" s="8">
        <v>3917</v>
      </c>
      <c r="B3919" s="8" t="s">
        <v>6516</v>
      </c>
      <c r="C3919" s="8" t="s">
        <v>7995</v>
      </c>
      <c r="D3919" s="8" t="s">
        <v>7996</v>
      </c>
      <c r="E3919" s="13">
        <v>0</v>
      </c>
      <c r="F3919" s="14">
        <v>0</v>
      </c>
    </row>
    <row r="3920" spans="1:6" x14ac:dyDescent="0.3">
      <c r="A3920" s="8">
        <v>3918</v>
      </c>
      <c r="B3920" s="8" t="s">
        <v>6516</v>
      </c>
      <c r="C3920" s="8" t="s">
        <v>7997</v>
      </c>
      <c r="D3920" s="8" t="s">
        <v>7998</v>
      </c>
      <c r="E3920" s="13">
        <v>532000</v>
      </c>
      <c r="F3920" s="14">
        <v>1063889</v>
      </c>
    </row>
    <row r="3921" spans="1:6" x14ac:dyDescent="0.3">
      <c r="A3921" s="8">
        <v>3919</v>
      </c>
      <c r="B3921" s="8" t="s">
        <v>6516</v>
      </c>
      <c r="C3921" s="8" t="s">
        <v>7999</v>
      </c>
      <c r="D3921" s="8" t="s">
        <v>8000</v>
      </c>
      <c r="E3921" s="13">
        <v>702000</v>
      </c>
      <c r="F3921" s="14">
        <v>1207500</v>
      </c>
    </row>
    <row r="3922" spans="1:6" x14ac:dyDescent="0.3">
      <c r="A3922" s="8">
        <v>3920</v>
      </c>
      <c r="B3922" s="8" t="s">
        <v>6516</v>
      </c>
      <c r="C3922" s="8" t="s">
        <v>8001</v>
      </c>
      <c r="D3922" s="8" t="s">
        <v>8002</v>
      </c>
      <c r="E3922" s="13">
        <v>1566000</v>
      </c>
      <c r="F3922" s="14">
        <v>2820000</v>
      </c>
    </row>
    <row r="3923" spans="1:6" x14ac:dyDescent="0.3">
      <c r="A3923" s="8">
        <v>3921</v>
      </c>
      <c r="B3923" s="8" t="s">
        <v>6516</v>
      </c>
      <c r="C3923" s="8" t="s">
        <v>8003</v>
      </c>
      <c r="D3923" s="8" t="s">
        <v>8004</v>
      </c>
      <c r="E3923" s="13">
        <v>0</v>
      </c>
      <c r="F3923" s="14">
        <v>0</v>
      </c>
    </row>
    <row r="3924" spans="1:6" x14ac:dyDescent="0.3">
      <c r="A3924" s="8">
        <v>3922</v>
      </c>
      <c r="B3924" s="8" t="s">
        <v>6516</v>
      </c>
      <c r="C3924" s="8" t="s">
        <v>8005</v>
      </c>
      <c r="D3924" s="8" t="s">
        <v>8006</v>
      </c>
      <c r="E3924" s="13">
        <v>537000</v>
      </c>
      <c r="F3924" s="14">
        <v>1074074</v>
      </c>
    </row>
    <row r="3925" spans="1:6" x14ac:dyDescent="0.3">
      <c r="A3925" s="8">
        <v>3923</v>
      </c>
      <c r="B3925" s="8" t="s">
        <v>6516</v>
      </c>
      <c r="C3925" s="8" t="s">
        <v>8007</v>
      </c>
      <c r="D3925" s="8" t="s">
        <v>8008</v>
      </c>
      <c r="E3925" s="13">
        <v>0</v>
      </c>
      <c r="F3925" s="14">
        <v>0</v>
      </c>
    </row>
    <row r="3926" spans="1:6" x14ac:dyDescent="0.3">
      <c r="A3926" s="8">
        <v>3924</v>
      </c>
      <c r="B3926" s="8" t="s">
        <v>6516</v>
      </c>
      <c r="C3926" s="8" t="s">
        <v>8009</v>
      </c>
      <c r="D3926" s="8" t="s">
        <v>8010</v>
      </c>
      <c r="E3926" s="13">
        <v>0</v>
      </c>
      <c r="F3926" s="14">
        <v>0</v>
      </c>
    </row>
    <row r="3927" spans="1:6" x14ac:dyDescent="0.3">
      <c r="A3927" s="8">
        <v>3925</v>
      </c>
      <c r="B3927" s="8" t="s">
        <v>6516</v>
      </c>
      <c r="C3927" s="8" t="s">
        <v>8011</v>
      </c>
      <c r="D3927" s="8" t="s">
        <v>8012</v>
      </c>
      <c r="E3927" s="13">
        <v>0</v>
      </c>
      <c r="F3927" s="14">
        <v>0</v>
      </c>
    </row>
    <row r="3928" spans="1:6" x14ac:dyDescent="0.3">
      <c r="A3928" s="8">
        <v>3926</v>
      </c>
      <c r="B3928" s="8" t="s">
        <v>6516</v>
      </c>
      <c r="C3928" s="8" t="s">
        <v>8013</v>
      </c>
      <c r="D3928" s="8" t="s">
        <v>8014</v>
      </c>
      <c r="E3928" s="13">
        <v>0</v>
      </c>
      <c r="F3928" s="14">
        <v>0</v>
      </c>
    </row>
    <row r="3929" spans="1:6" x14ac:dyDescent="0.3">
      <c r="A3929" s="8">
        <v>3927</v>
      </c>
      <c r="B3929" s="8" t="s">
        <v>6516</v>
      </c>
      <c r="C3929" s="8" t="s">
        <v>8015</v>
      </c>
      <c r="D3929" s="8" t="s">
        <v>8016</v>
      </c>
      <c r="E3929" s="13">
        <v>0</v>
      </c>
      <c r="F3929" s="14">
        <v>0</v>
      </c>
    </row>
    <row r="3930" spans="1:6" x14ac:dyDescent="0.3">
      <c r="A3930" s="8">
        <v>3928</v>
      </c>
      <c r="B3930" s="8" t="s">
        <v>6516</v>
      </c>
      <c r="C3930" s="8" t="s">
        <v>8017</v>
      </c>
      <c r="D3930" s="8" t="s">
        <v>8018</v>
      </c>
      <c r="E3930" s="13">
        <v>0</v>
      </c>
      <c r="F3930" s="14">
        <v>0</v>
      </c>
    </row>
    <row r="3931" spans="1:6" x14ac:dyDescent="0.3">
      <c r="A3931" s="8">
        <v>3929</v>
      </c>
      <c r="B3931" s="8" t="s">
        <v>6516</v>
      </c>
      <c r="C3931" s="8" t="s">
        <v>8019</v>
      </c>
      <c r="D3931" s="8" t="s">
        <v>8020</v>
      </c>
      <c r="E3931" s="13">
        <v>0</v>
      </c>
      <c r="F3931" s="14">
        <v>0</v>
      </c>
    </row>
    <row r="3932" spans="1:6" x14ac:dyDescent="0.3">
      <c r="A3932" s="8">
        <v>3930</v>
      </c>
      <c r="B3932" s="8" t="s">
        <v>6516</v>
      </c>
      <c r="C3932" s="8" t="s">
        <v>8021</v>
      </c>
      <c r="D3932" s="8" t="s">
        <v>8022</v>
      </c>
      <c r="E3932" s="13">
        <v>0</v>
      </c>
      <c r="F3932" s="14">
        <v>0</v>
      </c>
    </row>
    <row r="3933" spans="1:6" x14ac:dyDescent="0.3">
      <c r="A3933" s="8">
        <v>3931</v>
      </c>
      <c r="B3933" s="8" t="s">
        <v>2792</v>
      </c>
      <c r="C3933" s="8" t="s">
        <v>8023</v>
      </c>
      <c r="D3933" s="8" t="s">
        <v>8024</v>
      </c>
      <c r="E3933" s="13">
        <v>0</v>
      </c>
      <c r="F3933" s="14">
        <v>0</v>
      </c>
    </row>
    <row r="3934" spans="1:6" x14ac:dyDescent="0.3">
      <c r="A3934" s="8">
        <v>3932</v>
      </c>
      <c r="B3934" s="8" t="s">
        <v>2792</v>
      </c>
      <c r="C3934" s="8" t="s">
        <v>8025</v>
      </c>
      <c r="D3934" s="8" t="s">
        <v>8026</v>
      </c>
      <c r="E3934" s="13">
        <v>0</v>
      </c>
      <c r="F3934" s="14">
        <v>0</v>
      </c>
    </row>
    <row r="3935" spans="1:6" x14ac:dyDescent="0.3">
      <c r="A3935" s="8">
        <v>3933</v>
      </c>
      <c r="B3935" s="8" t="s">
        <v>2792</v>
      </c>
      <c r="C3935" s="8" t="s">
        <v>8027</v>
      </c>
      <c r="D3935" s="8" t="s">
        <v>8028</v>
      </c>
      <c r="E3935" s="13">
        <v>378000</v>
      </c>
      <c r="F3935" s="14">
        <v>755556</v>
      </c>
    </row>
    <row r="3936" spans="1:6" x14ac:dyDescent="0.3">
      <c r="A3936" s="8">
        <v>3934</v>
      </c>
      <c r="B3936" s="8" t="s">
        <v>2792</v>
      </c>
      <c r="C3936" s="8" t="s">
        <v>8029</v>
      </c>
      <c r="D3936" s="8" t="s">
        <v>8030</v>
      </c>
      <c r="E3936" s="13">
        <v>0</v>
      </c>
      <c r="F3936" s="14">
        <v>0</v>
      </c>
    </row>
    <row r="3937" spans="1:6" x14ac:dyDescent="0.3">
      <c r="A3937" s="8">
        <v>3935</v>
      </c>
      <c r="B3937" s="8" t="s">
        <v>2792</v>
      </c>
      <c r="C3937" s="8" t="s">
        <v>8031</v>
      </c>
      <c r="D3937" s="8" t="s">
        <v>8032</v>
      </c>
      <c r="E3937" s="13">
        <v>0</v>
      </c>
      <c r="F3937" s="14">
        <v>0</v>
      </c>
    </row>
    <row r="3938" spans="1:6" x14ac:dyDescent="0.3">
      <c r="A3938" s="8">
        <v>3936</v>
      </c>
      <c r="B3938" s="8" t="s">
        <v>2792</v>
      </c>
      <c r="C3938" s="8" t="s">
        <v>8033</v>
      </c>
      <c r="D3938" s="8" t="s">
        <v>8034</v>
      </c>
      <c r="E3938" s="13">
        <v>3146000</v>
      </c>
      <c r="F3938" s="14">
        <v>6291667</v>
      </c>
    </row>
    <row r="3939" spans="1:6" x14ac:dyDescent="0.3">
      <c r="A3939" s="8">
        <v>3937</v>
      </c>
      <c r="B3939" s="8" t="s">
        <v>2792</v>
      </c>
      <c r="C3939" s="8" t="s">
        <v>8035</v>
      </c>
      <c r="D3939" s="8" t="s">
        <v>8036</v>
      </c>
      <c r="E3939" s="13">
        <v>3146000</v>
      </c>
      <c r="F3939" s="14">
        <v>6291667</v>
      </c>
    </row>
    <row r="3940" spans="1:6" x14ac:dyDescent="0.3">
      <c r="A3940" s="8">
        <v>3938</v>
      </c>
      <c r="B3940" s="8" t="s">
        <v>2792</v>
      </c>
      <c r="C3940" s="8" t="s">
        <v>8037</v>
      </c>
      <c r="D3940" s="8" t="s">
        <v>8038</v>
      </c>
      <c r="E3940" s="13">
        <v>1414000</v>
      </c>
      <c r="F3940" s="14">
        <v>2827778</v>
      </c>
    </row>
    <row r="3941" spans="1:6" x14ac:dyDescent="0.3">
      <c r="A3941" s="8">
        <v>3939</v>
      </c>
      <c r="B3941" s="8" t="s">
        <v>2792</v>
      </c>
      <c r="C3941" s="8" t="s">
        <v>8039</v>
      </c>
      <c r="D3941" s="8" t="s">
        <v>8040</v>
      </c>
      <c r="E3941" s="13">
        <v>0</v>
      </c>
      <c r="F3941" s="14">
        <v>0</v>
      </c>
    </row>
    <row r="3942" spans="1:6" x14ac:dyDescent="0.3">
      <c r="A3942" s="8">
        <v>3940</v>
      </c>
      <c r="B3942" s="8" t="s">
        <v>2792</v>
      </c>
      <c r="C3942" s="8" t="s">
        <v>8041</v>
      </c>
      <c r="D3942" s="8" t="s">
        <v>8042</v>
      </c>
      <c r="E3942" s="13">
        <v>0</v>
      </c>
      <c r="F3942" s="14">
        <v>0</v>
      </c>
    </row>
    <row r="3943" spans="1:6" x14ac:dyDescent="0.3">
      <c r="A3943" s="8">
        <v>3941</v>
      </c>
      <c r="B3943" s="8" t="s">
        <v>2792</v>
      </c>
      <c r="C3943" s="8" t="s">
        <v>8043</v>
      </c>
      <c r="D3943" s="8" t="s">
        <v>8044</v>
      </c>
      <c r="E3943" s="13">
        <v>0</v>
      </c>
      <c r="F3943" s="14">
        <v>3000000</v>
      </c>
    </row>
    <row r="3944" spans="1:6" x14ac:dyDescent="0.3">
      <c r="A3944" s="8">
        <v>3942</v>
      </c>
      <c r="B3944" s="8" t="s">
        <v>2792</v>
      </c>
      <c r="C3944" s="8" t="s">
        <v>8045</v>
      </c>
      <c r="D3944" s="8" t="s">
        <v>8046</v>
      </c>
      <c r="E3944" s="13">
        <v>0</v>
      </c>
      <c r="F3944" s="14">
        <v>0</v>
      </c>
    </row>
    <row r="3945" spans="1:6" x14ac:dyDescent="0.3">
      <c r="A3945" s="8">
        <v>3943</v>
      </c>
      <c r="B3945" s="8" t="s">
        <v>2792</v>
      </c>
      <c r="C3945" s="8" t="s">
        <v>8047</v>
      </c>
      <c r="D3945" s="8" t="s">
        <v>8048</v>
      </c>
      <c r="E3945" s="13">
        <v>121000</v>
      </c>
      <c r="F3945" s="14">
        <v>241667</v>
      </c>
    </row>
    <row r="3946" spans="1:6" x14ac:dyDescent="0.3">
      <c r="A3946" s="8">
        <v>3944</v>
      </c>
      <c r="B3946" s="8" t="s">
        <v>2792</v>
      </c>
      <c r="C3946" s="8" t="s">
        <v>8049</v>
      </c>
      <c r="D3946" s="8" t="s">
        <v>8050</v>
      </c>
      <c r="E3946" s="13">
        <v>0</v>
      </c>
      <c r="F3946" s="14">
        <v>0</v>
      </c>
    </row>
    <row r="3947" spans="1:6" x14ac:dyDescent="0.3">
      <c r="A3947" s="8">
        <v>3945</v>
      </c>
      <c r="B3947" s="8" t="s">
        <v>2792</v>
      </c>
      <c r="C3947" s="8" t="s">
        <v>8051</v>
      </c>
      <c r="D3947" s="8" t="s">
        <v>8052</v>
      </c>
      <c r="E3947" s="13">
        <v>0</v>
      </c>
      <c r="F3947" s="14">
        <v>0</v>
      </c>
    </row>
    <row r="3948" spans="1:6" x14ac:dyDescent="0.3">
      <c r="A3948" s="8">
        <v>3946</v>
      </c>
      <c r="B3948" s="8" t="s">
        <v>2792</v>
      </c>
      <c r="C3948" s="8" t="s">
        <v>8053</v>
      </c>
      <c r="D3948" s="8" t="s">
        <v>8054</v>
      </c>
      <c r="E3948" s="13">
        <v>0</v>
      </c>
      <c r="F3948" s="14">
        <v>0</v>
      </c>
    </row>
    <row r="3949" spans="1:6" x14ac:dyDescent="0.3">
      <c r="A3949" s="8">
        <v>3947</v>
      </c>
      <c r="B3949" s="8" t="s">
        <v>2792</v>
      </c>
      <c r="C3949" s="8" t="s">
        <v>8055</v>
      </c>
      <c r="D3949" s="8" t="s">
        <v>8056</v>
      </c>
      <c r="E3949" s="13">
        <v>0</v>
      </c>
      <c r="F3949" s="14">
        <v>0</v>
      </c>
    </row>
    <row r="3950" spans="1:6" x14ac:dyDescent="0.3">
      <c r="A3950" s="8">
        <v>3948</v>
      </c>
      <c r="B3950" s="8" t="s">
        <v>4148</v>
      </c>
      <c r="C3950" s="8" t="s">
        <v>8057</v>
      </c>
      <c r="D3950" s="8" t="s">
        <v>8058</v>
      </c>
      <c r="E3950" s="13">
        <v>75560</v>
      </c>
      <c r="F3950" s="14">
        <v>142000</v>
      </c>
    </row>
    <row r="3951" spans="1:6" x14ac:dyDescent="0.3">
      <c r="A3951" s="8">
        <v>3949</v>
      </c>
      <c r="B3951" s="8" t="s">
        <v>4148</v>
      </c>
      <c r="C3951" s="8" t="s">
        <v>8059</v>
      </c>
      <c r="D3951" s="8" t="s">
        <v>8060</v>
      </c>
      <c r="E3951" s="13">
        <v>0</v>
      </c>
      <c r="F3951" s="14">
        <v>0</v>
      </c>
    </row>
    <row r="3952" spans="1:6" x14ac:dyDescent="0.3">
      <c r="A3952" s="8">
        <v>3950</v>
      </c>
      <c r="B3952" s="8" t="s">
        <v>4148</v>
      </c>
      <c r="C3952" s="8" t="s">
        <v>8061</v>
      </c>
      <c r="D3952" s="8" t="s">
        <v>8062</v>
      </c>
      <c r="E3952" s="13">
        <v>63100</v>
      </c>
      <c r="F3952" s="14">
        <v>113000</v>
      </c>
    </row>
    <row r="3953" spans="1:6" x14ac:dyDescent="0.3">
      <c r="A3953" s="8">
        <v>3951</v>
      </c>
      <c r="B3953" s="8" t="s">
        <v>4148</v>
      </c>
      <c r="C3953" s="8" t="s">
        <v>8063</v>
      </c>
      <c r="D3953" s="8" t="s">
        <v>8064</v>
      </c>
      <c r="E3953" s="13">
        <v>83800</v>
      </c>
      <c r="F3953" s="14">
        <v>167593</v>
      </c>
    </row>
    <row r="3954" spans="1:6" x14ac:dyDescent="0.3">
      <c r="A3954" s="8">
        <v>3952</v>
      </c>
      <c r="B3954" s="8" t="s">
        <v>4148</v>
      </c>
      <c r="C3954" s="8" t="s">
        <v>8065</v>
      </c>
      <c r="D3954" s="8" t="s">
        <v>8066</v>
      </c>
      <c r="E3954" s="13">
        <v>64400</v>
      </c>
      <c r="F3954" s="14">
        <v>128000</v>
      </c>
    </row>
    <row r="3955" spans="1:6" x14ac:dyDescent="0.3">
      <c r="A3955" s="8">
        <v>3953</v>
      </c>
      <c r="B3955" s="8" t="s">
        <v>4148</v>
      </c>
      <c r="C3955" s="8" t="s">
        <v>8067</v>
      </c>
      <c r="D3955" s="8" t="s">
        <v>8068</v>
      </c>
      <c r="E3955" s="13">
        <v>64400</v>
      </c>
      <c r="F3955" s="14">
        <v>128000</v>
      </c>
    </row>
    <row r="3956" spans="1:6" x14ac:dyDescent="0.3">
      <c r="A3956" s="8">
        <v>3954</v>
      </c>
      <c r="B3956" s="8" t="s">
        <v>6029</v>
      </c>
      <c r="C3956" s="8" t="s">
        <v>8069</v>
      </c>
      <c r="D3956" s="8" t="s">
        <v>8070</v>
      </c>
      <c r="E3956" s="13">
        <v>142000</v>
      </c>
      <c r="F3956" s="14">
        <v>284259</v>
      </c>
    </row>
    <row r="3957" spans="1:6" x14ac:dyDescent="0.3">
      <c r="A3957" s="8">
        <v>3955</v>
      </c>
      <c r="B3957" s="8" t="s">
        <v>6022</v>
      </c>
      <c r="C3957" s="8" t="s">
        <v>8071</v>
      </c>
      <c r="D3957" s="8" t="s">
        <v>8072</v>
      </c>
      <c r="E3957" s="13">
        <v>0</v>
      </c>
      <c r="F3957" s="14">
        <v>0</v>
      </c>
    </row>
    <row r="3958" spans="1:6" x14ac:dyDescent="0.3">
      <c r="A3958" s="8">
        <v>3956</v>
      </c>
      <c r="B3958" s="8" t="s">
        <v>6029</v>
      </c>
      <c r="C3958" s="8" t="s">
        <v>8073</v>
      </c>
      <c r="D3958" s="8" t="s">
        <v>8074</v>
      </c>
      <c r="E3958" s="13">
        <v>0</v>
      </c>
      <c r="F3958" s="14">
        <v>0</v>
      </c>
    </row>
    <row r="3959" spans="1:6" x14ac:dyDescent="0.3">
      <c r="A3959" s="8">
        <v>3957</v>
      </c>
      <c r="B3959" s="8" t="s">
        <v>6029</v>
      </c>
      <c r="C3959" s="8" t="s">
        <v>8075</v>
      </c>
      <c r="D3959" s="8" t="s">
        <v>8076</v>
      </c>
      <c r="E3959" s="13">
        <v>0</v>
      </c>
      <c r="F3959" s="14">
        <v>0</v>
      </c>
    </row>
    <row r="3960" spans="1:6" x14ac:dyDescent="0.3">
      <c r="A3960" s="8">
        <v>3958</v>
      </c>
      <c r="B3960" s="8" t="s">
        <v>6022</v>
      </c>
      <c r="C3960" s="8" t="s">
        <v>8077</v>
      </c>
      <c r="D3960" s="8" t="s">
        <v>8078</v>
      </c>
      <c r="E3960" s="13">
        <v>0</v>
      </c>
      <c r="F3960" s="14">
        <v>0</v>
      </c>
    </row>
    <row r="3961" spans="1:6" x14ac:dyDescent="0.3">
      <c r="A3961" s="8">
        <v>3959</v>
      </c>
      <c r="B3961" s="8" t="s">
        <v>6022</v>
      </c>
      <c r="C3961" s="8" t="s">
        <v>8079</v>
      </c>
      <c r="D3961" s="8" t="s">
        <v>8080</v>
      </c>
      <c r="E3961" s="13">
        <v>0</v>
      </c>
      <c r="F3961" s="14">
        <v>0</v>
      </c>
    </row>
    <row r="3962" spans="1:6" x14ac:dyDescent="0.3">
      <c r="A3962" s="8">
        <v>3960</v>
      </c>
      <c r="B3962" s="8" t="s">
        <v>6022</v>
      </c>
      <c r="C3962" s="8" t="s">
        <v>8081</v>
      </c>
      <c r="D3962" s="8" t="s">
        <v>8082</v>
      </c>
      <c r="E3962" s="13">
        <v>0</v>
      </c>
      <c r="F3962" s="14">
        <v>0</v>
      </c>
    </row>
    <row r="3963" spans="1:6" x14ac:dyDescent="0.3">
      <c r="A3963" s="8">
        <v>3961</v>
      </c>
      <c r="B3963" s="8" t="s">
        <v>6029</v>
      </c>
      <c r="C3963" s="8" t="s">
        <v>8083</v>
      </c>
      <c r="D3963" s="8" t="s">
        <v>8084</v>
      </c>
      <c r="E3963" s="13">
        <v>0</v>
      </c>
      <c r="F3963" s="14">
        <v>0</v>
      </c>
    </row>
    <row r="3964" spans="1:6" x14ac:dyDescent="0.3">
      <c r="A3964" s="8">
        <v>3962</v>
      </c>
      <c r="B3964" s="8" t="s">
        <v>6022</v>
      </c>
      <c r="C3964" s="8" t="s">
        <v>8085</v>
      </c>
      <c r="D3964" s="8" t="s">
        <v>8086</v>
      </c>
      <c r="E3964" s="13">
        <v>0</v>
      </c>
      <c r="F3964" s="14">
        <v>0</v>
      </c>
    </row>
    <row r="3965" spans="1:6" x14ac:dyDescent="0.3">
      <c r="A3965" s="8">
        <v>3963</v>
      </c>
      <c r="B3965" s="8" t="s">
        <v>6516</v>
      </c>
      <c r="C3965" s="8" t="s">
        <v>8087</v>
      </c>
      <c r="D3965" s="8" t="s">
        <v>8088</v>
      </c>
      <c r="E3965" s="13">
        <v>620000</v>
      </c>
      <c r="F3965" s="14">
        <v>1120000</v>
      </c>
    </row>
    <row r="3966" spans="1:6" x14ac:dyDescent="0.3">
      <c r="A3966" s="8">
        <v>3964</v>
      </c>
      <c r="B3966" s="8" t="s">
        <v>6516</v>
      </c>
      <c r="C3966" s="8" t="s">
        <v>8089</v>
      </c>
      <c r="D3966" s="8" t="s">
        <v>8090</v>
      </c>
      <c r="E3966" s="13">
        <v>1205000</v>
      </c>
      <c r="F3966" s="14">
        <v>2072000</v>
      </c>
    </row>
    <row r="3967" spans="1:6" x14ac:dyDescent="0.3">
      <c r="A3967" s="8">
        <v>3965</v>
      </c>
      <c r="B3967" s="8" t="s">
        <v>6516</v>
      </c>
      <c r="C3967" s="8" t="s">
        <v>8091</v>
      </c>
      <c r="D3967" s="8" t="s">
        <v>8092</v>
      </c>
      <c r="E3967" s="13">
        <v>3468000</v>
      </c>
      <c r="F3967" s="14">
        <v>5576000</v>
      </c>
    </row>
    <row r="3968" spans="1:6" x14ac:dyDescent="0.3">
      <c r="A3968" s="8">
        <v>3966</v>
      </c>
      <c r="B3968" s="8" t="s">
        <v>6516</v>
      </c>
      <c r="C3968" s="8" t="s">
        <v>8093</v>
      </c>
      <c r="D3968" s="8" t="s">
        <v>8094</v>
      </c>
      <c r="E3968" s="13">
        <v>532000</v>
      </c>
      <c r="F3968" s="14">
        <v>1063889</v>
      </c>
    </row>
    <row r="3969" spans="1:6" x14ac:dyDescent="0.3">
      <c r="A3969" s="8">
        <v>3967</v>
      </c>
      <c r="B3969" s="8" t="s">
        <v>6516</v>
      </c>
      <c r="C3969" s="8" t="s">
        <v>8095</v>
      </c>
      <c r="D3969" s="8" t="s">
        <v>8096</v>
      </c>
      <c r="E3969" s="13">
        <v>0</v>
      </c>
      <c r="F3969" s="14">
        <v>1080000</v>
      </c>
    </row>
    <row r="3970" spans="1:6" x14ac:dyDescent="0.3">
      <c r="A3970" s="8">
        <v>3968</v>
      </c>
      <c r="B3970" s="8" t="s">
        <v>6516</v>
      </c>
      <c r="C3970" s="8" t="s">
        <v>8097</v>
      </c>
      <c r="D3970" s="8" t="s">
        <v>8098</v>
      </c>
      <c r="E3970" s="13">
        <v>0</v>
      </c>
      <c r="F3970" s="14">
        <v>1420000</v>
      </c>
    </row>
    <row r="3971" spans="1:6" x14ac:dyDescent="0.3">
      <c r="A3971" s="8">
        <v>3969</v>
      </c>
      <c r="B3971" s="8" t="s">
        <v>6516</v>
      </c>
      <c r="C3971" s="8" t="s">
        <v>8099</v>
      </c>
      <c r="D3971" s="8" t="s">
        <v>8100</v>
      </c>
      <c r="E3971" s="13">
        <v>855000</v>
      </c>
      <c r="F3971" s="14">
        <v>1538000</v>
      </c>
    </row>
    <row r="3972" spans="1:6" x14ac:dyDescent="0.3">
      <c r="A3972" s="8">
        <v>3970</v>
      </c>
      <c r="B3972" s="8" t="s">
        <v>6516</v>
      </c>
      <c r="C3972" s="8" t="s">
        <v>8101</v>
      </c>
      <c r="D3972" s="8" t="s">
        <v>8102</v>
      </c>
      <c r="E3972" s="13">
        <v>0</v>
      </c>
      <c r="F3972" s="14">
        <v>0</v>
      </c>
    </row>
    <row r="3973" spans="1:6" x14ac:dyDescent="0.3">
      <c r="A3973" s="8">
        <v>3971</v>
      </c>
      <c r="B3973" s="8" t="s">
        <v>6516</v>
      </c>
      <c r="C3973" s="8" t="s">
        <v>8103</v>
      </c>
      <c r="D3973" s="8" t="s">
        <v>8104</v>
      </c>
      <c r="E3973" s="13">
        <v>0</v>
      </c>
      <c r="F3973" s="14">
        <v>0</v>
      </c>
    </row>
    <row r="3974" spans="1:6" x14ac:dyDescent="0.3">
      <c r="A3974" s="8">
        <v>3972</v>
      </c>
      <c r="B3974" s="8" t="s">
        <v>6516</v>
      </c>
      <c r="C3974" s="8" t="s">
        <v>8105</v>
      </c>
      <c r="D3974" s="8" t="s">
        <v>8106</v>
      </c>
      <c r="E3974" s="13">
        <v>0</v>
      </c>
      <c r="F3974" s="14">
        <v>0</v>
      </c>
    </row>
    <row r="3975" spans="1:6" x14ac:dyDescent="0.3">
      <c r="A3975" s="8">
        <v>3973</v>
      </c>
      <c r="B3975" s="8" t="s">
        <v>6516</v>
      </c>
      <c r="C3975" s="8" t="s">
        <v>8107</v>
      </c>
      <c r="D3975" s="8" t="s">
        <v>8108</v>
      </c>
      <c r="E3975" s="13">
        <v>0</v>
      </c>
      <c r="F3975" s="14">
        <v>912000</v>
      </c>
    </row>
    <row r="3976" spans="1:6" x14ac:dyDescent="0.3">
      <c r="A3976" s="8">
        <v>3974</v>
      </c>
      <c r="B3976" s="8" t="s">
        <v>6516</v>
      </c>
      <c r="C3976" s="8" t="s">
        <v>8109</v>
      </c>
      <c r="D3976" s="8" t="s">
        <v>8110</v>
      </c>
      <c r="E3976" s="13">
        <v>0</v>
      </c>
      <c r="F3976" s="14">
        <v>1733000</v>
      </c>
    </row>
    <row r="3977" spans="1:6" x14ac:dyDescent="0.3">
      <c r="A3977" s="8">
        <v>3975</v>
      </c>
      <c r="B3977" s="8" t="s">
        <v>6516</v>
      </c>
      <c r="C3977" s="8" t="s">
        <v>8111</v>
      </c>
      <c r="D3977" s="8" t="s">
        <v>8112</v>
      </c>
      <c r="E3977" s="13">
        <v>481000</v>
      </c>
      <c r="F3977" s="14">
        <v>962037</v>
      </c>
    </row>
    <row r="3978" spans="1:6" x14ac:dyDescent="0.3">
      <c r="A3978" s="8">
        <v>3976</v>
      </c>
      <c r="B3978" s="8" t="s">
        <v>6516</v>
      </c>
      <c r="C3978" s="8" t="s">
        <v>8113</v>
      </c>
      <c r="D3978" s="8" t="s">
        <v>8114</v>
      </c>
      <c r="E3978" s="13">
        <v>537000</v>
      </c>
      <c r="F3978" s="14">
        <v>1074074</v>
      </c>
    </row>
    <row r="3979" spans="1:6" x14ac:dyDescent="0.3">
      <c r="A3979" s="8">
        <v>3977</v>
      </c>
      <c r="B3979" s="8" t="s">
        <v>6516</v>
      </c>
      <c r="C3979" s="8" t="s">
        <v>8115</v>
      </c>
      <c r="D3979" s="8" t="s">
        <v>8116</v>
      </c>
      <c r="E3979" s="13">
        <v>0</v>
      </c>
      <c r="F3979" s="14">
        <v>1213000</v>
      </c>
    </row>
    <row r="3980" spans="1:6" x14ac:dyDescent="0.3">
      <c r="A3980" s="8">
        <v>3978</v>
      </c>
      <c r="B3980" s="8" t="s">
        <v>7368</v>
      </c>
      <c r="C3980" s="8" t="s">
        <v>8117</v>
      </c>
      <c r="D3980" s="8" t="s">
        <v>8118</v>
      </c>
      <c r="E3980" s="13">
        <v>0</v>
      </c>
      <c r="F3980" s="14">
        <v>0</v>
      </c>
    </row>
    <row r="3981" spans="1:6" x14ac:dyDescent="0.3">
      <c r="A3981" s="8">
        <v>3979</v>
      </c>
      <c r="B3981" s="8" t="s">
        <v>7368</v>
      </c>
      <c r="C3981" s="8" t="s">
        <v>8119</v>
      </c>
      <c r="D3981" s="8" t="s">
        <v>8120</v>
      </c>
      <c r="E3981" s="13">
        <v>105000</v>
      </c>
      <c r="F3981" s="14">
        <v>210185</v>
      </c>
    </row>
    <row r="3982" spans="1:6" x14ac:dyDescent="0.3">
      <c r="A3982" s="8">
        <v>3980</v>
      </c>
      <c r="B3982" s="8" t="s">
        <v>7368</v>
      </c>
      <c r="C3982" s="8" t="s">
        <v>8121</v>
      </c>
      <c r="D3982" s="8" t="s">
        <v>8122</v>
      </c>
      <c r="E3982" s="13">
        <v>51200</v>
      </c>
      <c r="F3982" s="14">
        <v>107407</v>
      </c>
    </row>
    <row r="3983" spans="1:6" x14ac:dyDescent="0.3">
      <c r="A3983" s="8">
        <v>3981</v>
      </c>
      <c r="B3983" s="8" t="s">
        <v>7368</v>
      </c>
      <c r="C3983" s="8" t="s">
        <v>8123</v>
      </c>
      <c r="D3983" s="8" t="s">
        <v>8124</v>
      </c>
      <c r="E3983" s="13">
        <v>68600</v>
      </c>
      <c r="F3983" s="14">
        <v>137037</v>
      </c>
    </row>
    <row r="3984" spans="1:6" x14ac:dyDescent="0.3">
      <c r="A3984" s="8">
        <v>3982</v>
      </c>
      <c r="B3984" s="8" t="s">
        <v>7681</v>
      </c>
      <c r="C3984" s="8" t="s">
        <v>8125</v>
      </c>
      <c r="D3984" s="8" t="s">
        <v>8126</v>
      </c>
      <c r="E3984" s="13">
        <v>0</v>
      </c>
      <c r="F3984" s="14">
        <v>0</v>
      </c>
    </row>
    <row r="3985" spans="1:6" x14ac:dyDescent="0.3">
      <c r="A3985" s="8">
        <v>3983</v>
      </c>
      <c r="B3985" s="8" t="s">
        <v>7681</v>
      </c>
      <c r="C3985" s="8" t="s">
        <v>8127</v>
      </c>
      <c r="D3985" s="8" t="s">
        <v>8128</v>
      </c>
      <c r="E3985" s="13">
        <v>0</v>
      </c>
      <c r="F3985" s="14">
        <v>0</v>
      </c>
    </row>
    <row r="3986" spans="1:6" x14ac:dyDescent="0.3">
      <c r="A3986" s="8">
        <v>3984</v>
      </c>
      <c r="B3986" s="8" t="s">
        <v>7681</v>
      </c>
      <c r="C3986" s="8" t="s">
        <v>8129</v>
      </c>
      <c r="D3986" s="8" t="s">
        <v>8130</v>
      </c>
      <c r="E3986" s="13">
        <v>0</v>
      </c>
      <c r="F3986" s="14">
        <v>0</v>
      </c>
    </row>
    <row r="3987" spans="1:6" x14ac:dyDescent="0.3">
      <c r="A3987" s="8">
        <v>3985</v>
      </c>
      <c r="B3987" s="8" t="s">
        <v>7681</v>
      </c>
      <c r="C3987" s="8" t="s">
        <v>8131</v>
      </c>
      <c r="D3987" s="8" t="s">
        <v>8132</v>
      </c>
      <c r="E3987" s="13">
        <v>125000</v>
      </c>
      <c r="F3987" s="14">
        <v>250000</v>
      </c>
    </row>
    <row r="3988" spans="1:6" x14ac:dyDescent="0.3">
      <c r="A3988" s="8">
        <v>3986</v>
      </c>
      <c r="B3988" s="8" t="s">
        <v>7681</v>
      </c>
      <c r="C3988" s="8" t="s">
        <v>8133</v>
      </c>
      <c r="D3988" s="8" t="s">
        <v>8134</v>
      </c>
      <c r="E3988" s="13">
        <v>67800</v>
      </c>
      <c r="F3988" s="14">
        <v>136000</v>
      </c>
    </row>
    <row r="3989" spans="1:6" x14ac:dyDescent="0.3">
      <c r="A3989" s="8">
        <v>3987</v>
      </c>
      <c r="B3989" s="8" t="s">
        <v>7681</v>
      </c>
      <c r="C3989" s="8" t="s">
        <v>8135</v>
      </c>
      <c r="D3989" s="8" t="s">
        <v>8136</v>
      </c>
      <c r="E3989" s="13">
        <v>47000</v>
      </c>
      <c r="F3989" s="14">
        <v>93519</v>
      </c>
    </row>
    <row r="3990" spans="1:6" x14ac:dyDescent="0.3">
      <c r="A3990" s="8">
        <v>3988</v>
      </c>
      <c r="B3990" s="8" t="s">
        <v>7681</v>
      </c>
      <c r="C3990" s="8" t="s">
        <v>8137</v>
      </c>
      <c r="D3990" s="8" t="s">
        <v>8138</v>
      </c>
      <c r="E3990" s="13">
        <v>0</v>
      </c>
      <c r="F3990" s="14">
        <v>0</v>
      </c>
    </row>
    <row r="3991" spans="1:6" x14ac:dyDescent="0.3">
      <c r="A3991" s="8">
        <v>3989</v>
      </c>
      <c r="B3991" s="8" t="s">
        <v>7681</v>
      </c>
      <c r="C3991" s="8" t="s">
        <v>8139</v>
      </c>
      <c r="D3991" s="8" t="s">
        <v>8140</v>
      </c>
      <c r="E3991" s="13">
        <v>1050000</v>
      </c>
      <c r="F3991" s="14">
        <v>2100000</v>
      </c>
    </row>
    <row r="3992" spans="1:6" x14ac:dyDescent="0.3">
      <c r="A3992" s="8">
        <v>3990</v>
      </c>
      <c r="B3992" s="8" t="s">
        <v>7681</v>
      </c>
      <c r="C3992" s="8" t="s">
        <v>8141</v>
      </c>
      <c r="D3992" s="8" t="s">
        <v>8142</v>
      </c>
      <c r="E3992" s="13">
        <v>0</v>
      </c>
      <c r="F3992" s="14">
        <v>0</v>
      </c>
    </row>
    <row r="3993" spans="1:6" x14ac:dyDescent="0.3">
      <c r="A3993" s="8">
        <v>3991</v>
      </c>
      <c r="B3993" s="8" t="s">
        <v>7694</v>
      </c>
      <c r="C3993" s="8" t="s">
        <v>8143</v>
      </c>
      <c r="D3993" s="8" t="s">
        <v>8144</v>
      </c>
      <c r="E3993" s="13">
        <v>0</v>
      </c>
      <c r="F3993" s="14">
        <v>0</v>
      </c>
    </row>
    <row r="3994" spans="1:6" x14ac:dyDescent="0.3">
      <c r="A3994" s="8">
        <v>3992</v>
      </c>
      <c r="B3994" s="8" t="s">
        <v>7694</v>
      </c>
      <c r="C3994" s="8" t="s">
        <v>8145</v>
      </c>
      <c r="D3994" s="8" t="s">
        <v>8146</v>
      </c>
      <c r="E3994" s="13">
        <v>117000</v>
      </c>
      <c r="F3994" s="14">
        <v>234259</v>
      </c>
    </row>
    <row r="3995" spans="1:6" x14ac:dyDescent="0.3">
      <c r="A3995" s="8">
        <v>3993</v>
      </c>
      <c r="B3995" s="8" t="s">
        <v>7694</v>
      </c>
      <c r="C3995" s="8" t="s">
        <v>8147</v>
      </c>
      <c r="D3995" s="8" t="s">
        <v>8148</v>
      </c>
      <c r="E3995" s="13">
        <v>550000</v>
      </c>
      <c r="F3995" s="14">
        <v>1100000</v>
      </c>
    </row>
    <row r="3996" spans="1:6" x14ac:dyDescent="0.3">
      <c r="A3996" s="8">
        <v>3994</v>
      </c>
      <c r="B3996" s="8" t="s">
        <v>7694</v>
      </c>
      <c r="C3996" s="8" t="s">
        <v>8149</v>
      </c>
      <c r="D3996" s="8" t="s">
        <v>8150</v>
      </c>
      <c r="E3996" s="13">
        <v>40100</v>
      </c>
      <c r="F3996" s="14">
        <v>84000</v>
      </c>
    </row>
    <row r="3997" spans="1:6" x14ac:dyDescent="0.3">
      <c r="A3997" s="8">
        <v>3995</v>
      </c>
      <c r="B3997" s="8" t="s">
        <v>7694</v>
      </c>
      <c r="C3997" s="8" t="s">
        <v>8151</v>
      </c>
      <c r="D3997" s="8" t="s">
        <v>8152</v>
      </c>
      <c r="E3997" s="13">
        <v>0</v>
      </c>
      <c r="F3997" s="14">
        <v>0</v>
      </c>
    </row>
    <row r="3998" spans="1:6" x14ac:dyDescent="0.3">
      <c r="A3998" s="8">
        <v>3996</v>
      </c>
      <c r="B3998" s="8" t="s">
        <v>7694</v>
      </c>
      <c r="C3998" s="8" t="s">
        <v>8153</v>
      </c>
      <c r="D3998" s="8" t="s">
        <v>8154</v>
      </c>
      <c r="E3998" s="13">
        <v>0</v>
      </c>
      <c r="F3998" s="14">
        <v>399091</v>
      </c>
    </row>
    <row r="3999" spans="1:6" x14ac:dyDescent="0.3">
      <c r="A3999" s="8">
        <v>3997</v>
      </c>
      <c r="B3999" s="8" t="s">
        <v>7694</v>
      </c>
      <c r="C3999" s="8" t="s">
        <v>8155</v>
      </c>
      <c r="D3999" s="8" t="s">
        <v>8156</v>
      </c>
      <c r="E3999" s="13">
        <v>0</v>
      </c>
      <c r="F3999" s="14">
        <v>869091</v>
      </c>
    </row>
    <row r="4000" spans="1:6" x14ac:dyDescent="0.3">
      <c r="A4000" s="8">
        <v>3998</v>
      </c>
      <c r="B4000" s="8" t="s">
        <v>7694</v>
      </c>
      <c r="C4000" s="8" t="s">
        <v>8157</v>
      </c>
      <c r="D4000" s="8" t="s">
        <v>8158</v>
      </c>
      <c r="E4000" s="13">
        <v>0</v>
      </c>
      <c r="F4000" s="14">
        <v>500000</v>
      </c>
    </row>
    <row r="4001" spans="1:6" x14ac:dyDescent="0.3">
      <c r="A4001" s="8">
        <v>3999</v>
      </c>
      <c r="B4001" s="8" t="s">
        <v>7694</v>
      </c>
      <c r="C4001" s="8" t="s">
        <v>8159</v>
      </c>
      <c r="D4001" s="8" t="s">
        <v>8160</v>
      </c>
      <c r="E4001" s="13">
        <v>0</v>
      </c>
      <c r="F4001" s="14">
        <v>1500000</v>
      </c>
    </row>
    <row r="4002" spans="1:6" x14ac:dyDescent="0.3">
      <c r="A4002" s="8">
        <v>4000</v>
      </c>
      <c r="B4002" s="8" t="s">
        <v>7694</v>
      </c>
      <c r="C4002" s="8" t="s">
        <v>8161</v>
      </c>
      <c r="D4002" s="8" t="s">
        <v>8162</v>
      </c>
      <c r="E4002" s="13">
        <v>0</v>
      </c>
      <c r="F4002" s="14">
        <v>865455</v>
      </c>
    </row>
    <row r="4003" spans="1:6" x14ac:dyDescent="0.3">
      <c r="A4003" s="8">
        <v>4001</v>
      </c>
      <c r="B4003" s="8" t="s">
        <v>7694</v>
      </c>
      <c r="C4003" s="8" t="s">
        <v>8163</v>
      </c>
      <c r="D4003" s="8" t="s">
        <v>8164</v>
      </c>
      <c r="E4003" s="13">
        <v>0</v>
      </c>
      <c r="F4003" s="14">
        <v>0</v>
      </c>
    </row>
    <row r="4004" spans="1:6" x14ac:dyDescent="0.3">
      <c r="A4004" s="8">
        <v>4002</v>
      </c>
      <c r="B4004" s="8" t="s">
        <v>7694</v>
      </c>
      <c r="C4004" s="8" t="s">
        <v>8165</v>
      </c>
      <c r="D4004" s="8" t="s">
        <v>8166</v>
      </c>
      <c r="E4004" s="13">
        <v>97000</v>
      </c>
      <c r="F4004" s="14">
        <v>193519</v>
      </c>
    </row>
    <row r="4005" spans="1:6" x14ac:dyDescent="0.3">
      <c r="A4005" s="8">
        <v>4003</v>
      </c>
      <c r="B4005" s="8" t="s">
        <v>4148</v>
      </c>
      <c r="C4005" s="8" t="s">
        <v>8167</v>
      </c>
      <c r="D4005" s="8" t="s">
        <v>8168</v>
      </c>
      <c r="E4005" s="13">
        <v>70100</v>
      </c>
      <c r="F4005" s="14">
        <v>139815</v>
      </c>
    </row>
    <row r="4006" spans="1:6" x14ac:dyDescent="0.3">
      <c r="A4006" s="8">
        <v>4004</v>
      </c>
      <c r="B4006" s="8" t="s">
        <v>4148</v>
      </c>
      <c r="C4006" s="8" t="s">
        <v>8169</v>
      </c>
      <c r="D4006" s="8" t="s">
        <v>8170</v>
      </c>
      <c r="E4006" s="13">
        <v>0</v>
      </c>
      <c r="F4006" s="14">
        <v>196000</v>
      </c>
    </row>
    <row r="4007" spans="1:6" x14ac:dyDescent="0.3">
      <c r="A4007" s="8">
        <v>4005</v>
      </c>
      <c r="B4007" s="8" t="s">
        <v>4148</v>
      </c>
      <c r="C4007" s="8" t="s">
        <v>8171</v>
      </c>
      <c r="D4007" s="8" t="s">
        <v>8172</v>
      </c>
      <c r="E4007" s="13">
        <v>0</v>
      </c>
      <c r="F4007" s="14">
        <v>0</v>
      </c>
    </row>
    <row r="4008" spans="1:6" x14ac:dyDescent="0.3">
      <c r="A4008" s="8">
        <v>4006</v>
      </c>
      <c r="B4008" s="8" t="s">
        <v>4148</v>
      </c>
      <c r="C4008" s="8" t="s">
        <v>8173</v>
      </c>
      <c r="D4008" s="8" t="s">
        <v>8174</v>
      </c>
      <c r="E4008" s="13">
        <v>0</v>
      </c>
      <c r="F4008" s="14">
        <v>0</v>
      </c>
    </row>
    <row r="4009" spans="1:6" x14ac:dyDescent="0.3">
      <c r="A4009" s="8">
        <v>4007</v>
      </c>
      <c r="B4009" s="8" t="s">
        <v>4148</v>
      </c>
      <c r="C4009" s="8" t="s">
        <v>8175</v>
      </c>
      <c r="D4009" s="8" t="s">
        <v>8176</v>
      </c>
      <c r="E4009" s="13">
        <v>0</v>
      </c>
      <c r="F4009" s="14">
        <v>0</v>
      </c>
    </row>
    <row r="4010" spans="1:6" x14ac:dyDescent="0.3">
      <c r="A4010" s="8">
        <v>4008</v>
      </c>
      <c r="B4010" s="8" t="s">
        <v>4148</v>
      </c>
      <c r="C4010" s="8" t="s">
        <v>8177</v>
      </c>
      <c r="D4010" s="8" t="s">
        <v>8178</v>
      </c>
      <c r="E4010" s="13">
        <v>0</v>
      </c>
      <c r="F4010" s="14">
        <v>0</v>
      </c>
    </row>
    <row r="4011" spans="1:6" x14ac:dyDescent="0.3">
      <c r="A4011" s="8">
        <v>4009</v>
      </c>
      <c r="B4011" s="8" t="s">
        <v>4148</v>
      </c>
      <c r="C4011" s="8" t="s">
        <v>8179</v>
      </c>
      <c r="D4011" s="8" t="s">
        <v>8180</v>
      </c>
      <c r="E4011" s="13">
        <v>0</v>
      </c>
      <c r="F4011" s="14">
        <v>0</v>
      </c>
    </row>
    <row r="4012" spans="1:6" x14ac:dyDescent="0.3">
      <c r="A4012" s="8">
        <v>4010</v>
      </c>
      <c r="B4012" s="8" t="s">
        <v>4148</v>
      </c>
      <c r="C4012" s="8" t="s">
        <v>8181</v>
      </c>
      <c r="D4012" s="8" t="s">
        <v>8182</v>
      </c>
      <c r="E4012" s="13">
        <v>0</v>
      </c>
      <c r="F4012" s="14">
        <v>0</v>
      </c>
    </row>
    <row r="4013" spans="1:6" x14ac:dyDescent="0.3">
      <c r="A4013" s="8">
        <v>4011</v>
      </c>
      <c r="B4013" s="8" t="s">
        <v>4148</v>
      </c>
      <c r="C4013" s="8" t="s">
        <v>8183</v>
      </c>
      <c r="D4013" s="8" t="s">
        <v>8184</v>
      </c>
      <c r="E4013" s="13">
        <v>0</v>
      </c>
      <c r="F4013" s="14">
        <v>1194444</v>
      </c>
    </row>
    <row r="4014" spans="1:6" x14ac:dyDescent="0.3">
      <c r="A4014" s="8">
        <v>4012</v>
      </c>
      <c r="B4014" s="8" t="s">
        <v>4148</v>
      </c>
      <c r="C4014" s="8" t="s">
        <v>8185</v>
      </c>
      <c r="D4014" s="8" t="s">
        <v>8186</v>
      </c>
      <c r="E4014" s="13">
        <v>0</v>
      </c>
      <c r="F4014" s="14">
        <v>0</v>
      </c>
    </row>
    <row r="4015" spans="1:6" x14ac:dyDescent="0.3">
      <c r="A4015" s="8">
        <v>4013</v>
      </c>
      <c r="B4015" s="8" t="s">
        <v>4148</v>
      </c>
      <c r="C4015" s="8" t="s">
        <v>8187</v>
      </c>
      <c r="D4015" s="8" t="s">
        <v>8188</v>
      </c>
      <c r="E4015" s="13">
        <v>0</v>
      </c>
      <c r="F4015" s="14">
        <v>0</v>
      </c>
    </row>
    <row r="4016" spans="1:6" x14ac:dyDescent="0.3">
      <c r="A4016" s="8">
        <v>4014</v>
      </c>
      <c r="B4016" s="8" t="s">
        <v>4148</v>
      </c>
      <c r="C4016" s="8" t="s">
        <v>8189</v>
      </c>
      <c r="D4016" s="8" t="s">
        <v>8190</v>
      </c>
      <c r="E4016" s="13">
        <v>0</v>
      </c>
      <c r="F4016" s="14">
        <v>0</v>
      </c>
    </row>
    <row r="4017" spans="1:6" x14ac:dyDescent="0.3">
      <c r="A4017" s="8">
        <v>4015</v>
      </c>
      <c r="B4017" s="8" t="s">
        <v>4148</v>
      </c>
      <c r="C4017" s="8" t="s">
        <v>8191</v>
      </c>
      <c r="D4017" s="8" t="s">
        <v>8192</v>
      </c>
      <c r="E4017" s="13">
        <v>0</v>
      </c>
      <c r="F4017" s="14">
        <v>0</v>
      </c>
    </row>
    <row r="4018" spans="1:6" x14ac:dyDescent="0.3">
      <c r="A4018" s="8">
        <v>4016</v>
      </c>
      <c r="B4018" s="8" t="s">
        <v>4148</v>
      </c>
      <c r="C4018" s="8" t="s">
        <v>8193</v>
      </c>
      <c r="D4018" s="8" t="s">
        <v>8194</v>
      </c>
      <c r="E4018" s="13">
        <v>0</v>
      </c>
      <c r="F4018" s="14">
        <v>0</v>
      </c>
    </row>
    <row r="4019" spans="1:6" x14ac:dyDescent="0.3">
      <c r="A4019" s="8">
        <v>4017</v>
      </c>
      <c r="B4019" s="8" t="s">
        <v>4148</v>
      </c>
      <c r="C4019" s="8" t="s">
        <v>8195</v>
      </c>
      <c r="D4019" s="8" t="s">
        <v>8196</v>
      </c>
      <c r="E4019" s="13">
        <v>0</v>
      </c>
      <c r="F4019" s="14">
        <v>0</v>
      </c>
    </row>
    <row r="4020" spans="1:6" x14ac:dyDescent="0.3">
      <c r="A4020" s="8">
        <v>4018</v>
      </c>
      <c r="B4020" s="8" t="s">
        <v>4148</v>
      </c>
      <c r="C4020" s="8" t="s">
        <v>8197</v>
      </c>
      <c r="D4020" s="8" t="s">
        <v>8198</v>
      </c>
      <c r="E4020" s="13">
        <v>94600</v>
      </c>
      <c r="F4020" s="14">
        <v>188889</v>
      </c>
    </row>
    <row r="4021" spans="1:6" x14ac:dyDescent="0.3">
      <c r="A4021" s="8">
        <v>4019</v>
      </c>
      <c r="B4021" s="8" t="s">
        <v>4148</v>
      </c>
      <c r="C4021" s="8" t="s">
        <v>8199</v>
      </c>
      <c r="D4021" s="8" t="s">
        <v>8200</v>
      </c>
      <c r="E4021" s="13">
        <v>0</v>
      </c>
      <c r="F4021" s="14">
        <v>0</v>
      </c>
    </row>
    <row r="4022" spans="1:6" x14ac:dyDescent="0.3">
      <c r="A4022" s="8">
        <v>4020</v>
      </c>
      <c r="B4022" s="8" t="s">
        <v>4148</v>
      </c>
      <c r="C4022" s="8" t="s">
        <v>8201</v>
      </c>
      <c r="D4022" s="8" t="s">
        <v>8202</v>
      </c>
      <c r="E4022" s="13">
        <v>0</v>
      </c>
      <c r="F4022" s="14">
        <v>0</v>
      </c>
    </row>
    <row r="4023" spans="1:6" x14ac:dyDescent="0.3">
      <c r="A4023" s="8">
        <v>4021</v>
      </c>
      <c r="B4023" s="8" t="s">
        <v>4148</v>
      </c>
      <c r="C4023" s="8" t="s">
        <v>8203</v>
      </c>
      <c r="D4023" s="8" t="s">
        <v>8204</v>
      </c>
      <c r="E4023" s="13">
        <v>135000</v>
      </c>
      <c r="F4023" s="14">
        <v>270370</v>
      </c>
    </row>
    <row r="4024" spans="1:6" x14ac:dyDescent="0.3">
      <c r="A4024" s="8">
        <v>4022</v>
      </c>
      <c r="B4024" s="8" t="s">
        <v>4148</v>
      </c>
      <c r="C4024" s="8" t="s">
        <v>8205</v>
      </c>
      <c r="D4024" s="8" t="s">
        <v>8206</v>
      </c>
      <c r="E4024" s="13">
        <v>0</v>
      </c>
      <c r="F4024" s="14">
        <v>0</v>
      </c>
    </row>
    <row r="4025" spans="1:6" x14ac:dyDescent="0.3">
      <c r="A4025" s="8">
        <v>4023</v>
      </c>
      <c r="B4025" s="8" t="s">
        <v>4148</v>
      </c>
      <c r="C4025" s="8" t="s">
        <v>8207</v>
      </c>
      <c r="D4025" s="8" t="s">
        <v>8208</v>
      </c>
      <c r="E4025" s="13">
        <v>0</v>
      </c>
      <c r="F4025" s="14">
        <v>0</v>
      </c>
    </row>
    <row r="4026" spans="1:6" x14ac:dyDescent="0.3">
      <c r="A4026" s="8">
        <v>4024</v>
      </c>
      <c r="B4026" s="8" t="s">
        <v>4148</v>
      </c>
      <c r="C4026" s="8" t="s">
        <v>8209</v>
      </c>
      <c r="D4026" s="8" t="s">
        <v>8210</v>
      </c>
      <c r="E4026" s="13">
        <v>0</v>
      </c>
      <c r="F4026" s="14">
        <v>151852</v>
      </c>
    </row>
    <row r="4027" spans="1:6" x14ac:dyDescent="0.3">
      <c r="A4027" s="8">
        <v>4025</v>
      </c>
      <c r="B4027" s="8" t="s">
        <v>4148</v>
      </c>
      <c r="C4027" s="8" t="s">
        <v>8211</v>
      </c>
      <c r="D4027" s="8" t="s">
        <v>8212</v>
      </c>
      <c r="E4027" s="13">
        <v>0</v>
      </c>
      <c r="F4027" s="14">
        <v>0</v>
      </c>
    </row>
    <row r="4028" spans="1:6" x14ac:dyDescent="0.3">
      <c r="A4028" s="8">
        <v>4026</v>
      </c>
      <c r="B4028" s="8" t="s">
        <v>4148</v>
      </c>
      <c r="C4028" s="8" t="s">
        <v>8213</v>
      </c>
      <c r="D4028" s="8" t="s">
        <v>8214</v>
      </c>
      <c r="E4028" s="13">
        <v>0</v>
      </c>
      <c r="F4028" s="14">
        <v>0</v>
      </c>
    </row>
    <row r="4029" spans="1:6" x14ac:dyDescent="0.3">
      <c r="A4029" s="8">
        <v>4027</v>
      </c>
      <c r="B4029" s="8" t="s">
        <v>4148</v>
      </c>
      <c r="C4029" s="8" t="s">
        <v>8215</v>
      </c>
      <c r="D4029" s="8" t="s">
        <v>8216</v>
      </c>
      <c r="E4029" s="13">
        <v>0</v>
      </c>
      <c r="F4029" s="14">
        <v>0</v>
      </c>
    </row>
    <row r="4030" spans="1:6" x14ac:dyDescent="0.3">
      <c r="A4030" s="8">
        <v>4028</v>
      </c>
      <c r="B4030" s="8" t="s">
        <v>4148</v>
      </c>
      <c r="C4030" s="8" t="s">
        <v>8217</v>
      </c>
      <c r="D4030" s="8" t="s">
        <v>8218</v>
      </c>
      <c r="E4030" s="13">
        <v>0</v>
      </c>
      <c r="F4030" s="14">
        <v>0</v>
      </c>
    </row>
    <row r="4031" spans="1:6" x14ac:dyDescent="0.3">
      <c r="A4031" s="8">
        <v>4029</v>
      </c>
      <c r="B4031" s="8" t="s">
        <v>6022</v>
      </c>
      <c r="C4031" s="8" t="s">
        <v>8219</v>
      </c>
      <c r="D4031" s="8" t="s">
        <v>8220</v>
      </c>
      <c r="E4031" s="13">
        <v>121000</v>
      </c>
      <c r="F4031" s="14">
        <v>241667</v>
      </c>
    </row>
    <row r="4032" spans="1:6" x14ac:dyDescent="0.3">
      <c r="A4032" s="8">
        <v>4030</v>
      </c>
      <c r="B4032" s="8" t="s">
        <v>6029</v>
      </c>
      <c r="C4032" s="8" t="s">
        <v>8221</v>
      </c>
      <c r="D4032" s="8" t="s">
        <v>8222</v>
      </c>
      <c r="E4032" s="13">
        <v>122100</v>
      </c>
      <c r="F4032" s="14">
        <v>220000</v>
      </c>
    </row>
    <row r="4033" spans="1:6" x14ac:dyDescent="0.3">
      <c r="A4033" s="8">
        <v>4031</v>
      </c>
      <c r="B4033" s="8" t="s">
        <v>6022</v>
      </c>
      <c r="C4033" s="8" t="s">
        <v>8223</v>
      </c>
      <c r="D4033" s="8" t="s">
        <v>8224</v>
      </c>
      <c r="E4033" s="13">
        <v>0</v>
      </c>
      <c r="F4033" s="14">
        <v>400000</v>
      </c>
    </row>
    <row r="4034" spans="1:6" x14ac:dyDescent="0.3">
      <c r="A4034" s="8">
        <v>4032</v>
      </c>
      <c r="B4034" s="8" t="s">
        <v>6022</v>
      </c>
      <c r="C4034" s="8" t="s">
        <v>8225</v>
      </c>
      <c r="D4034" s="8" t="s">
        <v>8226</v>
      </c>
      <c r="E4034" s="13">
        <v>214000</v>
      </c>
      <c r="F4034" s="14">
        <v>427778</v>
      </c>
    </row>
    <row r="4035" spans="1:6" x14ac:dyDescent="0.3">
      <c r="A4035" s="8">
        <v>4033</v>
      </c>
      <c r="B4035" s="8" t="s">
        <v>6022</v>
      </c>
      <c r="C4035" s="8" t="s">
        <v>8227</v>
      </c>
      <c r="D4035" s="8" t="s">
        <v>8228</v>
      </c>
      <c r="E4035" s="13">
        <v>0</v>
      </c>
      <c r="F4035" s="14">
        <v>473000</v>
      </c>
    </row>
    <row r="4036" spans="1:6" x14ac:dyDescent="0.3">
      <c r="A4036" s="8">
        <v>4034</v>
      </c>
      <c r="B4036" s="8" t="s">
        <v>6022</v>
      </c>
      <c r="C4036" s="8" t="s">
        <v>8229</v>
      </c>
      <c r="D4036" s="8" t="s">
        <v>8230</v>
      </c>
      <c r="E4036" s="13">
        <v>130200</v>
      </c>
      <c r="F4036" s="14">
        <v>234000</v>
      </c>
    </row>
    <row r="4037" spans="1:6" x14ac:dyDescent="0.3">
      <c r="A4037" s="8">
        <v>4035</v>
      </c>
      <c r="B4037" s="8" t="s">
        <v>6022</v>
      </c>
      <c r="C4037" s="8" t="s">
        <v>8231</v>
      </c>
      <c r="D4037" s="8" t="s">
        <v>8232</v>
      </c>
      <c r="E4037" s="13">
        <v>210000</v>
      </c>
      <c r="F4037" s="14">
        <v>420370</v>
      </c>
    </row>
    <row r="4038" spans="1:6" x14ac:dyDescent="0.3">
      <c r="A4038" s="8">
        <v>4036</v>
      </c>
      <c r="B4038" s="8" t="s">
        <v>6022</v>
      </c>
      <c r="C4038" s="8" t="s">
        <v>8233</v>
      </c>
      <c r="D4038" s="8" t="s">
        <v>8234</v>
      </c>
      <c r="E4038" s="13">
        <v>258000</v>
      </c>
      <c r="F4038" s="14">
        <v>515741</v>
      </c>
    </row>
    <row r="4039" spans="1:6" x14ac:dyDescent="0.3">
      <c r="A4039" s="8">
        <v>4037</v>
      </c>
      <c r="B4039" s="8" t="s">
        <v>6022</v>
      </c>
      <c r="C4039" s="8" t="s">
        <v>8235</v>
      </c>
      <c r="D4039" s="8" t="s">
        <v>8236</v>
      </c>
      <c r="E4039" s="13">
        <v>0</v>
      </c>
      <c r="F4039" s="14">
        <v>0</v>
      </c>
    </row>
    <row r="4040" spans="1:6" x14ac:dyDescent="0.3">
      <c r="A4040" s="8">
        <v>4038</v>
      </c>
      <c r="B4040" s="8" t="s">
        <v>6022</v>
      </c>
      <c r="C4040" s="8" t="s">
        <v>8237</v>
      </c>
      <c r="D4040" s="8" t="s">
        <v>8238</v>
      </c>
      <c r="E4040" s="13">
        <v>177000</v>
      </c>
      <c r="F4040" s="14">
        <v>353704</v>
      </c>
    </row>
    <row r="4041" spans="1:6" x14ac:dyDescent="0.3">
      <c r="A4041" s="8">
        <v>4039</v>
      </c>
      <c r="B4041" s="8" t="s">
        <v>6022</v>
      </c>
      <c r="C4041" s="8" t="s">
        <v>8239</v>
      </c>
      <c r="D4041" s="8" t="s">
        <v>8240</v>
      </c>
      <c r="E4041" s="13">
        <v>210000</v>
      </c>
      <c r="F4041" s="14">
        <v>420370</v>
      </c>
    </row>
    <row r="4042" spans="1:6" x14ac:dyDescent="0.3">
      <c r="A4042" s="8">
        <v>4040</v>
      </c>
      <c r="B4042" s="8" t="s">
        <v>6022</v>
      </c>
      <c r="C4042" s="8" t="s">
        <v>8241</v>
      </c>
      <c r="D4042" s="8" t="s">
        <v>8242</v>
      </c>
      <c r="E4042" s="13">
        <v>104000</v>
      </c>
      <c r="F4042" s="14">
        <v>208333</v>
      </c>
    </row>
    <row r="4043" spans="1:6" x14ac:dyDescent="0.3">
      <c r="A4043" s="8">
        <v>4041</v>
      </c>
      <c r="B4043" s="8" t="s">
        <v>6029</v>
      </c>
      <c r="C4043" s="8" t="s">
        <v>8243</v>
      </c>
      <c r="D4043" s="8" t="s">
        <v>8244</v>
      </c>
      <c r="E4043" s="13">
        <v>142000</v>
      </c>
      <c r="F4043" s="14">
        <v>284259</v>
      </c>
    </row>
    <row r="4044" spans="1:6" x14ac:dyDescent="0.3">
      <c r="A4044" s="8">
        <v>4042</v>
      </c>
      <c r="B4044" s="8" t="s">
        <v>6029</v>
      </c>
      <c r="C4044" s="8" t="s">
        <v>8245</v>
      </c>
      <c r="D4044" s="8" t="s">
        <v>8246</v>
      </c>
      <c r="E4044" s="13">
        <v>0</v>
      </c>
      <c r="F4044" s="14">
        <v>0</v>
      </c>
    </row>
    <row r="4045" spans="1:6" x14ac:dyDescent="0.3">
      <c r="A4045" s="8">
        <v>4043</v>
      </c>
      <c r="B4045" s="8" t="s">
        <v>6029</v>
      </c>
      <c r="C4045" s="8" t="s">
        <v>8247</v>
      </c>
      <c r="D4045" s="8" t="s">
        <v>8248</v>
      </c>
      <c r="E4045" s="13">
        <v>0</v>
      </c>
      <c r="F4045" s="14">
        <v>0</v>
      </c>
    </row>
    <row r="4046" spans="1:6" x14ac:dyDescent="0.3">
      <c r="A4046" s="8">
        <v>4044</v>
      </c>
      <c r="B4046" s="8" t="s">
        <v>6029</v>
      </c>
      <c r="C4046" s="8" t="s">
        <v>8249</v>
      </c>
      <c r="D4046" s="8" t="s">
        <v>8250</v>
      </c>
      <c r="E4046" s="13">
        <v>161000</v>
      </c>
      <c r="F4046" s="14">
        <v>322222</v>
      </c>
    </row>
    <row r="4047" spans="1:6" x14ac:dyDescent="0.3">
      <c r="A4047" s="8">
        <v>4045</v>
      </c>
      <c r="B4047" s="8" t="s">
        <v>6022</v>
      </c>
      <c r="C4047" s="8" t="s">
        <v>8251</v>
      </c>
      <c r="D4047" s="8" t="s">
        <v>8252</v>
      </c>
      <c r="E4047" s="13">
        <v>170000</v>
      </c>
      <c r="F4047" s="14">
        <v>339815</v>
      </c>
    </row>
    <row r="4048" spans="1:6" x14ac:dyDescent="0.3">
      <c r="A4048" s="8">
        <v>4046</v>
      </c>
      <c r="B4048" s="8" t="s">
        <v>6022</v>
      </c>
      <c r="C4048" s="8" t="s">
        <v>8253</v>
      </c>
      <c r="D4048" s="8" t="s">
        <v>8254</v>
      </c>
      <c r="E4048" s="13">
        <v>0</v>
      </c>
      <c r="F4048" s="14">
        <v>0</v>
      </c>
    </row>
    <row r="4049" spans="1:6" x14ac:dyDescent="0.3">
      <c r="A4049" s="8">
        <v>4047</v>
      </c>
      <c r="B4049" s="8" t="s">
        <v>6022</v>
      </c>
      <c r="C4049" s="8" t="s">
        <v>8255</v>
      </c>
      <c r="D4049" s="8" t="s">
        <v>8256</v>
      </c>
      <c r="E4049" s="13">
        <v>0</v>
      </c>
      <c r="F4049" s="14">
        <v>0</v>
      </c>
    </row>
    <row r="4050" spans="1:6" x14ac:dyDescent="0.3">
      <c r="A4050" s="8">
        <v>4048</v>
      </c>
      <c r="B4050" s="8" t="s">
        <v>6022</v>
      </c>
      <c r="C4050" s="8" t="s">
        <v>8257</v>
      </c>
      <c r="D4050" s="8" t="s">
        <v>8258</v>
      </c>
      <c r="E4050" s="13">
        <v>121000</v>
      </c>
      <c r="F4050" s="14">
        <v>241667</v>
      </c>
    </row>
    <row r="4051" spans="1:6" x14ac:dyDescent="0.3">
      <c r="A4051" s="8">
        <v>4049</v>
      </c>
      <c r="B4051" s="8" t="s">
        <v>4148</v>
      </c>
      <c r="C4051" s="8" t="s">
        <v>8259</v>
      </c>
      <c r="D4051" s="8" t="s">
        <v>8260</v>
      </c>
      <c r="E4051" s="13">
        <v>0</v>
      </c>
      <c r="F4051" s="14">
        <v>0</v>
      </c>
    </row>
    <row r="4052" spans="1:6" x14ac:dyDescent="0.3">
      <c r="A4052" s="8">
        <v>4050</v>
      </c>
      <c r="B4052" s="8" t="s">
        <v>4148</v>
      </c>
      <c r="C4052" s="8" t="s">
        <v>8261</v>
      </c>
      <c r="D4052" s="8" t="s">
        <v>8262</v>
      </c>
      <c r="E4052" s="13">
        <v>141000</v>
      </c>
      <c r="F4052" s="14">
        <v>282407</v>
      </c>
    </row>
    <row r="4053" spans="1:6" x14ac:dyDescent="0.3">
      <c r="A4053" s="8">
        <v>4051</v>
      </c>
      <c r="B4053" s="8" t="s">
        <v>4148</v>
      </c>
      <c r="C4053" s="8" t="s">
        <v>8263</v>
      </c>
      <c r="D4053" s="8" t="s">
        <v>8264</v>
      </c>
      <c r="E4053" s="13">
        <v>0</v>
      </c>
      <c r="F4053" s="14">
        <v>0</v>
      </c>
    </row>
    <row r="4054" spans="1:6" x14ac:dyDescent="0.3">
      <c r="A4054" s="8">
        <v>4052</v>
      </c>
      <c r="B4054" s="8" t="s">
        <v>4148</v>
      </c>
      <c r="C4054" s="8" t="s">
        <v>8265</v>
      </c>
      <c r="D4054" s="8" t="s">
        <v>8266</v>
      </c>
      <c r="E4054" s="13">
        <v>0</v>
      </c>
      <c r="F4054" s="14">
        <v>0</v>
      </c>
    </row>
    <row r="4055" spans="1:6" x14ac:dyDescent="0.3">
      <c r="A4055" s="8">
        <v>4053</v>
      </c>
      <c r="B4055" s="8" t="s">
        <v>4148</v>
      </c>
      <c r="C4055" s="8" t="s">
        <v>8267</v>
      </c>
      <c r="D4055" s="8" t="s">
        <v>8268</v>
      </c>
      <c r="E4055" s="13">
        <v>0</v>
      </c>
      <c r="F4055" s="14">
        <v>0</v>
      </c>
    </row>
    <row r="4056" spans="1:6" x14ac:dyDescent="0.3">
      <c r="A4056" s="8">
        <v>4054</v>
      </c>
      <c r="B4056" s="8" t="s">
        <v>4148</v>
      </c>
      <c r="C4056" s="8" t="s">
        <v>8269</v>
      </c>
      <c r="D4056" s="8" t="s">
        <v>8270</v>
      </c>
      <c r="E4056" s="13">
        <v>0</v>
      </c>
      <c r="F4056" s="14">
        <v>0</v>
      </c>
    </row>
    <row r="4057" spans="1:6" x14ac:dyDescent="0.3">
      <c r="A4057" s="8">
        <v>4055</v>
      </c>
      <c r="B4057" s="8" t="s">
        <v>4148</v>
      </c>
      <c r="C4057" s="8" t="s">
        <v>8271</v>
      </c>
      <c r="D4057" s="8" t="s">
        <v>8272</v>
      </c>
      <c r="E4057" s="13">
        <v>0</v>
      </c>
      <c r="F4057" s="14">
        <v>0</v>
      </c>
    </row>
    <row r="4058" spans="1:6" x14ac:dyDescent="0.3">
      <c r="A4058" s="8">
        <v>4056</v>
      </c>
      <c r="B4058" s="8" t="s">
        <v>4148</v>
      </c>
      <c r="C4058" s="8" t="s">
        <v>8273</v>
      </c>
      <c r="D4058" s="8" t="s">
        <v>8274</v>
      </c>
      <c r="E4058" s="13">
        <v>0</v>
      </c>
      <c r="F4058" s="14">
        <v>0</v>
      </c>
    </row>
    <row r="4059" spans="1:6" x14ac:dyDescent="0.3">
      <c r="A4059" s="8">
        <v>4057</v>
      </c>
      <c r="B4059" s="8" t="s">
        <v>4148</v>
      </c>
      <c r="C4059" s="8" t="s">
        <v>8275</v>
      </c>
      <c r="D4059" s="8" t="s">
        <v>8276</v>
      </c>
      <c r="E4059" s="13">
        <v>135000</v>
      </c>
      <c r="F4059" s="14">
        <v>270370</v>
      </c>
    </row>
    <row r="4060" spans="1:6" x14ac:dyDescent="0.3">
      <c r="A4060" s="8">
        <v>4058</v>
      </c>
      <c r="B4060" s="8" t="s">
        <v>4148</v>
      </c>
      <c r="C4060" s="8" t="s">
        <v>8277</v>
      </c>
      <c r="D4060" s="8" t="s">
        <v>8278</v>
      </c>
      <c r="E4060" s="13">
        <v>115000</v>
      </c>
      <c r="F4060" s="14">
        <v>229630</v>
      </c>
    </row>
    <row r="4061" spans="1:6" x14ac:dyDescent="0.3">
      <c r="A4061" s="8">
        <v>4059</v>
      </c>
      <c r="B4061" s="8" t="s">
        <v>4148</v>
      </c>
      <c r="C4061" s="8" t="s">
        <v>8279</v>
      </c>
      <c r="D4061" s="8" t="s">
        <v>8280</v>
      </c>
      <c r="E4061" s="13">
        <v>0</v>
      </c>
      <c r="F4061" s="14">
        <v>0</v>
      </c>
    </row>
    <row r="4062" spans="1:6" x14ac:dyDescent="0.3">
      <c r="A4062" s="8">
        <v>4060</v>
      </c>
      <c r="B4062" s="8" t="s">
        <v>4148</v>
      </c>
      <c r="C4062" s="8" t="s">
        <v>8281</v>
      </c>
      <c r="D4062" s="8" t="s">
        <v>8282</v>
      </c>
      <c r="E4062" s="13">
        <v>0</v>
      </c>
      <c r="F4062" s="14">
        <v>0</v>
      </c>
    </row>
    <row r="4063" spans="1:6" x14ac:dyDescent="0.3">
      <c r="A4063" s="8">
        <v>4061</v>
      </c>
      <c r="B4063" s="8" t="s">
        <v>4148</v>
      </c>
      <c r="C4063" s="8" t="s">
        <v>8283</v>
      </c>
      <c r="D4063" s="8" t="s">
        <v>8284</v>
      </c>
      <c r="E4063" s="13">
        <v>0</v>
      </c>
      <c r="F4063" s="14">
        <v>0</v>
      </c>
    </row>
    <row r="4064" spans="1:6" x14ac:dyDescent="0.3">
      <c r="A4064" s="8">
        <v>4062</v>
      </c>
      <c r="B4064" s="8" t="s">
        <v>4148</v>
      </c>
      <c r="C4064" s="8" t="s">
        <v>8285</v>
      </c>
      <c r="D4064" s="8" t="s">
        <v>8286</v>
      </c>
      <c r="E4064" s="13">
        <v>0</v>
      </c>
      <c r="F4064" s="14">
        <v>0</v>
      </c>
    </row>
    <row r="4065" spans="1:6" x14ac:dyDescent="0.3">
      <c r="A4065" s="8">
        <v>4063</v>
      </c>
      <c r="B4065" s="8" t="s">
        <v>4148</v>
      </c>
      <c r="C4065" s="8" t="s">
        <v>8287</v>
      </c>
      <c r="D4065" s="8" t="s">
        <v>8288</v>
      </c>
      <c r="E4065" s="13">
        <v>0</v>
      </c>
      <c r="F4065" s="14">
        <v>0</v>
      </c>
    </row>
    <row r="4066" spans="1:6" x14ac:dyDescent="0.3">
      <c r="A4066" s="8">
        <v>4064</v>
      </c>
      <c r="B4066" s="8" t="s">
        <v>4148</v>
      </c>
      <c r="C4066" s="8" t="s">
        <v>8289</v>
      </c>
      <c r="D4066" s="8" t="s">
        <v>8290</v>
      </c>
      <c r="E4066" s="13">
        <v>0</v>
      </c>
      <c r="F4066" s="14">
        <v>194444</v>
      </c>
    </row>
    <row r="4067" spans="1:6" x14ac:dyDescent="0.3">
      <c r="A4067" s="8">
        <v>4065</v>
      </c>
      <c r="B4067" s="8" t="s">
        <v>4148</v>
      </c>
      <c r="C4067" s="8" t="s">
        <v>8291</v>
      </c>
      <c r="D4067" s="8" t="s">
        <v>8292</v>
      </c>
      <c r="E4067" s="13">
        <v>0</v>
      </c>
      <c r="F4067" s="14">
        <v>0</v>
      </c>
    </row>
    <row r="4068" spans="1:6" x14ac:dyDescent="0.3">
      <c r="A4068" s="8">
        <v>4066</v>
      </c>
      <c r="B4068" s="8" t="s">
        <v>6022</v>
      </c>
      <c r="C4068" s="8" t="s">
        <v>8293</v>
      </c>
      <c r="D4068" s="8" t="s">
        <v>8294</v>
      </c>
      <c r="E4068" s="13">
        <v>0</v>
      </c>
      <c r="F4068" s="14">
        <v>0</v>
      </c>
    </row>
    <row r="4069" spans="1:6" x14ac:dyDescent="0.3">
      <c r="A4069" s="8">
        <v>4067</v>
      </c>
      <c r="B4069" s="8" t="s">
        <v>6022</v>
      </c>
      <c r="C4069" s="8" t="s">
        <v>8295</v>
      </c>
      <c r="D4069" s="8" t="s">
        <v>8296</v>
      </c>
      <c r="E4069" s="13">
        <v>210000</v>
      </c>
      <c r="F4069" s="14">
        <v>360000</v>
      </c>
    </row>
    <row r="4070" spans="1:6" x14ac:dyDescent="0.3">
      <c r="A4070" s="8">
        <v>4068</v>
      </c>
      <c r="B4070" s="8" t="s">
        <v>6022</v>
      </c>
      <c r="C4070" s="8" t="s">
        <v>8297</v>
      </c>
      <c r="D4070" s="8" t="s">
        <v>8298</v>
      </c>
      <c r="E4070" s="13">
        <v>130200</v>
      </c>
      <c r="F4070" s="14">
        <v>224074</v>
      </c>
    </row>
    <row r="4071" spans="1:6" x14ac:dyDescent="0.3">
      <c r="A4071" s="8">
        <v>4069</v>
      </c>
      <c r="B4071" s="8" t="s">
        <v>6022</v>
      </c>
      <c r="C4071" s="8" t="s">
        <v>8299</v>
      </c>
      <c r="D4071" s="8" t="s">
        <v>8300</v>
      </c>
      <c r="E4071" s="13">
        <v>0</v>
      </c>
      <c r="F4071" s="14">
        <v>0</v>
      </c>
    </row>
    <row r="4072" spans="1:6" x14ac:dyDescent="0.3">
      <c r="A4072" s="8">
        <v>4070</v>
      </c>
      <c r="B4072" s="8" t="s">
        <v>6022</v>
      </c>
      <c r="C4072" s="8" t="s">
        <v>8301</v>
      </c>
      <c r="D4072" s="8" t="s">
        <v>8302</v>
      </c>
      <c r="E4072" s="13">
        <v>191000</v>
      </c>
      <c r="F4072" s="14">
        <v>382407</v>
      </c>
    </row>
    <row r="4073" spans="1:6" x14ac:dyDescent="0.3">
      <c r="A4073" s="8">
        <v>4071</v>
      </c>
      <c r="B4073" s="8" t="s">
        <v>6022</v>
      </c>
      <c r="C4073" s="8" t="s">
        <v>8303</v>
      </c>
      <c r="D4073" s="8" t="s">
        <v>8304</v>
      </c>
      <c r="E4073" s="13">
        <v>494000</v>
      </c>
      <c r="F4073" s="14">
        <v>1034259</v>
      </c>
    </row>
    <row r="4074" spans="1:6" x14ac:dyDescent="0.3">
      <c r="A4074" s="8">
        <v>4072</v>
      </c>
      <c r="B4074" s="8" t="s">
        <v>6516</v>
      </c>
      <c r="C4074" s="8" t="s">
        <v>8305</v>
      </c>
      <c r="D4074" s="8" t="s">
        <v>8306</v>
      </c>
      <c r="E4074" s="13">
        <v>0</v>
      </c>
      <c r="F4074" s="14">
        <v>0</v>
      </c>
    </row>
    <row r="4075" spans="1:6" x14ac:dyDescent="0.3">
      <c r="A4075" s="8">
        <v>4073</v>
      </c>
      <c r="B4075" s="8" t="s">
        <v>6516</v>
      </c>
      <c r="C4075" s="8" t="s">
        <v>8307</v>
      </c>
      <c r="D4075" s="8" t="s">
        <v>8308</v>
      </c>
      <c r="E4075" s="13">
        <v>0</v>
      </c>
      <c r="F4075" s="14">
        <v>0</v>
      </c>
    </row>
    <row r="4076" spans="1:6" x14ac:dyDescent="0.3">
      <c r="A4076" s="8">
        <v>4074</v>
      </c>
      <c r="B4076" s="8" t="s">
        <v>6516</v>
      </c>
      <c r="C4076" s="8" t="s">
        <v>8309</v>
      </c>
      <c r="D4076" s="8" t="s">
        <v>8310</v>
      </c>
      <c r="E4076" s="13">
        <v>0</v>
      </c>
      <c r="F4076" s="14">
        <v>0</v>
      </c>
    </row>
    <row r="4077" spans="1:6" x14ac:dyDescent="0.3">
      <c r="A4077" s="8">
        <v>4075</v>
      </c>
      <c r="B4077" s="8" t="s">
        <v>6516</v>
      </c>
      <c r="C4077" s="8" t="s">
        <v>8311</v>
      </c>
      <c r="D4077" s="8" t="s">
        <v>8312</v>
      </c>
      <c r="E4077" s="13">
        <v>0</v>
      </c>
      <c r="F4077" s="14">
        <v>0</v>
      </c>
    </row>
    <row r="4078" spans="1:6" x14ac:dyDescent="0.3">
      <c r="A4078" s="8">
        <v>4076</v>
      </c>
      <c r="B4078" s="8" t="s">
        <v>6516</v>
      </c>
      <c r="C4078" s="8" t="s">
        <v>8313</v>
      </c>
      <c r="D4078" s="8" t="s">
        <v>8314</v>
      </c>
      <c r="E4078" s="13">
        <v>0</v>
      </c>
      <c r="F4078" s="14">
        <v>0</v>
      </c>
    </row>
    <row r="4079" spans="1:6" x14ac:dyDescent="0.3">
      <c r="A4079" s="8">
        <v>4077</v>
      </c>
      <c r="B4079" s="8" t="s">
        <v>6516</v>
      </c>
      <c r="C4079" s="8" t="s">
        <v>8315</v>
      </c>
      <c r="D4079" s="8" t="s">
        <v>8316</v>
      </c>
      <c r="E4079" s="13">
        <v>0</v>
      </c>
      <c r="F4079" s="14">
        <v>1212963</v>
      </c>
    </row>
    <row r="4080" spans="1:6" x14ac:dyDescent="0.3">
      <c r="A4080" s="8">
        <v>4078</v>
      </c>
      <c r="B4080" s="8" t="s">
        <v>6516</v>
      </c>
      <c r="C4080" s="8" t="s">
        <v>8317</v>
      </c>
      <c r="D4080" s="8" t="s">
        <v>8318</v>
      </c>
      <c r="E4080" s="13">
        <v>0</v>
      </c>
      <c r="F4080" s="14">
        <v>912037</v>
      </c>
    </row>
    <row r="4081" spans="1:6" x14ac:dyDescent="0.3">
      <c r="A4081" s="8">
        <v>4079</v>
      </c>
      <c r="B4081" s="8" t="s">
        <v>6516</v>
      </c>
      <c r="C4081" s="8" t="s">
        <v>8319</v>
      </c>
      <c r="D4081" s="8" t="s">
        <v>8320</v>
      </c>
      <c r="E4081" s="13">
        <v>0</v>
      </c>
      <c r="F4081" s="14">
        <v>0</v>
      </c>
    </row>
    <row r="4082" spans="1:6" x14ac:dyDescent="0.3">
      <c r="A4082" s="8">
        <v>4080</v>
      </c>
      <c r="B4082" s="8" t="s">
        <v>6516</v>
      </c>
      <c r="C4082" s="8" t="s">
        <v>8321</v>
      </c>
      <c r="D4082" s="8" t="s">
        <v>8322</v>
      </c>
      <c r="E4082" s="13">
        <v>0</v>
      </c>
      <c r="F4082" s="14">
        <v>0</v>
      </c>
    </row>
    <row r="4083" spans="1:6" x14ac:dyDescent="0.3">
      <c r="A4083" s="8">
        <v>4081</v>
      </c>
      <c r="B4083" s="8" t="s">
        <v>6516</v>
      </c>
      <c r="C4083" s="8" t="s">
        <v>8323</v>
      </c>
      <c r="D4083" s="8" t="s">
        <v>8324</v>
      </c>
      <c r="E4083" s="13">
        <v>0</v>
      </c>
      <c r="F4083" s="14">
        <v>1733333</v>
      </c>
    </row>
    <row r="4084" spans="1:6" x14ac:dyDescent="0.3">
      <c r="A4084" s="8">
        <v>4082</v>
      </c>
      <c r="B4084" s="8" t="s">
        <v>6516</v>
      </c>
      <c r="C4084" s="8" t="s">
        <v>8325</v>
      </c>
      <c r="D4084" s="8" t="s">
        <v>8326</v>
      </c>
      <c r="E4084" s="13">
        <v>0</v>
      </c>
      <c r="F4084" s="14">
        <v>0</v>
      </c>
    </row>
    <row r="4085" spans="1:6" x14ac:dyDescent="0.3">
      <c r="A4085" s="8">
        <v>4083</v>
      </c>
      <c r="B4085" s="8" t="s">
        <v>6516</v>
      </c>
      <c r="C4085" s="8" t="s">
        <v>8327</v>
      </c>
      <c r="D4085" s="8" t="s">
        <v>8328</v>
      </c>
      <c r="E4085" s="13">
        <v>0</v>
      </c>
      <c r="F4085" s="14">
        <v>0</v>
      </c>
    </row>
    <row r="4086" spans="1:6" x14ac:dyDescent="0.3">
      <c r="A4086" s="8">
        <v>4084</v>
      </c>
      <c r="B4086" s="8" t="s">
        <v>6516</v>
      </c>
      <c r="C4086" s="8" t="s">
        <v>8329</v>
      </c>
      <c r="D4086" s="8" t="s">
        <v>8330</v>
      </c>
      <c r="E4086" s="13">
        <v>0</v>
      </c>
      <c r="F4086" s="14">
        <v>0</v>
      </c>
    </row>
    <row r="4087" spans="1:6" x14ac:dyDescent="0.3">
      <c r="A4087" s="8">
        <v>4085</v>
      </c>
      <c r="B4087" s="8" t="s">
        <v>6516</v>
      </c>
      <c r="C4087" s="8" t="s">
        <v>8331</v>
      </c>
      <c r="D4087" s="8" t="s">
        <v>8332</v>
      </c>
      <c r="E4087" s="13">
        <v>537000</v>
      </c>
      <c r="F4087" s="14">
        <v>1074074</v>
      </c>
    </row>
    <row r="4088" spans="1:6" x14ac:dyDescent="0.3">
      <c r="A4088" s="8">
        <v>4086</v>
      </c>
      <c r="B4088" s="8" t="s">
        <v>6516</v>
      </c>
      <c r="C4088" s="8" t="s">
        <v>8333</v>
      </c>
      <c r="D4088" s="8" t="s">
        <v>8334</v>
      </c>
      <c r="E4088" s="13">
        <v>0</v>
      </c>
      <c r="F4088" s="14">
        <v>0</v>
      </c>
    </row>
    <row r="4089" spans="1:6" x14ac:dyDescent="0.3">
      <c r="A4089" s="8">
        <v>4087</v>
      </c>
      <c r="B4089" s="8" t="s">
        <v>6516</v>
      </c>
      <c r="C4089" s="8" t="s">
        <v>8335</v>
      </c>
      <c r="D4089" s="8" t="s">
        <v>8336</v>
      </c>
      <c r="E4089" s="13">
        <v>0</v>
      </c>
      <c r="F4089" s="14">
        <v>0</v>
      </c>
    </row>
    <row r="4090" spans="1:6" x14ac:dyDescent="0.3">
      <c r="A4090" s="8">
        <v>4088</v>
      </c>
      <c r="B4090" s="8" t="s">
        <v>6516</v>
      </c>
      <c r="C4090" s="8" t="s">
        <v>8337</v>
      </c>
      <c r="D4090" s="8" t="s">
        <v>8338</v>
      </c>
      <c r="E4090" s="13">
        <v>0</v>
      </c>
      <c r="F4090" s="14">
        <v>0</v>
      </c>
    </row>
    <row r="4091" spans="1:6" x14ac:dyDescent="0.3">
      <c r="A4091" s="8">
        <v>4089</v>
      </c>
      <c r="B4091" s="8" t="s">
        <v>6516</v>
      </c>
      <c r="C4091" s="8" t="s">
        <v>8339</v>
      </c>
      <c r="D4091" s="8" t="s">
        <v>8340</v>
      </c>
      <c r="E4091" s="13">
        <v>495000</v>
      </c>
      <c r="F4091" s="14">
        <v>989815</v>
      </c>
    </row>
    <row r="4092" spans="1:6" x14ac:dyDescent="0.3">
      <c r="A4092" s="8">
        <v>4090</v>
      </c>
      <c r="B4092" s="8" t="s">
        <v>6516</v>
      </c>
      <c r="C4092" s="8" t="s">
        <v>8341</v>
      </c>
      <c r="D4092" s="8" t="s">
        <v>8342</v>
      </c>
      <c r="E4092" s="13">
        <v>0</v>
      </c>
      <c r="F4092" s="14">
        <v>0</v>
      </c>
    </row>
    <row r="4093" spans="1:6" x14ac:dyDescent="0.3">
      <c r="A4093" s="8">
        <v>4091</v>
      </c>
      <c r="B4093" s="8" t="s">
        <v>6516</v>
      </c>
      <c r="C4093" s="8" t="s">
        <v>8343</v>
      </c>
      <c r="D4093" s="8" t="s">
        <v>8344</v>
      </c>
      <c r="E4093" s="13">
        <v>0</v>
      </c>
      <c r="F4093" s="14">
        <v>0</v>
      </c>
    </row>
    <row r="4094" spans="1:6" x14ac:dyDescent="0.3">
      <c r="A4094" s="8">
        <v>4092</v>
      </c>
      <c r="B4094" s="8" t="s">
        <v>6516</v>
      </c>
      <c r="C4094" s="8" t="s">
        <v>8345</v>
      </c>
      <c r="D4094" s="8" t="s">
        <v>8346</v>
      </c>
      <c r="E4094" s="13">
        <v>0</v>
      </c>
      <c r="F4094" s="14">
        <v>0</v>
      </c>
    </row>
    <row r="4095" spans="1:6" x14ac:dyDescent="0.3">
      <c r="A4095" s="8">
        <v>4093</v>
      </c>
      <c r="B4095" s="8" t="s">
        <v>6516</v>
      </c>
      <c r="C4095" s="8" t="s">
        <v>8347</v>
      </c>
      <c r="D4095" s="8" t="s">
        <v>8348</v>
      </c>
      <c r="E4095" s="13">
        <v>0</v>
      </c>
      <c r="F4095" s="14">
        <v>0</v>
      </c>
    </row>
    <row r="4096" spans="1:6" x14ac:dyDescent="0.3">
      <c r="A4096" s="8">
        <v>4094</v>
      </c>
      <c r="B4096" s="8" t="s">
        <v>6516</v>
      </c>
      <c r="C4096" s="8" t="s">
        <v>8349</v>
      </c>
      <c r="D4096" s="8" t="s">
        <v>8350</v>
      </c>
      <c r="E4096" s="13">
        <v>0</v>
      </c>
      <c r="F4096" s="14">
        <v>0</v>
      </c>
    </row>
    <row r="4097" spans="1:6" x14ac:dyDescent="0.3">
      <c r="A4097" s="8">
        <v>4095</v>
      </c>
      <c r="B4097" s="8" t="s">
        <v>6516</v>
      </c>
      <c r="C4097" s="8" t="s">
        <v>8351</v>
      </c>
      <c r="D4097" s="8" t="s">
        <v>8352</v>
      </c>
      <c r="E4097" s="13">
        <v>0</v>
      </c>
      <c r="F4097" s="14">
        <v>0</v>
      </c>
    </row>
    <row r="4098" spans="1:6" x14ac:dyDescent="0.3">
      <c r="A4098" s="8">
        <v>4096</v>
      </c>
      <c r="B4098" s="8" t="s">
        <v>6516</v>
      </c>
      <c r="C4098" s="8" t="s">
        <v>8353</v>
      </c>
      <c r="D4098" s="8" t="s">
        <v>8354</v>
      </c>
      <c r="E4098" s="13">
        <v>0</v>
      </c>
      <c r="F4098" s="14">
        <v>0</v>
      </c>
    </row>
    <row r="4099" spans="1:6" x14ac:dyDescent="0.3">
      <c r="A4099" s="8">
        <v>4097</v>
      </c>
      <c r="B4099" s="8" t="s">
        <v>6516</v>
      </c>
      <c r="C4099" s="8" t="s">
        <v>8355</v>
      </c>
      <c r="D4099" s="8" t="s">
        <v>8356</v>
      </c>
      <c r="E4099" s="13">
        <v>0</v>
      </c>
      <c r="F4099" s="14">
        <v>0</v>
      </c>
    </row>
    <row r="4100" spans="1:6" x14ac:dyDescent="0.3">
      <c r="A4100" s="8">
        <v>4098</v>
      </c>
      <c r="B4100" s="8" t="s">
        <v>6516</v>
      </c>
      <c r="C4100" s="8" t="s">
        <v>8357</v>
      </c>
      <c r="D4100" s="8" t="s">
        <v>8358</v>
      </c>
      <c r="E4100" s="13">
        <v>0</v>
      </c>
      <c r="F4100" s="14">
        <v>0</v>
      </c>
    </row>
    <row r="4101" spans="1:6" x14ac:dyDescent="0.3">
      <c r="A4101" s="8">
        <v>4099</v>
      </c>
      <c r="B4101" s="8" t="s">
        <v>6516</v>
      </c>
      <c r="C4101" s="8" t="s">
        <v>8359</v>
      </c>
      <c r="D4101" s="8" t="s">
        <v>8360</v>
      </c>
      <c r="E4101" s="13">
        <v>0</v>
      </c>
      <c r="F4101" s="14">
        <v>0</v>
      </c>
    </row>
    <row r="4102" spans="1:6" x14ac:dyDescent="0.3">
      <c r="A4102" s="8">
        <v>4100</v>
      </c>
      <c r="B4102" s="8" t="s">
        <v>6516</v>
      </c>
      <c r="C4102" s="8" t="s">
        <v>8361</v>
      </c>
      <c r="D4102" s="8" t="s">
        <v>8362</v>
      </c>
      <c r="E4102" s="13">
        <v>0</v>
      </c>
      <c r="F4102" s="14">
        <v>0</v>
      </c>
    </row>
    <row r="4103" spans="1:6" x14ac:dyDescent="0.3">
      <c r="A4103" s="8">
        <v>4101</v>
      </c>
      <c r="B4103" s="8" t="s">
        <v>7355</v>
      </c>
      <c r="C4103" s="8" t="s">
        <v>8363</v>
      </c>
      <c r="D4103" s="8" t="s">
        <v>8364</v>
      </c>
      <c r="E4103" s="13">
        <v>0</v>
      </c>
      <c r="F4103" s="14">
        <v>0</v>
      </c>
    </row>
    <row r="4104" spans="1:6" x14ac:dyDescent="0.3">
      <c r="A4104" s="8">
        <v>4102</v>
      </c>
      <c r="B4104" s="8" t="s">
        <v>7355</v>
      </c>
      <c r="C4104" s="8" t="s">
        <v>8365</v>
      </c>
      <c r="D4104" s="8" t="s">
        <v>8366</v>
      </c>
      <c r="E4104" s="13">
        <v>227000</v>
      </c>
      <c r="F4104" s="14">
        <v>390000</v>
      </c>
    </row>
    <row r="4105" spans="1:6" x14ac:dyDescent="0.3">
      <c r="A4105" s="8">
        <v>4103</v>
      </c>
      <c r="B4105" s="8" t="s">
        <v>7355</v>
      </c>
      <c r="C4105" s="8" t="s">
        <v>8367</v>
      </c>
      <c r="D4105" s="8" t="s">
        <v>8368</v>
      </c>
      <c r="E4105" s="13">
        <v>0</v>
      </c>
      <c r="F4105" s="14">
        <v>0</v>
      </c>
    </row>
    <row r="4106" spans="1:6" x14ac:dyDescent="0.3">
      <c r="A4106" s="8">
        <v>4104</v>
      </c>
      <c r="B4106" s="8" t="s">
        <v>7355</v>
      </c>
      <c r="C4106" s="8" t="s">
        <v>8369</v>
      </c>
      <c r="D4106" s="8" t="s">
        <v>8370</v>
      </c>
      <c r="E4106" s="13">
        <v>0</v>
      </c>
      <c r="F4106" s="14">
        <v>0</v>
      </c>
    </row>
    <row r="4107" spans="1:6" x14ac:dyDescent="0.3">
      <c r="A4107" s="8">
        <v>4105</v>
      </c>
      <c r="B4107" s="8" t="s">
        <v>7355</v>
      </c>
      <c r="C4107" s="8" t="s">
        <v>8371</v>
      </c>
      <c r="D4107" s="8" t="s">
        <v>8372</v>
      </c>
      <c r="E4107" s="13">
        <v>0</v>
      </c>
      <c r="F4107" s="14">
        <v>0</v>
      </c>
    </row>
    <row r="4108" spans="1:6" x14ac:dyDescent="0.3">
      <c r="A4108" s="8">
        <v>4106</v>
      </c>
      <c r="B4108" s="8" t="s">
        <v>7355</v>
      </c>
      <c r="C4108" s="8" t="s">
        <v>8373</v>
      </c>
      <c r="D4108" s="8" t="s">
        <v>8374</v>
      </c>
      <c r="E4108" s="13">
        <v>0</v>
      </c>
      <c r="F4108" s="14">
        <v>0</v>
      </c>
    </row>
    <row r="4109" spans="1:6" x14ac:dyDescent="0.3">
      <c r="A4109" s="8">
        <v>4107</v>
      </c>
      <c r="B4109" s="8" t="s">
        <v>7368</v>
      </c>
      <c r="C4109" s="8" t="s">
        <v>8375</v>
      </c>
      <c r="D4109" s="8" t="s">
        <v>8376</v>
      </c>
      <c r="E4109" s="13">
        <v>150500</v>
      </c>
      <c r="F4109" s="14">
        <v>301000</v>
      </c>
    </row>
    <row r="4110" spans="1:6" x14ac:dyDescent="0.3">
      <c r="A4110" s="8">
        <v>4108</v>
      </c>
      <c r="B4110" s="8" t="s">
        <v>7368</v>
      </c>
      <c r="C4110" s="8" t="s">
        <v>8377</v>
      </c>
      <c r="D4110" s="8" t="s">
        <v>8378</v>
      </c>
      <c r="E4110" s="13">
        <v>62000</v>
      </c>
      <c r="F4110" s="14">
        <v>124000</v>
      </c>
    </row>
    <row r="4111" spans="1:6" x14ac:dyDescent="0.3">
      <c r="A4111" s="8">
        <v>4109</v>
      </c>
      <c r="B4111" s="8" t="s">
        <v>7368</v>
      </c>
      <c r="C4111" s="8" t="s">
        <v>8379</v>
      </c>
      <c r="D4111" s="8" t="s">
        <v>8380</v>
      </c>
      <c r="E4111" s="13">
        <v>90500</v>
      </c>
      <c r="F4111" s="14">
        <v>181000</v>
      </c>
    </row>
    <row r="4112" spans="1:6" x14ac:dyDescent="0.3">
      <c r="A4112" s="8">
        <v>4110</v>
      </c>
      <c r="B4112" s="8" t="s">
        <v>7368</v>
      </c>
      <c r="C4112" s="8" t="s">
        <v>8381</v>
      </c>
      <c r="D4112" s="8" t="s">
        <v>8382</v>
      </c>
      <c r="E4112" s="13">
        <v>68600</v>
      </c>
      <c r="F4112" s="14">
        <v>137000</v>
      </c>
    </row>
    <row r="4113" spans="1:6" x14ac:dyDescent="0.3">
      <c r="A4113" s="8">
        <v>4111</v>
      </c>
      <c r="B4113" s="8" t="s">
        <v>7368</v>
      </c>
      <c r="C4113" s="8" t="s">
        <v>8383</v>
      </c>
      <c r="D4113" s="8" t="s">
        <v>8384</v>
      </c>
      <c r="E4113" s="13">
        <v>46500</v>
      </c>
      <c r="F4113" s="14">
        <v>98000</v>
      </c>
    </row>
    <row r="4114" spans="1:6" x14ac:dyDescent="0.3">
      <c r="A4114" s="8">
        <v>4112</v>
      </c>
      <c r="B4114" s="8" t="s">
        <v>7368</v>
      </c>
      <c r="C4114" s="8" t="s">
        <v>8385</v>
      </c>
      <c r="D4114" s="8" t="s">
        <v>8386</v>
      </c>
      <c r="E4114" s="13">
        <v>46500</v>
      </c>
      <c r="F4114" s="14">
        <v>98000</v>
      </c>
    </row>
    <row r="4115" spans="1:6" x14ac:dyDescent="0.3">
      <c r="A4115" s="8">
        <v>4113</v>
      </c>
      <c r="B4115" s="8" t="s">
        <v>7368</v>
      </c>
      <c r="C4115" s="8" t="s">
        <v>8387</v>
      </c>
      <c r="D4115" s="8" t="s">
        <v>8388</v>
      </c>
      <c r="E4115" s="13">
        <v>42000</v>
      </c>
      <c r="F4115" s="14">
        <v>83981</v>
      </c>
    </row>
    <row r="4116" spans="1:6" x14ac:dyDescent="0.3">
      <c r="A4116" s="8">
        <v>4114</v>
      </c>
      <c r="B4116" s="8" t="s">
        <v>7368</v>
      </c>
      <c r="C4116" s="8" t="s">
        <v>8389</v>
      </c>
      <c r="D4116" s="8" t="s">
        <v>8390</v>
      </c>
      <c r="E4116" s="13">
        <v>0</v>
      </c>
      <c r="F4116" s="14">
        <v>264000</v>
      </c>
    </row>
    <row r="4117" spans="1:6" x14ac:dyDescent="0.3">
      <c r="A4117" s="8">
        <v>4115</v>
      </c>
      <c r="B4117" s="8" t="s">
        <v>7681</v>
      </c>
      <c r="C4117" s="8" t="s">
        <v>8391</v>
      </c>
      <c r="D4117" s="8" t="s">
        <v>8392</v>
      </c>
      <c r="E4117" s="13">
        <v>0</v>
      </c>
      <c r="F4117" s="14">
        <v>0</v>
      </c>
    </row>
    <row r="4118" spans="1:6" x14ac:dyDescent="0.3">
      <c r="A4118" s="8">
        <v>4116</v>
      </c>
      <c r="B4118" s="8" t="s">
        <v>7681</v>
      </c>
      <c r="C4118" s="8" t="s">
        <v>8393</v>
      </c>
      <c r="D4118" s="8" t="s">
        <v>8394</v>
      </c>
      <c r="E4118" s="13">
        <v>0</v>
      </c>
      <c r="F4118" s="14">
        <v>0</v>
      </c>
    </row>
    <row r="4119" spans="1:6" x14ac:dyDescent="0.3">
      <c r="A4119" s="8">
        <v>4117</v>
      </c>
      <c r="B4119" s="8" t="s">
        <v>7681</v>
      </c>
      <c r="C4119" s="8" t="s">
        <v>8395</v>
      </c>
      <c r="D4119" s="8" t="s">
        <v>8396</v>
      </c>
      <c r="E4119" s="13">
        <v>842000</v>
      </c>
      <c r="F4119" s="14">
        <v>1683333</v>
      </c>
    </row>
    <row r="4120" spans="1:6" x14ac:dyDescent="0.3">
      <c r="A4120" s="8">
        <v>4118</v>
      </c>
      <c r="B4120" s="8" t="s">
        <v>7681</v>
      </c>
      <c r="C4120" s="8" t="s">
        <v>8397</v>
      </c>
      <c r="D4120" s="8" t="s">
        <v>8398</v>
      </c>
      <c r="E4120" s="13">
        <v>43000</v>
      </c>
      <c r="F4120" s="14">
        <v>86111</v>
      </c>
    </row>
    <row r="4121" spans="1:6" x14ac:dyDescent="0.3">
      <c r="A4121" s="8">
        <v>4119</v>
      </c>
      <c r="B4121" s="8" t="s">
        <v>6516</v>
      </c>
      <c r="C4121" s="8" t="s">
        <v>8399</v>
      </c>
      <c r="D4121" s="8" t="s">
        <v>8400</v>
      </c>
      <c r="E4121" s="13">
        <v>0</v>
      </c>
      <c r="F4121" s="14">
        <v>0</v>
      </c>
    </row>
    <row r="4122" spans="1:6" x14ac:dyDescent="0.3">
      <c r="A4122" s="8">
        <v>4120</v>
      </c>
      <c r="B4122" s="8" t="s">
        <v>6516</v>
      </c>
      <c r="C4122" s="8" t="s">
        <v>8401</v>
      </c>
      <c r="D4122" s="8" t="s">
        <v>8402</v>
      </c>
      <c r="E4122" s="13">
        <v>0</v>
      </c>
      <c r="F4122" s="14">
        <v>0</v>
      </c>
    </row>
    <row r="4123" spans="1:6" x14ac:dyDescent="0.3">
      <c r="A4123" s="8">
        <v>4121</v>
      </c>
      <c r="B4123" s="8" t="s">
        <v>7355</v>
      </c>
      <c r="C4123" s="8" t="s">
        <v>8403</v>
      </c>
      <c r="D4123" s="8" t="s">
        <v>8404</v>
      </c>
      <c r="E4123" s="13">
        <v>0</v>
      </c>
      <c r="F4123" s="14">
        <v>0</v>
      </c>
    </row>
    <row r="4124" spans="1:6" x14ac:dyDescent="0.3">
      <c r="A4124" s="8">
        <v>4122</v>
      </c>
      <c r="B4124" s="8" t="s">
        <v>7355</v>
      </c>
      <c r="C4124" s="8" t="s">
        <v>8405</v>
      </c>
      <c r="D4124" s="8" t="s">
        <v>8406</v>
      </c>
      <c r="E4124" s="13">
        <v>0</v>
      </c>
      <c r="F4124" s="14">
        <v>620000</v>
      </c>
    </row>
    <row r="4125" spans="1:6" x14ac:dyDescent="0.3">
      <c r="A4125" s="8">
        <v>4123</v>
      </c>
      <c r="B4125" s="8" t="s">
        <v>7355</v>
      </c>
      <c r="C4125" s="8" t="s">
        <v>8407</v>
      </c>
      <c r="D4125" s="8" t="s">
        <v>8408</v>
      </c>
      <c r="E4125" s="13">
        <v>319000</v>
      </c>
      <c r="F4125" s="14">
        <v>637963</v>
      </c>
    </row>
    <row r="4126" spans="1:6" x14ac:dyDescent="0.3">
      <c r="A4126" s="8">
        <v>4124</v>
      </c>
      <c r="B4126" s="8" t="s">
        <v>7355</v>
      </c>
      <c r="C4126" s="8" t="s">
        <v>8409</v>
      </c>
      <c r="D4126" s="8" t="s">
        <v>8410</v>
      </c>
      <c r="E4126" s="13">
        <v>0</v>
      </c>
      <c r="F4126" s="14">
        <v>0</v>
      </c>
    </row>
    <row r="4127" spans="1:6" x14ac:dyDescent="0.3">
      <c r="A4127" s="8">
        <v>4125</v>
      </c>
      <c r="B4127" s="8" t="s">
        <v>7368</v>
      </c>
      <c r="C4127" s="8" t="s">
        <v>8411</v>
      </c>
      <c r="D4127" s="8" t="s">
        <v>8412</v>
      </c>
      <c r="E4127" s="13">
        <v>68600</v>
      </c>
      <c r="F4127" s="14">
        <v>137037</v>
      </c>
    </row>
    <row r="4128" spans="1:6" x14ac:dyDescent="0.3">
      <c r="A4128" s="8">
        <v>4126</v>
      </c>
      <c r="B4128" s="8" t="s">
        <v>7368</v>
      </c>
      <c r="C4128" s="8" t="s">
        <v>8413</v>
      </c>
      <c r="D4128" s="8" t="s">
        <v>8414</v>
      </c>
      <c r="E4128" s="13">
        <v>82400</v>
      </c>
      <c r="F4128" s="14">
        <v>165000</v>
      </c>
    </row>
    <row r="4129" spans="1:6" x14ac:dyDescent="0.3">
      <c r="A4129" s="8">
        <v>4127</v>
      </c>
      <c r="B4129" s="8" t="s">
        <v>7368</v>
      </c>
      <c r="C4129" s="8" t="s">
        <v>8415</v>
      </c>
      <c r="D4129" s="8" t="s">
        <v>8416</v>
      </c>
      <c r="E4129" s="13">
        <v>0</v>
      </c>
      <c r="F4129" s="14">
        <v>0</v>
      </c>
    </row>
    <row r="4130" spans="1:6" x14ac:dyDescent="0.3">
      <c r="A4130" s="8">
        <v>4128</v>
      </c>
      <c r="B4130" s="8" t="s">
        <v>7368</v>
      </c>
      <c r="C4130" s="8" t="s">
        <v>8417</v>
      </c>
      <c r="D4130" s="8" t="s">
        <v>8418</v>
      </c>
      <c r="E4130" s="13">
        <v>0</v>
      </c>
      <c r="F4130" s="14">
        <v>0</v>
      </c>
    </row>
    <row r="4131" spans="1:6" x14ac:dyDescent="0.3">
      <c r="A4131" s="8">
        <v>4129</v>
      </c>
      <c r="B4131" s="8" t="s">
        <v>7368</v>
      </c>
      <c r="C4131" s="8" t="s">
        <v>8419</v>
      </c>
      <c r="D4131" s="8" t="s">
        <v>8420</v>
      </c>
      <c r="E4131" s="13">
        <v>0</v>
      </c>
      <c r="F4131" s="14">
        <v>0</v>
      </c>
    </row>
    <row r="4132" spans="1:6" x14ac:dyDescent="0.3">
      <c r="A4132" s="8">
        <v>4130</v>
      </c>
      <c r="B4132" s="8" t="s">
        <v>7368</v>
      </c>
      <c r="C4132" s="8" t="s">
        <v>8421</v>
      </c>
      <c r="D4132" s="8" t="s">
        <v>8422</v>
      </c>
      <c r="E4132" s="13">
        <v>42000</v>
      </c>
      <c r="F4132" s="14">
        <v>83981</v>
      </c>
    </row>
    <row r="4133" spans="1:6" x14ac:dyDescent="0.3">
      <c r="A4133" s="8">
        <v>4131</v>
      </c>
      <c r="B4133" s="8" t="s">
        <v>7368</v>
      </c>
      <c r="C4133" s="8" t="s">
        <v>8423</v>
      </c>
      <c r="D4133" s="8" t="s">
        <v>8424</v>
      </c>
      <c r="E4133" s="13">
        <v>0</v>
      </c>
      <c r="F4133" s="14">
        <v>0</v>
      </c>
    </row>
    <row r="4134" spans="1:6" x14ac:dyDescent="0.3">
      <c r="A4134" s="8">
        <v>4132</v>
      </c>
      <c r="B4134" s="8" t="s">
        <v>7368</v>
      </c>
      <c r="C4134" s="8" t="s">
        <v>8425</v>
      </c>
      <c r="D4134" s="8" t="s">
        <v>8426</v>
      </c>
      <c r="E4134" s="13">
        <v>0</v>
      </c>
      <c r="F4134" s="14">
        <v>0</v>
      </c>
    </row>
    <row r="4135" spans="1:6" x14ac:dyDescent="0.3">
      <c r="A4135" s="8">
        <v>4133</v>
      </c>
      <c r="B4135" s="8" t="s">
        <v>7681</v>
      </c>
      <c r="C4135" s="8" t="s">
        <v>8427</v>
      </c>
      <c r="D4135" s="8" t="s">
        <v>8428</v>
      </c>
      <c r="E4135" s="13">
        <v>0</v>
      </c>
      <c r="F4135" s="14">
        <v>0</v>
      </c>
    </row>
    <row r="4136" spans="1:6" x14ac:dyDescent="0.3">
      <c r="A4136" s="8">
        <v>4134</v>
      </c>
      <c r="B4136" s="8" t="s">
        <v>7681</v>
      </c>
      <c r="C4136" s="8" t="s">
        <v>8429</v>
      </c>
      <c r="D4136" s="8" t="s">
        <v>8430</v>
      </c>
      <c r="E4136" s="13">
        <v>0</v>
      </c>
      <c r="F4136" s="14">
        <v>0</v>
      </c>
    </row>
    <row r="4137" spans="1:6" x14ac:dyDescent="0.3">
      <c r="A4137" s="8">
        <v>4135</v>
      </c>
      <c r="B4137" s="8" t="s">
        <v>7681</v>
      </c>
      <c r="C4137" s="8" t="s">
        <v>8431</v>
      </c>
      <c r="D4137" s="8" t="s">
        <v>8432</v>
      </c>
      <c r="E4137" s="13">
        <v>0</v>
      </c>
      <c r="F4137" s="14">
        <v>0</v>
      </c>
    </row>
    <row r="4138" spans="1:6" x14ac:dyDescent="0.3">
      <c r="A4138" s="8">
        <v>4136</v>
      </c>
      <c r="B4138" s="8" t="s">
        <v>7681</v>
      </c>
      <c r="C4138" s="8" t="s">
        <v>8433</v>
      </c>
      <c r="D4138" s="8" t="s">
        <v>8434</v>
      </c>
      <c r="E4138" s="13">
        <v>69900</v>
      </c>
      <c r="F4138" s="14">
        <v>140000</v>
      </c>
    </row>
    <row r="4139" spans="1:6" x14ac:dyDescent="0.3">
      <c r="A4139" s="8">
        <v>4137</v>
      </c>
      <c r="B4139" s="8" t="s">
        <v>7681</v>
      </c>
      <c r="C4139" s="8" t="s">
        <v>8435</v>
      </c>
      <c r="D4139" s="8" t="s">
        <v>8436</v>
      </c>
      <c r="E4139" s="13">
        <v>0</v>
      </c>
      <c r="F4139" s="14">
        <v>0</v>
      </c>
    </row>
    <row r="4140" spans="1:6" x14ac:dyDescent="0.3">
      <c r="A4140" s="8">
        <v>4138</v>
      </c>
      <c r="B4140" s="8" t="s">
        <v>7694</v>
      </c>
      <c r="C4140" s="8" t="s">
        <v>8437</v>
      </c>
      <c r="D4140" s="8" t="s">
        <v>8438</v>
      </c>
      <c r="E4140" s="13">
        <v>0</v>
      </c>
      <c r="F4140" s="14">
        <v>0</v>
      </c>
    </row>
    <row r="4141" spans="1:6" x14ac:dyDescent="0.3">
      <c r="A4141" s="8">
        <v>4139</v>
      </c>
      <c r="B4141" s="8" t="s">
        <v>7694</v>
      </c>
      <c r="C4141" s="8" t="s">
        <v>8439</v>
      </c>
      <c r="D4141" s="8" t="s">
        <v>8440</v>
      </c>
      <c r="E4141" s="13">
        <v>0</v>
      </c>
      <c r="F4141" s="14">
        <v>0</v>
      </c>
    </row>
    <row r="4142" spans="1:6" x14ac:dyDescent="0.3">
      <c r="A4142" s="8">
        <v>4140</v>
      </c>
      <c r="B4142" s="8" t="s">
        <v>7694</v>
      </c>
      <c r="C4142" s="8" t="s">
        <v>8441</v>
      </c>
      <c r="D4142" s="8" t="s">
        <v>8442</v>
      </c>
      <c r="E4142" s="13">
        <v>246100</v>
      </c>
      <c r="F4142" s="14">
        <v>444444</v>
      </c>
    </row>
    <row r="4143" spans="1:6" x14ac:dyDescent="0.3">
      <c r="A4143" s="8">
        <v>4141</v>
      </c>
      <c r="B4143" s="8" t="s">
        <v>7694</v>
      </c>
      <c r="C4143" s="8" t="s">
        <v>8443</v>
      </c>
      <c r="D4143" s="8" t="s">
        <v>8444</v>
      </c>
      <c r="E4143" s="13">
        <v>0</v>
      </c>
      <c r="F4143" s="14">
        <v>0</v>
      </c>
    </row>
    <row r="4144" spans="1:6" x14ac:dyDescent="0.3">
      <c r="A4144" s="8">
        <v>4142</v>
      </c>
      <c r="B4144" s="8" t="s">
        <v>7694</v>
      </c>
      <c r="C4144" s="8" t="s">
        <v>8445</v>
      </c>
      <c r="D4144" s="8" t="s">
        <v>8446</v>
      </c>
      <c r="E4144" s="13">
        <v>325000</v>
      </c>
      <c r="F4144" s="14">
        <v>650000</v>
      </c>
    </row>
    <row r="4145" spans="1:6" x14ac:dyDescent="0.3">
      <c r="A4145" s="8">
        <v>4143</v>
      </c>
      <c r="B4145" s="8" t="s">
        <v>4148</v>
      </c>
      <c r="C4145" s="8" t="s">
        <v>8447</v>
      </c>
      <c r="D4145" s="8" t="s">
        <v>8448</v>
      </c>
      <c r="E4145" s="13">
        <v>94600</v>
      </c>
      <c r="F4145" s="14">
        <v>188889</v>
      </c>
    </row>
    <row r="4146" spans="1:6" x14ac:dyDescent="0.3">
      <c r="A4146" s="8">
        <v>4144</v>
      </c>
      <c r="B4146" s="8" t="s">
        <v>4148</v>
      </c>
      <c r="C4146" s="8" t="s">
        <v>8449</v>
      </c>
      <c r="D4146" s="8" t="s">
        <v>8450</v>
      </c>
      <c r="E4146" s="13">
        <v>0</v>
      </c>
      <c r="F4146" s="14">
        <v>400000</v>
      </c>
    </row>
    <row r="4147" spans="1:6" x14ac:dyDescent="0.3">
      <c r="A4147" s="8">
        <v>4145</v>
      </c>
      <c r="B4147" s="8" t="s">
        <v>4148</v>
      </c>
      <c r="C4147" s="8" t="s">
        <v>8451</v>
      </c>
      <c r="D4147" s="8" t="s">
        <v>8452</v>
      </c>
      <c r="E4147" s="13">
        <v>0</v>
      </c>
      <c r="F4147" s="14">
        <v>0</v>
      </c>
    </row>
    <row r="4148" spans="1:6" x14ac:dyDescent="0.3">
      <c r="A4148" s="8">
        <v>4146</v>
      </c>
      <c r="B4148" s="8" t="s">
        <v>4148</v>
      </c>
      <c r="C4148" s="8" t="s">
        <v>8453</v>
      </c>
      <c r="D4148" s="8" t="s">
        <v>8454</v>
      </c>
      <c r="E4148" s="13">
        <v>76300</v>
      </c>
      <c r="F4148" s="14">
        <v>170370</v>
      </c>
    </row>
    <row r="4149" spans="1:6" x14ac:dyDescent="0.3">
      <c r="A4149" s="8">
        <v>4147</v>
      </c>
      <c r="B4149" s="8" t="s">
        <v>4148</v>
      </c>
      <c r="C4149" s="8" t="s">
        <v>8455</v>
      </c>
      <c r="D4149" s="8" t="s">
        <v>8456</v>
      </c>
      <c r="E4149" s="13">
        <v>0</v>
      </c>
      <c r="F4149" s="14">
        <v>1160185</v>
      </c>
    </row>
    <row r="4150" spans="1:6" x14ac:dyDescent="0.3">
      <c r="A4150" s="8">
        <v>4148</v>
      </c>
      <c r="B4150" s="8" t="s">
        <v>4148</v>
      </c>
      <c r="C4150" s="8" t="s">
        <v>8457</v>
      </c>
      <c r="D4150" s="8" t="s">
        <v>8458</v>
      </c>
      <c r="E4150" s="13">
        <v>0</v>
      </c>
      <c r="F4150" s="14">
        <v>0</v>
      </c>
    </row>
    <row r="4151" spans="1:6" x14ac:dyDescent="0.3">
      <c r="A4151" s="8">
        <v>4149</v>
      </c>
      <c r="B4151" s="8" t="s">
        <v>4148</v>
      </c>
      <c r="C4151" s="8" t="s">
        <v>8459</v>
      </c>
      <c r="D4151" s="8" t="s">
        <v>8460</v>
      </c>
      <c r="E4151" s="13">
        <v>0</v>
      </c>
      <c r="F4151" s="14">
        <v>616000</v>
      </c>
    </row>
    <row r="4152" spans="1:6" x14ac:dyDescent="0.3">
      <c r="A4152" s="8">
        <v>4150</v>
      </c>
      <c r="B4152" s="8" t="s">
        <v>4148</v>
      </c>
      <c r="C4152" s="8" t="s">
        <v>8461</v>
      </c>
      <c r="D4152" s="8" t="s">
        <v>8462</v>
      </c>
      <c r="E4152" s="13">
        <v>0</v>
      </c>
      <c r="F4152" s="14">
        <v>279630</v>
      </c>
    </row>
    <row r="4153" spans="1:6" x14ac:dyDescent="0.3">
      <c r="A4153" s="8">
        <v>4151</v>
      </c>
      <c r="B4153" s="8" t="s">
        <v>4148</v>
      </c>
      <c r="C4153" s="8" t="s">
        <v>8463</v>
      </c>
      <c r="D4153" s="8" t="s">
        <v>8464</v>
      </c>
      <c r="E4153" s="13">
        <v>83800</v>
      </c>
      <c r="F4153" s="14">
        <v>167593</v>
      </c>
    </row>
    <row r="4154" spans="1:6" x14ac:dyDescent="0.3">
      <c r="A4154" s="8">
        <v>4152</v>
      </c>
      <c r="B4154" s="8" t="s">
        <v>4148</v>
      </c>
      <c r="C4154" s="8" t="s">
        <v>8465</v>
      </c>
      <c r="D4154" s="8" t="s">
        <v>8466</v>
      </c>
      <c r="E4154" s="13">
        <v>0</v>
      </c>
      <c r="F4154" s="14">
        <v>0</v>
      </c>
    </row>
    <row r="4155" spans="1:6" x14ac:dyDescent="0.3">
      <c r="A4155" s="8">
        <v>4153</v>
      </c>
      <c r="B4155" s="8" t="s">
        <v>4148</v>
      </c>
      <c r="C4155" s="8" t="s">
        <v>8467</v>
      </c>
      <c r="D4155" s="8" t="s">
        <v>8468</v>
      </c>
      <c r="E4155" s="13">
        <v>87900</v>
      </c>
      <c r="F4155" s="14">
        <v>175926</v>
      </c>
    </row>
    <row r="4156" spans="1:6" x14ac:dyDescent="0.3">
      <c r="A4156" s="8">
        <v>4154</v>
      </c>
      <c r="B4156" s="8" t="s">
        <v>4148</v>
      </c>
      <c r="C4156" s="8" t="s">
        <v>8469</v>
      </c>
      <c r="D4156" s="8" t="s">
        <v>8470</v>
      </c>
      <c r="E4156" s="13">
        <v>47700</v>
      </c>
      <c r="F4156" s="14">
        <v>95370</v>
      </c>
    </row>
    <row r="4157" spans="1:6" x14ac:dyDescent="0.3">
      <c r="A4157" s="8">
        <v>4155</v>
      </c>
      <c r="B4157" s="8" t="s">
        <v>4148</v>
      </c>
      <c r="C4157" s="8" t="s">
        <v>8471</v>
      </c>
      <c r="D4157" s="8" t="s">
        <v>8472</v>
      </c>
      <c r="E4157" s="13">
        <v>0</v>
      </c>
      <c r="F4157" s="14">
        <v>0</v>
      </c>
    </row>
    <row r="4158" spans="1:6" x14ac:dyDescent="0.3">
      <c r="A4158" s="8">
        <v>4156</v>
      </c>
      <c r="B4158" s="8" t="s">
        <v>4148</v>
      </c>
      <c r="C4158" s="8" t="s">
        <v>8473</v>
      </c>
      <c r="D4158" s="8" t="s">
        <v>8474</v>
      </c>
      <c r="E4158" s="13">
        <v>0</v>
      </c>
      <c r="F4158" s="14">
        <v>0</v>
      </c>
    </row>
    <row r="4159" spans="1:6" x14ac:dyDescent="0.3">
      <c r="A4159" s="8">
        <v>4157</v>
      </c>
      <c r="B4159" s="8" t="s">
        <v>4148</v>
      </c>
      <c r="C4159" s="8" t="s">
        <v>8475</v>
      </c>
      <c r="D4159" s="8" t="s">
        <v>8476</v>
      </c>
      <c r="E4159" s="13">
        <v>83800</v>
      </c>
      <c r="F4159" s="14">
        <v>167593</v>
      </c>
    </row>
    <row r="4160" spans="1:6" x14ac:dyDescent="0.3">
      <c r="A4160" s="8">
        <v>4158</v>
      </c>
      <c r="B4160" s="8" t="s">
        <v>4148</v>
      </c>
      <c r="C4160" s="8" t="s">
        <v>8477</v>
      </c>
      <c r="D4160" s="8" t="s">
        <v>8478</v>
      </c>
      <c r="E4160" s="13">
        <v>0</v>
      </c>
      <c r="F4160" s="14">
        <v>0</v>
      </c>
    </row>
    <row r="4161" spans="1:6" x14ac:dyDescent="0.3">
      <c r="A4161" s="8">
        <v>4159</v>
      </c>
      <c r="B4161" s="8" t="s">
        <v>4148</v>
      </c>
      <c r="C4161" s="8" t="s">
        <v>8479</v>
      </c>
      <c r="D4161" s="8" t="s">
        <v>8480</v>
      </c>
      <c r="E4161" s="13">
        <v>70100</v>
      </c>
      <c r="F4161" s="14">
        <v>139815</v>
      </c>
    </row>
    <row r="4162" spans="1:6" x14ac:dyDescent="0.3">
      <c r="A4162" s="8">
        <v>4160</v>
      </c>
      <c r="B4162" s="8" t="s">
        <v>4148</v>
      </c>
      <c r="C4162" s="8" t="s">
        <v>8481</v>
      </c>
      <c r="D4162" s="8" t="s">
        <v>8482</v>
      </c>
      <c r="E4162" s="13">
        <v>150000</v>
      </c>
      <c r="F4162" s="14">
        <v>300000</v>
      </c>
    </row>
    <row r="4163" spans="1:6" x14ac:dyDescent="0.3">
      <c r="A4163" s="8">
        <v>4161</v>
      </c>
      <c r="B4163" s="8" t="s">
        <v>4148</v>
      </c>
      <c r="C4163" s="8" t="s">
        <v>8483</v>
      </c>
      <c r="D4163" s="8" t="s">
        <v>8484</v>
      </c>
      <c r="E4163" s="13">
        <v>0</v>
      </c>
      <c r="F4163" s="14">
        <v>0</v>
      </c>
    </row>
    <row r="4164" spans="1:6" x14ac:dyDescent="0.3">
      <c r="A4164" s="8">
        <v>4162</v>
      </c>
      <c r="B4164" s="8" t="s">
        <v>4148</v>
      </c>
      <c r="C4164" s="8" t="s">
        <v>8485</v>
      </c>
      <c r="D4164" s="8" t="s">
        <v>8486</v>
      </c>
      <c r="E4164" s="13">
        <v>0</v>
      </c>
      <c r="F4164" s="14">
        <v>0</v>
      </c>
    </row>
    <row r="4165" spans="1:6" x14ac:dyDescent="0.3">
      <c r="A4165" s="8">
        <v>4163</v>
      </c>
      <c r="B4165" s="8" t="s">
        <v>4148</v>
      </c>
      <c r="C4165" s="8" t="s">
        <v>8487</v>
      </c>
      <c r="D4165" s="8" t="s">
        <v>8488</v>
      </c>
      <c r="E4165" s="13">
        <v>0</v>
      </c>
      <c r="F4165" s="14">
        <v>0</v>
      </c>
    </row>
    <row r="4166" spans="1:6" x14ac:dyDescent="0.3">
      <c r="A4166" s="8">
        <v>4164</v>
      </c>
      <c r="B4166" s="8" t="s">
        <v>4148</v>
      </c>
      <c r="C4166" s="8" t="s">
        <v>8489</v>
      </c>
      <c r="D4166" s="8" t="s">
        <v>8490</v>
      </c>
      <c r="E4166" s="13">
        <v>0</v>
      </c>
      <c r="F4166" s="14">
        <v>0</v>
      </c>
    </row>
    <row r="4167" spans="1:6" x14ac:dyDescent="0.3">
      <c r="A4167" s="8">
        <v>4165</v>
      </c>
      <c r="B4167" s="8" t="s">
        <v>6022</v>
      </c>
      <c r="C4167" s="8" t="s">
        <v>8491</v>
      </c>
      <c r="D4167" s="8" t="s">
        <v>8492</v>
      </c>
      <c r="E4167" s="13">
        <v>170000</v>
      </c>
      <c r="F4167" s="14">
        <v>339815</v>
      </c>
    </row>
    <row r="4168" spans="1:6" x14ac:dyDescent="0.3">
      <c r="A4168" s="8">
        <v>4166</v>
      </c>
      <c r="B4168" s="8" t="s">
        <v>6516</v>
      </c>
      <c r="C4168" s="8" t="s">
        <v>8493</v>
      </c>
      <c r="D4168" s="8" t="s">
        <v>8494</v>
      </c>
      <c r="E4168" s="13">
        <v>0</v>
      </c>
      <c r="F4168" s="14">
        <v>1037037</v>
      </c>
    </row>
    <row r="4169" spans="1:6" x14ac:dyDescent="0.3">
      <c r="A4169" s="8">
        <v>4167</v>
      </c>
      <c r="B4169" s="8" t="s">
        <v>6516</v>
      </c>
      <c r="C4169" s="8" t="s">
        <v>8495</v>
      </c>
      <c r="D4169" s="8" t="s">
        <v>8496</v>
      </c>
      <c r="E4169" s="13">
        <v>0</v>
      </c>
      <c r="F4169" s="14">
        <v>0</v>
      </c>
    </row>
    <row r="4170" spans="1:6" x14ac:dyDescent="0.3">
      <c r="A4170" s="8">
        <v>4168</v>
      </c>
      <c r="B4170" s="8" t="s">
        <v>6516</v>
      </c>
      <c r="C4170" s="8" t="s">
        <v>8497</v>
      </c>
      <c r="D4170" s="8" t="s">
        <v>8498</v>
      </c>
      <c r="E4170" s="13">
        <v>0</v>
      </c>
      <c r="F4170" s="14">
        <v>0</v>
      </c>
    </row>
    <row r="4171" spans="1:6" x14ac:dyDescent="0.3">
      <c r="A4171" s="8">
        <v>4169</v>
      </c>
      <c r="B4171" s="8" t="s">
        <v>6516</v>
      </c>
      <c r="C4171" s="8" t="s">
        <v>8499</v>
      </c>
      <c r="D4171" s="8" t="s">
        <v>8500</v>
      </c>
      <c r="E4171" s="13">
        <v>0</v>
      </c>
      <c r="F4171" s="14">
        <v>0</v>
      </c>
    </row>
    <row r="4172" spans="1:6" x14ac:dyDescent="0.3">
      <c r="A4172" s="8">
        <v>4170</v>
      </c>
      <c r="B4172" s="8" t="s">
        <v>6516</v>
      </c>
      <c r="C4172" s="8" t="s">
        <v>8501</v>
      </c>
      <c r="D4172" s="8" t="s">
        <v>8502</v>
      </c>
      <c r="E4172" s="13">
        <v>481000</v>
      </c>
      <c r="F4172" s="14">
        <v>962037</v>
      </c>
    </row>
    <row r="4173" spans="1:6" x14ac:dyDescent="0.3">
      <c r="A4173" s="8">
        <v>4171</v>
      </c>
      <c r="B4173" s="8" t="s">
        <v>6516</v>
      </c>
      <c r="C4173" s="8" t="s">
        <v>8503</v>
      </c>
      <c r="D4173" s="8" t="s">
        <v>8504</v>
      </c>
      <c r="E4173" s="13">
        <v>0</v>
      </c>
      <c r="F4173" s="14">
        <v>0</v>
      </c>
    </row>
    <row r="4174" spans="1:6" x14ac:dyDescent="0.3">
      <c r="A4174" s="8">
        <v>4172</v>
      </c>
      <c r="B4174" s="8" t="s">
        <v>6516</v>
      </c>
      <c r="C4174" s="8" t="s">
        <v>8505</v>
      </c>
      <c r="D4174" s="8" t="s">
        <v>8506</v>
      </c>
      <c r="E4174" s="13">
        <v>481000</v>
      </c>
      <c r="F4174" s="14">
        <v>962037</v>
      </c>
    </row>
    <row r="4175" spans="1:6" x14ac:dyDescent="0.3">
      <c r="A4175" s="8">
        <v>4173</v>
      </c>
      <c r="B4175" s="8" t="s">
        <v>6516</v>
      </c>
      <c r="C4175" s="8" t="s">
        <v>8507</v>
      </c>
      <c r="D4175" s="8" t="s">
        <v>8508</v>
      </c>
      <c r="E4175" s="13">
        <v>0</v>
      </c>
      <c r="F4175" s="14">
        <v>0</v>
      </c>
    </row>
    <row r="4176" spans="1:6" x14ac:dyDescent="0.3">
      <c r="A4176" s="8">
        <v>4174</v>
      </c>
      <c r="B4176" s="8" t="s">
        <v>6516</v>
      </c>
      <c r="C4176" s="8" t="s">
        <v>8509</v>
      </c>
      <c r="D4176" s="8" t="s">
        <v>8510</v>
      </c>
      <c r="E4176" s="13">
        <v>0</v>
      </c>
      <c r="F4176" s="14">
        <v>0</v>
      </c>
    </row>
    <row r="4177" spans="1:6" x14ac:dyDescent="0.3">
      <c r="A4177" s="8">
        <v>4175</v>
      </c>
      <c r="B4177" s="8" t="s">
        <v>6516</v>
      </c>
      <c r="C4177" s="8" t="s">
        <v>8511</v>
      </c>
      <c r="D4177" s="8" t="s">
        <v>8512</v>
      </c>
      <c r="E4177" s="13">
        <v>495000</v>
      </c>
      <c r="F4177" s="14">
        <v>989815</v>
      </c>
    </row>
    <row r="4178" spans="1:6" x14ac:dyDescent="0.3">
      <c r="A4178" s="8">
        <v>4176</v>
      </c>
      <c r="B4178" s="8" t="s">
        <v>6516</v>
      </c>
      <c r="C4178" s="8" t="s">
        <v>8513</v>
      </c>
      <c r="D4178" s="8" t="s">
        <v>8514</v>
      </c>
      <c r="E4178" s="13">
        <v>0</v>
      </c>
      <c r="F4178" s="14">
        <v>0</v>
      </c>
    </row>
    <row r="4179" spans="1:6" x14ac:dyDescent="0.3">
      <c r="A4179" s="8">
        <v>4177</v>
      </c>
      <c r="B4179" s="8" t="s">
        <v>6516</v>
      </c>
      <c r="C4179" s="8" t="s">
        <v>8515</v>
      </c>
      <c r="D4179" s="8" t="s">
        <v>8516</v>
      </c>
      <c r="E4179" s="13">
        <v>0</v>
      </c>
      <c r="F4179" s="14">
        <v>0</v>
      </c>
    </row>
    <row r="4180" spans="1:6" x14ac:dyDescent="0.3">
      <c r="A4180" s="8">
        <v>4178</v>
      </c>
      <c r="B4180" s="8" t="s">
        <v>6516</v>
      </c>
      <c r="C4180" s="8" t="s">
        <v>8517</v>
      </c>
      <c r="D4180" s="8" t="s">
        <v>8518</v>
      </c>
      <c r="E4180" s="13">
        <v>0</v>
      </c>
      <c r="F4180" s="14">
        <v>0</v>
      </c>
    </row>
    <row r="4181" spans="1:6" x14ac:dyDescent="0.3">
      <c r="A4181" s="8">
        <v>4179</v>
      </c>
      <c r="B4181" s="8" t="s">
        <v>6516</v>
      </c>
      <c r="C4181" s="8" t="s">
        <v>8519</v>
      </c>
      <c r="D4181" s="8" t="s">
        <v>8520</v>
      </c>
      <c r="E4181" s="13">
        <v>0</v>
      </c>
      <c r="F4181" s="14">
        <v>0</v>
      </c>
    </row>
    <row r="4182" spans="1:6" x14ac:dyDescent="0.3">
      <c r="A4182" s="8">
        <v>4180</v>
      </c>
      <c r="B4182" s="8" t="s">
        <v>6516</v>
      </c>
      <c r="C4182" s="8" t="s">
        <v>8521</v>
      </c>
      <c r="D4182" s="8" t="s">
        <v>8522</v>
      </c>
      <c r="E4182" s="13">
        <v>0</v>
      </c>
      <c r="F4182" s="14">
        <v>0</v>
      </c>
    </row>
    <row r="4183" spans="1:6" x14ac:dyDescent="0.3">
      <c r="A4183" s="8">
        <v>4181</v>
      </c>
      <c r="B4183" s="8" t="s">
        <v>6516</v>
      </c>
      <c r="C4183" s="8" t="s">
        <v>8523</v>
      </c>
      <c r="D4183" s="8" t="s">
        <v>8524</v>
      </c>
      <c r="E4183" s="13">
        <v>0</v>
      </c>
      <c r="F4183" s="14">
        <v>0</v>
      </c>
    </row>
    <row r="4184" spans="1:6" x14ac:dyDescent="0.3">
      <c r="A4184" s="8">
        <v>4182</v>
      </c>
      <c r="B4184" s="8" t="s">
        <v>6516</v>
      </c>
      <c r="C4184" s="8" t="s">
        <v>8525</v>
      </c>
      <c r="D4184" s="8" t="s">
        <v>8526</v>
      </c>
      <c r="E4184" s="13">
        <v>0</v>
      </c>
      <c r="F4184" s="14">
        <v>0</v>
      </c>
    </row>
    <row r="4185" spans="1:6" x14ac:dyDescent="0.3">
      <c r="A4185" s="8">
        <v>4183</v>
      </c>
      <c r="B4185" s="8" t="s">
        <v>6516</v>
      </c>
      <c r="C4185" s="8" t="s">
        <v>8527</v>
      </c>
      <c r="D4185" s="8" t="s">
        <v>8528</v>
      </c>
      <c r="E4185" s="13">
        <v>0</v>
      </c>
      <c r="F4185" s="14">
        <v>0</v>
      </c>
    </row>
    <row r="4186" spans="1:6" x14ac:dyDescent="0.3">
      <c r="A4186" s="8">
        <v>4184</v>
      </c>
      <c r="B4186" s="8" t="s">
        <v>6516</v>
      </c>
      <c r="C4186" s="8" t="s">
        <v>8529</v>
      </c>
      <c r="D4186" s="8" t="s">
        <v>8530</v>
      </c>
      <c r="E4186" s="13">
        <v>537000</v>
      </c>
      <c r="F4186" s="14">
        <v>1074074</v>
      </c>
    </row>
    <row r="4187" spans="1:6" x14ac:dyDescent="0.3">
      <c r="A4187" s="8">
        <v>4185</v>
      </c>
      <c r="B4187" s="8" t="s">
        <v>6516</v>
      </c>
      <c r="C4187" s="8" t="s">
        <v>8531</v>
      </c>
      <c r="D4187" s="8" t="s">
        <v>8532</v>
      </c>
      <c r="E4187" s="13">
        <v>0</v>
      </c>
      <c r="F4187" s="14">
        <v>0</v>
      </c>
    </row>
    <row r="4188" spans="1:6" x14ac:dyDescent="0.3">
      <c r="A4188" s="8">
        <v>4186</v>
      </c>
      <c r="B4188" s="8" t="s">
        <v>6516</v>
      </c>
      <c r="C4188" s="8" t="s">
        <v>8533</v>
      </c>
      <c r="D4188" s="8" t="s">
        <v>8534</v>
      </c>
      <c r="E4188" s="13">
        <v>0</v>
      </c>
      <c r="F4188" s="14">
        <v>0</v>
      </c>
    </row>
    <row r="4189" spans="1:6" x14ac:dyDescent="0.3">
      <c r="A4189" s="8">
        <v>4187</v>
      </c>
      <c r="B4189" s="8" t="s">
        <v>6516</v>
      </c>
      <c r="C4189" s="8" t="s">
        <v>8535</v>
      </c>
      <c r="D4189" s="8" t="s">
        <v>8536</v>
      </c>
      <c r="E4189" s="13">
        <v>0</v>
      </c>
      <c r="F4189" s="14">
        <v>0</v>
      </c>
    </row>
    <row r="4190" spans="1:6" x14ac:dyDescent="0.3">
      <c r="A4190" s="8">
        <v>4188</v>
      </c>
      <c r="B4190" s="8" t="s">
        <v>6516</v>
      </c>
      <c r="C4190" s="8" t="s">
        <v>8537</v>
      </c>
      <c r="D4190" s="8" t="s">
        <v>8538</v>
      </c>
      <c r="E4190" s="13">
        <v>0</v>
      </c>
      <c r="F4190" s="14">
        <v>0</v>
      </c>
    </row>
    <row r="4191" spans="1:6" x14ac:dyDescent="0.3">
      <c r="A4191" s="8">
        <v>4189</v>
      </c>
      <c r="B4191" s="8" t="s">
        <v>4148</v>
      </c>
      <c r="C4191" s="8" t="s">
        <v>8539</v>
      </c>
      <c r="D4191" s="8" t="s">
        <v>8540</v>
      </c>
      <c r="E4191" s="13">
        <v>0</v>
      </c>
      <c r="F4191" s="14">
        <v>0</v>
      </c>
    </row>
    <row r="4192" spans="1:6" x14ac:dyDescent="0.3">
      <c r="A4192" s="8">
        <v>4190</v>
      </c>
      <c r="B4192" s="8" t="s">
        <v>4148</v>
      </c>
      <c r="C4192" s="8" t="s">
        <v>8541</v>
      </c>
      <c r="D4192" s="8" t="s">
        <v>8542</v>
      </c>
      <c r="E4192" s="13">
        <v>0</v>
      </c>
      <c r="F4192" s="14">
        <v>0</v>
      </c>
    </row>
    <row r="4193" spans="1:6" x14ac:dyDescent="0.3">
      <c r="A4193" s="8">
        <v>4191</v>
      </c>
      <c r="B4193" s="8" t="s">
        <v>4148</v>
      </c>
      <c r="C4193" s="8" t="s">
        <v>8543</v>
      </c>
      <c r="D4193" s="8" t="s">
        <v>8544</v>
      </c>
      <c r="E4193" s="13">
        <v>0</v>
      </c>
      <c r="F4193" s="14">
        <v>0</v>
      </c>
    </row>
    <row r="4194" spans="1:6" x14ac:dyDescent="0.3">
      <c r="A4194" s="8">
        <v>4192</v>
      </c>
      <c r="B4194" s="8" t="s">
        <v>4148</v>
      </c>
      <c r="C4194" s="8" t="s">
        <v>8545</v>
      </c>
      <c r="D4194" s="8" t="s">
        <v>8546</v>
      </c>
      <c r="E4194" s="13">
        <v>0</v>
      </c>
      <c r="F4194" s="14">
        <v>0</v>
      </c>
    </row>
    <row r="4195" spans="1:6" x14ac:dyDescent="0.3">
      <c r="A4195" s="8">
        <v>4193</v>
      </c>
      <c r="B4195" s="8" t="s">
        <v>4148</v>
      </c>
      <c r="C4195" s="8" t="s">
        <v>8547</v>
      </c>
      <c r="D4195" s="8" t="s">
        <v>8548</v>
      </c>
      <c r="E4195" s="13">
        <v>0</v>
      </c>
      <c r="F4195" s="14">
        <v>0</v>
      </c>
    </row>
    <row r="4196" spans="1:6" x14ac:dyDescent="0.3">
      <c r="A4196" s="8">
        <v>4194</v>
      </c>
      <c r="B4196" s="8" t="s">
        <v>4148</v>
      </c>
      <c r="C4196" s="8" t="s">
        <v>8549</v>
      </c>
      <c r="D4196" s="8" t="s">
        <v>8550</v>
      </c>
      <c r="E4196" s="13">
        <v>0</v>
      </c>
      <c r="F4196" s="14">
        <v>0</v>
      </c>
    </row>
    <row r="4197" spans="1:6" x14ac:dyDescent="0.3">
      <c r="A4197" s="8">
        <v>4195</v>
      </c>
      <c r="B4197" s="8" t="s">
        <v>4148</v>
      </c>
      <c r="C4197" s="8" t="s">
        <v>8551</v>
      </c>
      <c r="D4197" s="8" t="s">
        <v>8552</v>
      </c>
      <c r="E4197" s="13">
        <v>0</v>
      </c>
      <c r="F4197" s="14">
        <v>0</v>
      </c>
    </row>
    <row r="4198" spans="1:6" x14ac:dyDescent="0.3">
      <c r="A4198" s="8">
        <v>4196</v>
      </c>
      <c r="B4198" s="8" t="s">
        <v>4148</v>
      </c>
      <c r="C4198" s="8" t="s">
        <v>8553</v>
      </c>
      <c r="D4198" s="8" t="s">
        <v>8554</v>
      </c>
      <c r="E4198" s="13">
        <v>72700</v>
      </c>
      <c r="F4198" s="14">
        <v>145370</v>
      </c>
    </row>
    <row r="4199" spans="1:6" x14ac:dyDescent="0.3">
      <c r="A4199" s="8">
        <v>4197</v>
      </c>
      <c r="B4199" s="8" t="s">
        <v>4148</v>
      </c>
      <c r="C4199" s="8" t="s">
        <v>8555</v>
      </c>
      <c r="D4199" s="8" t="s">
        <v>8556</v>
      </c>
      <c r="E4199" s="13">
        <v>0</v>
      </c>
      <c r="F4199" s="14">
        <v>129630</v>
      </c>
    </row>
    <row r="4200" spans="1:6" x14ac:dyDescent="0.3">
      <c r="A4200" s="8">
        <v>4198</v>
      </c>
      <c r="B4200" s="8" t="s">
        <v>4148</v>
      </c>
      <c r="C4200" s="8" t="s">
        <v>8557</v>
      </c>
      <c r="D4200" s="8" t="s">
        <v>8558</v>
      </c>
      <c r="E4200" s="13">
        <v>83200</v>
      </c>
      <c r="F4200" s="14">
        <v>166667</v>
      </c>
    </row>
    <row r="4201" spans="1:6" x14ac:dyDescent="0.3">
      <c r="A4201" s="8">
        <v>4199</v>
      </c>
      <c r="B4201" s="8" t="s">
        <v>4148</v>
      </c>
      <c r="C4201" s="8" t="s">
        <v>8559</v>
      </c>
      <c r="D4201" s="8" t="s">
        <v>8560</v>
      </c>
      <c r="E4201" s="13">
        <v>88000</v>
      </c>
      <c r="F4201" s="14">
        <v>175926</v>
      </c>
    </row>
    <row r="4202" spans="1:6" x14ac:dyDescent="0.3">
      <c r="A4202" s="8">
        <v>4200</v>
      </c>
      <c r="B4202" s="8" t="s">
        <v>4148</v>
      </c>
      <c r="C4202" s="8" t="s">
        <v>8561</v>
      </c>
      <c r="D4202" s="8" t="s">
        <v>8562</v>
      </c>
      <c r="E4202" s="13">
        <v>110000</v>
      </c>
      <c r="F4202" s="14">
        <v>220370</v>
      </c>
    </row>
    <row r="4203" spans="1:6" x14ac:dyDescent="0.3">
      <c r="A4203" s="8">
        <v>4201</v>
      </c>
      <c r="B4203" s="8" t="s">
        <v>4148</v>
      </c>
      <c r="C4203" s="8" t="s">
        <v>8563</v>
      </c>
      <c r="D4203" s="8" t="s">
        <v>8564</v>
      </c>
      <c r="E4203" s="13">
        <v>0</v>
      </c>
      <c r="F4203" s="14">
        <v>0</v>
      </c>
    </row>
    <row r="4204" spans="1:6" x14ac:dyDescent="0.3">
      <c r="A4204" s="8">
        <v>4202</v>
      </c>
      <c r="B4204" s="8" t="s">
        <v>4148</v>
      </c>
      <c r="C4204" s="8" t="s">
        <v>8565</v>
      </c>
      <c r="D4204" s="8" t="s">
        <v>8566</v>
      </c>
      <c r="E4204" s="13">
        <v>0</v>
      </c>
      <c r="F4204" s="14">
        <v>0</v>
      </c>
    </row>
    <row r="4205" spans="1:6" x14ac:dyDescent="0.3">
      <c r="A4205" s="8">
        <v>4203</v>
      </c>
      <c r="B4205" s="8" t="s">
        <v>4148</v>
      </c>
      <c r="C4205" s="8" t="s">
        <v>8567</v>
      </c>
      <c r="D4205" s="8" t="s">
        <v>8568</v>
      </c>
      <c r="E4205" s="13">
        <v>40200</v>
      </c>
      <c r="F4205" s="14">
        <v>80370</v>
      </c>
    </row>
    <row r="4206" spans="1:6" x14ac:dyDescent="0.3">
      <c r="A4206" s="8">
        <v>4204</v>
      </c>
      <c r="B4206" s="8" t="s">
        <v>4148</v>
      </c>
      <c r="C4206" s="8" t="s">
        <v>8569</v>
      </c>
      <c r="D4206" s="8" t="s">
        <v>8570</v>
      </c>
      <c r="E4206" s="13">
        <v>0</v>
      </c>
      <c r="F4206" s="14">
        <v>0</v>
      </c>
    </row>
    <row r="4207" spans="1:6" x14ac:dyDescent="0.3">
      <c r="A4207" s="8">
        <v>4205</v>
      </c>
      <c r="B4207" s="8" t="s">
        <v>4148</v>
      </c>
      <c r="C4207" s="8" t="s">
        <v>8571</v>
      </c>
      <c r="D4207" s="8" t="s">
        <v>8572</v>
      </c>
      <c r="E4207" s="13">
        <v>0</v>
      </c>
      <c r="F4207" s="14">
        <v>0</v>
      </c>
    </row>
    <row r="4208" spans="1:6" x14ac:dyDescent="0.3">
      <c r="A4208" s="8">
        <v>4206</v>
      </c>
      <c r="B4208" s="8" t="s">
        <v>4148</v>
      </c>
      <c r="C4208" s="8" t="s">
        <v>8573</v>
      </c>
      <c r="D4208" s="8" t="s">
        <v>8574</v>
      </c>
      <c r="E4208" s="13">
        <v>0</v>
      </c>
      <c r="F4208" s="14">
        <v>0</v>
      </c>
    </row>
    <row r="4209" spans="1:6" x14ac:dyDescent="0.3">
      <c r="A4209" s="8">
        <v>4207</v>
      </c>
      <c r="B4209" s="8" t="s">
        <v>4148</v>
      </c>
      <c r="C4209" s="8" t="s">
        <v>8575</v>
      </c>
      <c r="D4209" s="8" t="s">
        <v>8576</v>
      </c>
      <c r="E4209" s="13">
        <v>0</v>
      </c>
      <c r="F4209" s="14">
        <v>0</v>
      </c>
    </row>
    <row r="4210" spans="1:6" x14ac:dyDescent="0.3">
      <c r="A4210" s="8">
        <v>4208</v>
      </c>
      <c r="B4210" s="8" t="s">
        <v>4148</v>
      </c>
      <c r="C4210" s="8" t="s">
        <v>8577</v>
      </c>
      <c r="D4210" s="8" t="s">
        <v>8578</v>
      </c>
      <c r="E4210" s="13">
        <v>0</v>
      </c>
      <c r="F4210" s="14">
        <v>0</v>
      </c>
    </row>
    <row r="4211" spans="1:6" x14ac:dyDescent="0.3">
      <c r="A4211" s="8">
        <v>4209</v>
      </c>
      <c r="B4211" s="8" t="s">
        <v>4148</v>
      </c>
      <c r="C4211" s="8" t="s">
        <v>8579</v>
      </c>
      <c r="D4211" s="8" t="s">
        <v>8580</v>
      </c>
      <c r="E4211" s="13">
        <v>0</v>
      </c>
      <c r="F4211" s="14">
        <v>0</v>
      </c>
    </row>
    <row r="4212" spans="1:6" x14ac:dyDescent="0.3">
      <c r="A4212" s="8">
        <v>4210</v>
      </c>
      <c r="B4212" s="8" t="s">
        <v>4148</v>
      </c>
      <c r="C4212" s="8" t="s">
        <v>8581</v>
      </c>
      <c r="D4212" s="8" t="s">
        <v>8582</v>
      </c>
      <c r="E4212" s="13">
        <v>0</v>
      </c>
      <c r="F4212" s="14">
        <v>209259</v>
      </c>
    </row>
    <row r="4213" spans="1:6" x14ac:dyDescent="0.3">
      <c r="A4213" s="8">
        <v>4211</v>
      </c>
      <c r="B4213" s="8" t="s">
        <v>6022</v>
      </c>
      <c r="C4213" s="8" t="s">
        <v>8583</v>
      </c>
      <c r="D4213" s="8" t="s">
        <v>8584</v>
      </c>
      <c r="E4213" s="13">
        <v>104000</v>
      </c>
      <c r="F4213" s="14">
        <v>208333</v>
      </c>
    </row>
    <row r="4214" spans="1:6" x14ac:dyDescent="0.3">
      <c r="A4214" s="8">
        <v>4212</v>
      </c>
      <c r="B4214" s="8" t="s">
        <v>6022</v>
      </c>
      <c r="C4214" s="8" t="s">
        <v>8585</v>
      </c>
      <c r="D4214" s="8" t="s">
        <v>8586</v>
      </c>
      <c r="E4214" s="13">
        <v>0</v>
      </c>
      <c r="F4214" s="14">
        <v>0</v>
      </c>
    </row>
    <row r="4215" spans="1:6" x14ac:dyDescent="0.3">
      <c r="A4215" s="8">
        <v>4213</v>
      </c>
      <c r="B4215" s="8" t="s">
        <v>6029</v>
      </c>
      <c r="C4215" s="8" t="s">
        <v>8587</v>
      </c>
      <c r="D4215" s="8" t="s">
        <v>8588</v>
      </c>
      <c r="E4215" s="13">
        <v>172000</v>
      </c>
      <c r="F4215" s="14">
        <v>344444</v>
      </c>
    </row>
    <row r="4216" spans="1:6" x14ac:dyDescent="0.3">
      <c r="A4216" s="8">
        <v>4214</v>
      </c>
      <c r="B4216" s="8" t="s">
        <v>6029</v>
      </c>
      <c r="C4216" s="8" t="s">
        <v>8589</v>
      </c>
      <c r="D4216" s="8" t="s">
        <v>8590</v>
      </c>
      <c r="E4216" s="13">
        <v>0</v>
      </c>
      <c r="F4216" s="14">
        <v>0</v>
      </c>
    </row>
    <row r="4217" spans="1:6" x14ac:dyDescent="0.3">
      <c r="A4217" s="8">
        <v>4215</v>
      </c>
      <c r="B4217" s="8" t="s">
        <v>6022</v>
      </c>
      <c r="C4217" s="8" t="s">
        <v>8591</v>
      </c>
      <c r="D4217" s="8" t="s">
        <v>8592</v>
      </c>
      <c r="E4217" s="13">
        <v>0</v>
      </c>
      <c r="F4217" s="14">
        <v>0</v>
      </c>
    </row>
    <row r="4218" spans="1:6" x14ac:dyDescent="0.3">
      <c r="A4218" s="8">
        <v>4216</v>
      </c>
      <c r="B4218" s="8" t="s">
        <v>6516</v>
      </c>
      <c r="C4218" s="8" t="s">
        <v>8593</v>
      </c>
      <c r="D4218" s="8" t="s">
        <v>8594</v>
      </c>
      <c r="E4218" s="13">
        <v>0</v>
      </c>
      <c r="F4218" s="14">
        <v>0</v>
      </c>
    </row>
    <row r="4219" spans="1:6" x14ac:dyDescent="0.3">
      <c r="A4219" s="8">
        <v>4217</v>
      </c>
      <c r="B4219" s="8" t="s">
        <v>6516</v>
      </c>
      <c r="C4219" s="8" t="s">
        <v>8595</v>
      </c>
      <c r="D4219" s="8" t="s">
        <v>8596</v>
      </c>
      <c r="E4219" s="13">
        <v>0</v>
      </c>
      <c r="F4219" s="14">
        <v>695000</v>
      </c>
    </row>
    <row r="4220" spans="1:6" x14ac:dyDescent="0.3">
      <c r="A4220" s="8">
        <v>4218</v>
      </c>
      <c r="B4220" s="8" t="s">
        <v>6516</v>
      </c>
      <c r="C4220" s="8" t="s">
        <v>8597</v>
      </c>
      <c r="D4220" s="8" t="s">
        <v>8598</v>
      </c>
      <c r="E4220" s="13">
        <v>0</v>
      </c>
      <c r="F4220" s="14">
        <v>0</v>
      </c>
    </row>
    <row r="4221" spans="1:6" x14ac:dyDescent="0.3">
      <c r="A4221" s="8">
        <v>4219</v>
      </c>
      <c r="B4221" s="8" t="s">
        <v>6516</v>
      </c>
      <c r="C4221" s="8" t="s">
        <v>8599</v>
      </c>
      <c r="D4221" s="8" t="s">
        <v>8600</v>
      </c>
      <c r="E4221" s="13">
        <v>0</v>
      </c>
      <c r="F4221" s="14">
        <v>1733000</v>
      </c>
    </row>
    <row r="4222" spans="1:6" x14ac:dyDescent="0.3">
      <c r="A4222" s="8">
        <v>4220</v>
      </c>
      <c r="B4222" s="8" t="s">
        <v>6516</v>
      </c>
      <c r="C4222" s="8" t="s">
        <v>8601</v>
      </c>
      <c r="D4222" s="8" t="s">
        <v>8602</v>
      </c>
      <c r="E4222" s="13">
        <v>0</v>
      </c>
      <c r="F4222" s="14">
        <v>0</v>
      </c>
    </row>
    <row r="4223" spans="1:6" x14ac:dyDescent="0.3">
      <c r="A4223" s="8">
        <v>4221</v>
      </c>
      <c r="B4223" s="8" t="s">
        <v>6516</v>
      </c>
      <c r="C4223" s="8" t="s">
        <v>8603</v>
      </c>
      <c r="D4223" s="8" t="s">
        <v>8604</v>
      </c>
      <c r="E4223" s="13">
        <v>0</v>
      </c>
      <c r="F4223" s="14">
        <v>1650000</v>
      </c>
    </row>
    <row r="4224" spans="1:6" x14ac:dyDescent="0.3">
      <c r="A4224" s="8">
        <v>4222</v>
      </c>
      <c r="B4224" s="8" t="s">
        <v>6516</v>
      </c>
      <c r="C4224" s="8" t="s">
        <v>8605</v>
      </c>
      <c r="D4224" s="8" t="s">
        <v>8606</v>
      </c>
      <c r="E4224" s="13">
        <v>0</v>
      </c>
      <c r="F4224" s="14">
        <v>0</v>
      </c>
    </row>
    <row r="4225" spans="1:6" x14ac:dyDescent="0.3">
      <c r="A4225" s="8">
        <v>4223</v>
      </c>
      <c r="B4225" s="8" t="s">
        <v>6516</v>
      </c>
      <c r="C4225" s="8" t="s">
        <v>8607</v>
      </c>
      <c r="D4225" s="8" t="s">
        <v>8608</v>
      </c>
      <c r="E4225" s="13">
        <v>0</v>
      </c>
      <c r="F4225" s="14">
        <v>0</v>
      </c>
    </row>
    <row r="4226" spans="1:6" x14ac:dyDescent="0.3">
      <c r="A4226" s="8">
        <v>4224</v>
      </c>
      <c r="B4226" s="8" t="s">
        <v>6516</v>
      </c>
      <c r="C4226" s="8" t="s">
        <v>8609</v>
      </c>
      <c r="D4226" s="8" t="s">
        <v>8610</v>
      </c>
      <c r="E4226" s="13">
        <v>0</v>
      </c>
      <c r="F4226" s="14">
        <v>1501852</v>
      </c>
    </row>
    <row r="4227" spans="1:6" x14ac:dyDescent="0.3">
      <c r="A4227" s="8">
        <v>4225</v>
      </c>
      <c r="B4227" s="8" t="s">
        <v>6516</v>
      </c>
      <c r="C4227" s="8" t="s">
        <v>8611</v>
      </c>
      <c r="D4227" s="8" t="s">
        <v>8612</v>
      </c>
      <c r="E4227" s="13">
        <v>0</v>
      </c>
      <c r="F4227" s="14">
        <v>0</v>
      </c>
    </row>
    <row r="4228" spans="1:6" x14ac:dyDescent="0.3">
      <c r="A4228" s="8">
        <v>4226</v>
      </c>
      <c r="B4228" s="8" t="s">
        <v>6516</v>
      </c>
      <c r="C4228" s="8" t="s">
        <v>8613</v>
      </c>
      <c r="D4228" s="8" t="s">
        <v>8614</v>
      </c>
      <c r="E4228" s="13">
        <v>0</v>
      </c>
      <c r="F4228" s="14">
        <v>0</v>
      </c>
    </row>
    <row r="4229" spans="1:6" x14ac:dyDescent="0.3">
      <c r="A4229" s="8">
        <v>4227</v>
      </c>
      <c r="B4229" s="8" t="s">
        <v>6516</v>
      </c>
      <c r="C4229" s="8" t="s">
        <v>8615</v>
      </c>
      <c r="D4229" s="8" t="s">
        <v>8616</v>
      </c>
      <c r="E4229" s="13">
        <v>0</v>
      </c>
      <c r="F4229" s="14">
        <v>0</v>
      </c>
    </row>
    <row r="4230" spans="1:6" x14ac:dyDescent="0.3">
      <c r="A4230" s="8">
        <v>4228</v>
      </c>
      <c r="B4230" s="8" t="s">
        <v>6516</v>
      </c>
      <c r="C4230" s="8" t="s">
        <v>8617</v>
      </c>
      <c r="D4230" s="8" t="s">
        <v>8618</v>
      </c>
      <c r="E4230" s="13">
        <v>0</v>
      </c>
      <c r="F4230" s="14">
        <v>0</v>
      </c>
    </row>
    <row r="4231" spans="1:6" x14ac:dyDescent="0.3">
      <c r="A4231" s="8">
        <v>4229</v>
      </c>
      <c r="B4231" s="8" t="s">
        <v>6516</v>
      </c>
      <c r="C4231" s="8" t="s">
        <v>8619</v>
      </c>
      <c r="D4231" s="8" t="s">
        <v>8620</v>
      </c>
      <c r="E4231" s="13">
        <v>0</v>
      </c>
      <c r="F4231" s="14">
        <v>0</v>
      </c>
    </row>
    <row r="4232" spans="1:6" x14ac:dyDescent="0.3">
      <c r="A4232" s="8">
        <v>4230</v>
      </c>
      <c r="B4232" s="8" t="s">
        <v>6516</v>
      </c>
      <c r="C4232" s="8" t="s">
        <v>8621</v>
      </c>
      <c r="D4232" s="8" t="s">
        <v>8622</v>
      </c>
      <c r="E4232" s="13">
        <v>0</v>
      </c>
      <c r="F4232" s="14">
        <v>0</v>
      </c>
    </row>
    <row r="4233" spans="1:6" x14ac:dyDescent="0.3">
      <c r="A4233" s="8">
        <v>4231</v>
      </c>
      <c r="B4233" s="8" t="s">
        <v>6516</v>
      </c>
      <c r="C4233" s="8" t="s">
        <v>8623</v>
      </c>
      <c r="D4233" s="8" t="s">
        <v>8624</v>
      </c>
      <c r="E4233" s="13">
        <v>0</v>
      </c>
      <c r="F4233" s="14">
        <v>0</v>
      </c>
    </row>
    <row r="4234" spans="1:6" x14ac:dyDescent="0.3">
      <c r="A4234" s="8">
        <v>4232</v>
      </c>
      <c r="B4234" s="8" t="s">
        <v>6516</v>
      </c>
      <c r="C4234" s="8" t="s">
        <v>8625</v>
      </c>
      <c r="D4234" s="8" t="s">
        <v>8626</v>
      </c>
      <c r="E4234" s="13">
        <v>0</v>
      </c>
      <c r="F4234" s="14">
        <v>1501852</v>
      </c>
    </row>
    <row r="4235" spans="1:6" x14ac:dyDescent="0.3">
      <c r="A4235" s="8">
        <v>4233</v>
      </c>
      <c r="B4235" s="8" t="s">
        <v>6516</v>
      </c>
      <c r="C4235" s="8" t="s">
        <v>8627</v>
      </c>
      <c r="D4235" s="8" t="s">
        <v>8628</v>
      </c>
      <c r="E4235" s="13">
        <v>0</v>
      </c>
      <c r="F4235" s="14">
        <v>0</v>
      </c>
    </row>
    <row r="4236" spans="1:6" x14ac:dyDescent="0.3">
      <c r="A4236" s="8">
        <v>4234</v>
      </c>
      <c r="B4236" s="8" t="s">
        <v>6022</v>
      </c>
      <c r="C4236" s="8" t="s">
        <v>8629</v>
      </c>
      <c r="D4236" s="8" t="s">
        <v>8630</v>
      </c>
      <c r="E4236" s="13">
        <v>0</v>
      </c>
      <c r="F4236" s="14">
        <v>0</v>
      </c>
    </row>
    <row r="4237" spans="1:6" x14ac:dyDescent="0.3">
      <c r="A4237" s="8">
        <v>4235</v>
      </c>
      <c r="B4237" s="8" t="s">
        <v>6029</v>
      </c>
      <c r="C4237" s="8" t="s">
        <v>8631</v>
      </c>
      <c r="D4237" s="8" t="s">
        <v>8632</v>
      </c>
      <c r="E4237" s="13">
        <v>0</v>
      </c>
      <c r="F4237" s="14">
        <v>0</v>
      </c>
    </row>
    <row r="4238" spans="1:6" x14ac:dyDescent="0.3">
      <c r="A4238" s="8">
        <v>4236</v>
      </c>
      <c r="B4238" s="8" t="s">
        <v>6029</v>
      </c>
      <c r="C4238" s="8" t="s">
        <v>8633</v>
      </c>
      <c r="D4238" s="8" t="s">
        <v>8634</v>
      </c>
      <c r="E4238" s="13">
        <v>165000</v>
      </c>
      <c r="F4238" s="14">
        <v>329630</v>
      </c>
    </row>
    <row r="4239" spans="1:6" x14ac:dyDescent="0.3">
      <c r="A4239" s="8">
        <v>4237</v>
      </c>
      <c r="B4239" s="8" t="s">
        <v>6022</v>
      </c>
      <c r="C4239" s="8" t="s">
        <v>8635</v>
      </c>
      <c r="D4239" s="8" t="s">
        <v>8636</v>
      </c>
      <c r="E4239" s="13">
        <v>121000</v>
      </c>
      <c r="F4239" s="14">
        <v>241667</v>
      </c>
    </row>
    <row r="4240" spans="1:6" x14ac:dyDescent="0.3">
      <c r="A4240" s="8">
        <v>4238</v>
      </c>
      <c r="B4240" s="8" t="s">
        <v>6029</v>
      </c>
      <c r="C4240" s="8" t="s">
        <v>8637</v>
      </c>
      <c r="D4240" s="8" t="s">
        <v>8638</v>
      </c>
      <c r="E4240" s="13">
        <v>172000</v>
      </c>
      <c r="F4240" s="14">
        <v>344444</v>
      </c>
    </row>
    <row r="4241" spans="1:6" x14ac:dyDescent="0.3">
      <c r="A4241" s="8">
        <v>4239</v>
      </c>
      <c r="B4241" s="8" t="s">
        <v>6029</v>
      </c>
      <c r="C4241" s="8" t="s">
        <v>8639</v>
      </c>
      <c r="D4241" s="8" t="s">
        <v>8640</v>
      </c>
      <c r="E4241" s="13">
        <v>142000</v>
      </c>
      <c r="F4241" s="14">
        <v>284259</v>
      </c>
    </row>
    <row r="4242" spans="1:6" x14ac:dyDescent="0.3">
      <c r="A4242" s="8">
        <v>4240</v>
      </c>
      <c r="B4242" s="8" t="s">
        <v>6029</v>
      </c>
      <c r="C4242" s="8" t="s">
        <v>8641</v>
      </c>
      <c r="D4242" s="8" t="s">
        <v>8642</v>
      </c>
      <c r="E4242" s="13">
        <v>0</v>
      </c>
      <c r="F4242" s="14">
        <v>0</v>
      </c>
    </row>
    <row r="4243" spans="1:6" x14ac:dyDescent="0.3">
      <c r="A4243" s="8">
        <v>4241</v>
      </c>
      <c r="B4243" s="8" t="s">
        <v>6022</v>
      </c>
      <c r="C4243" s="8" t="s">
        <v>8643</v>
      </c>
      <c r="D4243" s="8" t="s">
        <v>8644</v>
      </c>
      <c r="E4243" s="13">
        <v>0</v>
      </c>
      <c r="F4243" s="14">
        <v>0</v>
      </c>
    </row>
    <row r="4244" spans="1:6" x14ac:dyDescent="0.3">
      <c r="A4244" s="8">
        <v>4242</v>
      </c>
      <c r="B4244" s="8" t="s">
        <v>6029</v>
      </c>
      <c r="C4244" s="8" t="s">
        <v>8645</v>
      </c>
      <c r="D4244" s="8" t="s">
        <v>8646</v>
      </c>
      <c r="E4244" s="13">
        <v>0</v>
      </c>
      <c r="F4244" s="14">
        <v>0</v>
      </c>
    </row>
    <row r="4245" spans="1:6" x14ac:dyDescent="0.3">
      <c r="A4245" s="8">
        <v>4243</v>
      </c>
      <c r="B4245" s="8" t="s">
        <v>6516</v>
      </c>
      <c r="C4245" s="8" t="s">
        <v>8647</v>
      </c>
      <c r="D4245" s="8" t="s">
        <v>8648</v>
      </c>
      <c r="E4245" s="13">
        <v>855000</v>
      </c>
      <c r="F4245" s="14">
        <v>1538000</v>
      </c>
    </row>
    <row r="4246" spans="1:6" x14ac:dyDescent="0.3">
      <c r="A4246" s="8">
        <v>4244</v>
      </c>
      <c r="B4246" s="8" t="s">
        <v>6516</v>
      </c>
      <c r="C4246" s="8" t="s">
        <v>8649</v>
      </c>
      <c r="D4246" s="8" t="s">
        <v>8650</v>
      </c>
      <c r="E4246" s="13">
        <v>783000</v>
      </c>
      <c r="F4246" s="14">
        <v>1565741</v>
      </c>
    </row>
    <row r="4247" spans="1:6" x14ac:dyDescent="0.3">
      <c r="A4247" s="8">
        <v>4245</v>
      </c>
      <c r="B4247" s="8" t="s">
        <v>6516</v>
      </c>
      <c r="C4247" s="8" t="s">
        <v>8651</v>
      </c>
      <c r="D4247" s="8" t="s">
        <v>8652</v>
      </c>
      <c r="E4247" s="13">
        <v>0</v>
      </c>
      <c r="F4247" s="14">
        <v>0</v>
      </c>
    </row>
    <row r="4248" spans="1:6" x14ac:dyDescent="0.3">
      <c r="A4248" s="8">
        <v>4246</v>
      </c>
      <c r="B4248" s="8" t="s">
        <v>6516</v>
      </c>
      <c r="C4248" s="8" t="s">
        <v>8653</v>
      </c>
      <c r="D4248" s="8" t="s">
        <v>8654</v>
      </c>
      <c r="E4248" s="13">
        <v>0</v>
      </c>
      <c r="F4248" s="14">
        <v>0</v>
      </c>
    </row>
    <row r="4249" spans="1:6" x14ac:dyDescent="0.3">
      <c r="A4249" s="8">
        <v>4247</v>
      </c>
      <c r="B4249" s="8" t="s">
        <v>6516</v>
      </c>
      <c r="C4249" s="8" t="s">
        <v>8655</v>
      </c>
      <c r="D4249" s="8" t="s">
        <v>8656</v>
      </c>
      <c r="E4249" s="13">
        <v>1153000</v>
      </c>
      <c r="F4249" s="14">
        <v>2076000</v>
      </c>
    </row>
    <row r="4250" spans="1:6" x14ac:dyDescent="0.3">
      <c r="A4250" s="8">
        <v>4248</v>
      </c>
      <c r="B4250" s="8" t="s">
        <v>6516</v>
      </c>
      <c r="C4250" s="8" t="s">
        <v>8657</v>
      </c>
      <c r="D4250" s="8" t="s">
        <v>8658</v>
      </c>
      <c r="E4250" s="13">
        <v>481000</v>
      </c>
      <c r="F4250" s="14">
        <v>962037</v>
      </c>
    </row>
    <row r="4251" spans="1:6" x14ac:dyDescent="0.3">
      <c r="A4251" s="8">
        <v>4249</v>
      </c>
      <c r="B4251" s="8" t="s">
        <v>6516</v>
      </c>
      <c r="C4251" s="8" t="s">
        <v>8659</v>
      </c>
      <c r="D4251" s="8" t="s">
        <v>8660</v>
      </c>
      <c r="E4251" s="13">
        <v>537000</v>
      </c>
      <c r="F4251" s="14">
        <v>1074074</v>
      </c>
    </row>
    <row r="4252" spans="1:6" x14ac:dyDescent="0.3">
      <c r="A4252" s="8">
        <v>4250</v>
      </c>
      <c r="B4252" s="8" t="s">
        <v>6516</v>
      </c>
      <c r="C4252" s="8" t="s">
        <v>8661</v>
      </c>
      <c r="D4252" s="8" t="s">
        <v>8662</v>
      </c>
      <c r="E4252" s="13">
        <v>0</v>
      </c>
      <c r="F4252" s="14">
        <v>0</v>
      </c>
    </row>
    <row r="4253" spans="1:6" x14ac:dyDescent="0.3">
      <c r="A4253" s="8">
        <v>4251</v>
      </c>
      <c r="B4253" s="8" t="s">
        <v>6516</v>
      </c>
      <c r="C4253" s="8" t="s">
        <v>8663</v>
      </c>
      <c r="D4253" s="8" t="s">
        <v>8664</v>
      </c>
      <c r="E4253" s="13">
        <v>0</v>
      </c>
      <c r="F4253" s="14">
        <v>0</v>
      </c>
    </row>
    <row r="4254" spans="1:6" x14ac:dyDescent="0.3">
      <c r="A4254" s="8">
        <v>4252</v>
      </c>
      <c r="B4254" s="8" t="s">
        <v>6516</v>
      </c>
      <c r="C4254" s="8" t="s">
        <v>8665</v>
      </c>
      <c r="D4254" s="8" t="s">
        <v>8666</v>
      </c>
      <c r="E4254" s="13">
        <v>0</v>
      </c>
      <c r="F4254" s="14">
        <v>0</v>
      </c>
    </row>
    <row r="4255" spans="1:6" x14ac:dyDescent="0.3">
      <c r="A4255" s="8">
        <v>4253</v>
      </c>
      <c r="B4255" s="8" t="s">
        <v>6516</v>
      </c>
      <c r="C4255" s="8" t="s">
        <v>8667</v>
      </c>
      <c r="D4255" s="8" t="s">
        <v>8668</v>
      </c>
      <c r="E4255" s="13">
        <v>0</v>
      </c>
      <c r="F4255" s="14">
        <v>0</v>
      </c>
    </row>
    <row r="4256" spans="1:6" x14ac:dyDescent="0.3">
      <c r="A4256" s="8">
        <v>4254</v>
      </c>
      <c r="B4256" s="8" t="s">
        <v>6516</v>
      </c>
      <c r="C4256" s="8" t="s">
        <v>8669</v>
      </c>
      <c r="D4256" s="8" t="s">
        <v>8670</v>
      </c>
      <c r="E4256" s="13">
        <v>0</v>
      </c>
      <c r="F4256" s="14">
        <v>0</v>
      </c>
    </row>
    <row r="4257" spans="1:6" x14ac:dyDescent="0.3">
      <c r="A4257" s="8">
        <v>4255</v>
      </c>
      <c r="B4257" s="8" t="s">
        <v>6516</v>
      </c>
      <c r="C4257" s="8" t="s">
        <v>8671</v>
      </c>
      <c r="D4257" s="8" t="s">
        <v>8672</v>
      </c>
      <c r="E4257" s="13">
        <v>0</v>
      </c>
      <c r="F4257" s="14">
        <v>0</v>
      </c>
    </row>
    <row r="4258" spans="1:6" x14ac:dyDescent="0.3">
      <c r="A4258" s="8">
        <v>4256</v>
      </c>
      <c r="B4258" s="8" t="s">
        <v>6516</v>
      </c>
      <c r="C4258" s="8" t="s">
        <v>8673</v>
      </c>
      <c r="D4258" s="8" t="s">
        <v>8674</v>
      </c>
      <c r="E4258" s="13">
        <v>0</v>
      </c>
      <c r="F4258" s="14">
        <v>0</v>
      </c>
    </row>
    <row r="4259" spans="1:6" x14ac:dyDescent="0.3">
      <c r="A4259" s="8">
        <v>4257</v>
      </c>
      <c r="B4259" s="8" t="s">
        <v>6516</v>
      </c>
      <c r="C4259" s="8" t="s">
        <v>8675</v>
      </c>
      <c r="D4259" s="8" t="s">
        <v>8676</v>
      </c>
      <c r="E4259" s="13">
        <v>0</v>
      </c>
      <c r="F4259" s="14">
        <v>0</v>
      </c>
    </row>
    <row r="4260" spans="1:6" x14ac:dyDescent="0.3">
      <c r="A4260" s="8">
        <v>4258</v>
      </c>
      <c r="B4260" s="8" t="s">
        <v>7694</v>
      </c>
      <c r="C4260" s="8" t="s">
        <v>8677</v>
      </c>
      <c r="D4260" s="8" t="s">
        <v>8678</v>
      </c>
      <c r="E4260" s="13">
        <v>364000</v>
      </c>
      <c r="F4260" s="14">
        <v>727778</v>
      </c>
    </row>
    <row r="4261" spans="1:6" x14ac:dyDescent="0.3">
      <c r="A4261" s="8">
        <v>4259</v>
      </c>
      <c r="B4261" s="8" t="s">
        <v>7694</v>
      </c>
      <c r="C4261" s="8" t="s">
        <v>8679</v>
      </c>
      <c r="D4261" s="8" t="s">
        <v>8680</v>
      </c>
      <c r="E4261" s="13">
        <v>0</v>
      </c>
      <c r="F4261" s="14">
        <v>0</v>
      </c>
    </row>
    <row r="4262" spans="1:6" x14ac:dyDescent="0.3">
      <c r="A4262" s="8">
        <v>4260</v>
      </c>
      <c r="B4262" s="8" t="s">
        <v>7694</v>
      </c>
      <c r="C4262" s="8" t="s">
        <v>8681</v>
      </c>
      <c r="D4262" s="8" t="s">
        <v>8682</v>
      </c>
      <c r="E4262" s="13">
        <v>911000</v>
      </c>
      <c r="F4262" s="14">
        <v>1651852</v>
      </c>
    </row>
    <row r="4263" spans="1:6" x14ac:dyDescent="0.3">
      <c r="A4263" s="8">
        <v>4261</v>
      </c>
      <c r="B4263" s="8" t="s">
        <v>7694</v>
      </c>
      <c r="C4263" s="8" t="s">
        <v>8683</v>
      </c>
      <c r="D4263" s="8" t="s">
        <v>8684</v>
      </c>
      <c r="E4263" s="13">
        <v>0</v>
      </c>
      <c r="F4263" s="14">
        <v>370000</v>
      </c>
    </row>
    <row r="4264" spans="1:6" x14ac:dyDescent="0.3">
      <c r="A4264" s="8">
        <v>4262</v>
      </c>
      <c r="B4264" s="8" t="s">
        <v>7694</v>
      </c>
      <c r="C4264" s="8" t="s">
        <v>8685</v>
      </c>
      <c r="D4264" s="8" t="s">
        <v>8686</v>
      </c>
      <c r="E4264" s="13">
        <v>140000</v>
      </c>
      <c r="F4264" s="14">
        <v>279630</v>
      </c>
    </row>
    <row r="4265" spans="1:6" x14ac:dyDescent="0.3">
      <c r="A4265" s="8">
        <v>4263</v>
      </c>
      <c r="B4265" s="8" t="s">
        <v>7694</v>
      </c>
      <c r="C4265" s="8" t="s">
        <v>8687</v>
      </c>
      <c r="D4265" s="8" t="s">
        <v>8688</v>
      </c>
      <c r="E4265" s="13">
        <v>0</v>
      </c>
      <c r="F4265" s="14">
        <v>0</v>
      </c>
    </row>
    <row r="4266" spans="1:6" x14ac:dyDescent="0.3">
      <c r="A4266" s="8">
        <v>4264</v>
      </c>
      <c r="B4266" s="8" t="s">
        <v>7694</v>
      </c>
      <c r="C4266" s="8" t="s">
        <v>8689</v>
      </c>
      <c r="D4266" s="8" t="s">
        <v>8690</v>
      </c>
      <c r="E4266" s="13">
        <v>0</v>
      </c>
      <c r="F4266" s="14">
        <v>0</v>
      </c>
    </row>
    <row r="4267" spans="1:6" x14ac:dyDescent="0.3">
      <c r="A4267" s="8">
        <v>4265</v>
      </c>
      <c r="B4267" s="8" t="s">
        <v>7694</v>
      </c>
      <c r="C4267" s="8" t="s">
        <v>8691</v>
      </c>
      <c r="D4267" s="8" t="s">
        <v>8692</v>
      </c>
      <c r="E4267" s="13">
        <v>0</v>
      </c>
      <c r="F4267" s="14">
        <v>2180000</v>
      </c>
    </row>
    <row r="4268" spans="1:6" x14ac:dyDescent="0.3">
      <c r="A4268" s="8">
        <v>4266</v>
      </c>
      <c r="B4268" s="8" t="s">
        <v>7694</v>
      </c>
      <c r="C4268" s="8" t="s">
        <v>8693</v>
      </c>
      <c r="D4268" s="8" t="s">
        <v>8694</v>
      </c>
      <c r="E4268" s="13">
        <v>202000</v>
      </c>
      <c r="F4268" s="14">
        <v>403704</v>
      </c>
    </row>
    <row r="4269" spans="1:6" x14ac:dyDescent="0.3">
      <c r="A4269" s="8">
        <v>4267</v>
      </c>
      <c r="B4269" s="8" t="s">
        <v>7694</v>
      </c>
      <c r="C4269" s="8" t="s">
        <v>8695</v>
      </c>
      <c r="D4269" s="8" t="s">
        <v>8696</v>
      </c>
      <c r="E4269" s="13">
        <v>0</v>
      </c>
      <c r="F4269" s="14">
        <v>0</v>
      </c>
    </row>
    <row r="4270" spans="1:6" x14ac:dyDescent="0.3">
      <c r="A4270" s="8">
        <v>4268</v>
      </c>
      <c r="B4270" s="8" t="s">
        <v>7694</v>
      </c>
      <c r="C4270" s="8" t="s">
        <v>8697</v>
      </c>
      <c r="D4270" s="8" t="s">
        <v>8698</v>
      </c>
      <c r="E4270" s="13">
        <v>1149000</v>
      </c>
      <c r="F4270" s="14">
        <v>1920370</v>
      </c>
    </row>
    <row r="4271" spans="1:6" x14ac:dyDescent="0.3">
      <c r="A4271" s="8">
        <v>4269</v>
      </c>
      <c r="B4271" s="8" t="s">
        <v>7694</v>
      </c>
      <c r="C4271" s="8" t="s">
        <v>8699</v>
      </c>
      <c r="D4271" s="8" t="s">
        <v>8700</v>
      </c>
      <c r="E4271" s="13">
        <v>0</v>
      </c>
      <c r="F4271" s="14">
        <v>0</v>
      </c>
    </row>
    <row r="4272" spans="1:6" x14ac:dyDescent="0.3">
      <c r="A4272" s="8">
        <v>4270</v>
      </c>
      <c r="B4272" s="8" t="s">
        <v>7694</v>
      </c>
      <c r="C4272" s="8" t="s">
        <v>8701</v>
      </c>
      <c r="D4272" s="8" t="s">
        <v>8702</v>
      </c>
      <c r="E4272" s="13">
        <v>2214000</v>
      </c>
      <c r="F4272" s="14">
        <v>3700000</v>
      </c>
    </row>
    <row r="4273" spans="1:6" x14ac:dyDescent="0.3">
      <c r="A4273" s="8">
        <v>4271</v>
      </c>
      <c r="B4273" s="8" t="s">
        <v>7694</v>
      </c>
      <c r="C4273" s="8" t="s">
        <v>8703</v>
      </c>
      <c r="D4273" s="8" t="s">
        <v>8704</v>
      </c>
      <c r="E4273" s="13">
        <v>0</v>
      </c>
      <c r="F4273" s="14">
        <v>0</v>
      </c>
    </row>
    <row r="4274" spans="1:6" x14ac:dyDescent="0.3">
      <c r="A4274" s="8">
        <v>4272</v>
      </c>
      <c r="B4274" s="8" t="s">
        <v>7694</v>
      </c>
      <c r="C4274" s="8" t="s">
        <v>8705</v>
      </c>
      <c r="D4274" s="8" t="s">
        <v>8706</v>
      </c>
      <c r="E4274" s="13">
        <v>0</v>
      </c>
      <c r="F4274" s="14">
        <v>0</v>
      </c>
    </row>
    <row r="4275" spans="1:6" x14ac:dyDescent="0.3">
      <c r="A4275" s="8">
        <v>4273</v>
      </c>
      <c r="B4275" s="8" t="s">
        <v>7694</v>
      </c>
      <c r="C4275" s="8" t="s">
        <v>8707</v>
      </c>
      <c r="D4275" s="8" t="s">
        <v>8708</v>
      </c>
      <c r="E4275" s="13">
        <v>0</v>
      </c>
      <c r="F4275" s="14">
        <v>0</v>
      </c>
    </row>
    <row r="4276" spans="1:6" x14ac:dyDescent="0.3">
      <c r="A4276" s="8">
        <v>4274</v>
      </c>
      <c r="B4276" s="8" t="s">
        <v>7694</v>
      </c>
      <c r="C4276" s="8" t="s">
        <v>8709</v>
      </c>
      <c r="D4276" s="8" t="s">
        <v>8710</v>
      </c>
      <c r="E4276" s="13">
        <v>0</v>
      </c>
      <c r="F4276" s="14">
        <v>0</v>
      </c>
    </row>
    <row r="4277" spans="1:6" x14ac:dyDescent="0.3">
      <c r="A4277" s="8">
        <v>4275</v>
      </c>
      <c r="B4277" s="8" t="s">
        <v>7694</v>
      </c>
      <c r="C4277" s="8" t="s">
        <v>8711</v>
      </c>
      <c r="D4277" s="8" t="s">
        <v>8712</v>
      </c>
      <c r="E4277" s="13">
        <v>0</v>
      </c>
      <c r="F4277" s="14">
        <v>0</v>
      </c>
    </row>
    <row r="4278" spans="1:6" x14ac:dyDescent="0.3">
      <c r="A4278" s="8">
        <v>4276</v>
      </c>
      <c r="B4278" s="8" t="s">
        <v>7694</v>
      </c>
      <c r="C4278" s="8" t="s">
        <v>8713</v>
      </c>
      <c r="D4278" s="8" t="s">
        <v>8714</v>
      </c>
      <c r="E4278" s="13">
        <v>0</v>
      </c>
      <c r="F4278" s="14">
        <v>0</v>
      </c>
    </row>
    <row r="4279" spans="1:6" x14ac:dyDescent="0.3">
      <c r="A4279" s="8">
        <v>4277</v>
      </c>
      <c r="B4279" s="8" t="s">
        <v>7694</v>
      </c>
      <c r="C4279" s="8" t="s">
        <v>8715</v>
      </c>
      <c r="D4279" s="8" t="s">
        <v>8716</v>
      </c>
      <c r="E4279" s="13">
        <v>230000</v>
      </c>
      <c r="F4279" s="14">
        <v>460000</v>
      </c>
    </row>
    <row r="4280" spans="1:6" x14ac:dyDescent="0.3">
      <c r="A4280" s="8">
        <v>4278</v>
      </c>
      <c r="B4280" s="8" t="s">
        <v>7694</v>
      </c>
      <c r="C4280" s="8" t="s">
        <v>8717</v>
      </c>
      <c r="D4280" s="8" t="s">
        <v>8718</v>
      </c>
      <c r="E4280" s="13">
        <v>0</v>
      </c>
      <c r="F4280" s="14">
        <v>0</v>
      </c>
    </row>
    <row r="4281" spans="1:6" x14ac:dyDescent="0.3">
      <c r="A4281" s="8">
        <v>4279</v>
      </c>
      <c r="B4281" s="8" t="s">
        <v>7694</v>
      </c>
      <c r="C4281" s="8" t="s">
        <v>8719</v>
      </c>
      <c r="D4281" s="8" t="s">
        <v>8720</v>
      </c>
      <c r="E4281" s="13">
        <v>0</v>
      </c>
      <c r="F4281" s="14">
        <v>740909</v>
      </c>
    </row>
    <row r="4282" spans="1:6" x14ac:dyDescent="0.3">
      <c r="A4282" s="8">
        <v>4280</v>
      </c>
      <c r="B4282" s="8" t="s">
        <v>7694</v>
      </c>
      <c r="C4282" s="8" t="s">
        <v>8721</v>
      </c>
      <c r="D4282" s="8" t="s">
        <v>8722</v>
      </c>
      <c r="E4282" s="13">
        <v>0</v>
      </c>
      <c r="F4282" s="14">
        <v>694545</v>
      </c>
    </row>
    <row r="4283" spans="1:6" x14ac:dyDescent="0.3">
      <c r="A4283" s="8">
        <v>4281</v>
      </c>
      <c r="B4283" s="8" t="s">
        <v>7694</v>
      </c>
      <c r="C4283" s="8" t="s">
        <v>8723</v>
      </c>
      <c r="D4283" s="8" t="s">
        <v>8724</v>
      </c>
      <c r="E4283" s="13">
        <v>0</v>
      </c>
      <c r="F4283" s="14">
        <v>0</v>
      </c>
    </row>
    <row r="4284" spans="1:6" x14ac:dyDescent="0.3">
      <c r="A4284" s="8">
        <v>4282</v>
      </c>
      <c r="B4284" s="8" t="s">
        <v>7355</v>
      </c>
      <c r="C4284" s="8" t="s">
        <v>8725</v>
      </c>
      <c r="D4284" s="8" t="s">
        <v>8726</v>
      </c>
      <c r="E4284" s="13">
        <v>0</v>
      </c>
      <c r="F4284" s="14">
        <v>0</v>
      </c>
    </row>
    <row r="4285" spans="1:6" x14ac:dyDescent="0.3">
      <c r="A4285" s="8">
        <v>4283</v>
      </c>
      <c r="B4285" s="8" t="s">
        <v>7355</v>
      </c>
      <c r="C4285" s="8" t="s">
        <v>8727</v>
      </c>
      <c r="D4285" s="8" t="s">
        <v>8728</v>
      </c>
      <c r="E4285" s="13">
        <v>143000</v>
      </c>
      <c r="F4285" s="14">
        <v>286111</v>
      </c>
    </row>
    <row r="4286" spans="1:6" x14ac:dyDescent="0.3">
      <c r="A4286" s="8">
        <v>4284</v>
      </c>
      <c r="B4286" s="8" t="s">
        <v>7355</v>
      </c>
      <c r="C4286" s="8" t="s">
        <v>8729</v>
      </c>
      <c r="D4286" s="8" t="s">
        <v>8730</v>
      </c>
      <c r="E4286" s="13">
        <v>14036000</v>
      </c>
      <c r="F4286" s="14">
        <v>22280000</v>
      </c>
    </row>
    <row r="4287" spans="1:6" x14ac:dyDescent="0.3">
      <c r="A4287" s="8">
        <v>4285</v>
      </c>
      <c r="B4287" s="8" t="s">
        <v>7355</v>
      </c>
      <c r="C4287" s="8" t="s">
        <v>8731</v>
      </c>
      <c r="D4287" s="8" t="s">
        <v>8732</v>
      </c>
      <c r="E4287" s="13">
        <v>0</v>
      </c>
      <c r="F4287" s="14">
        <v>0</v>
      </c>
    </row>
    <row r="4288" spans="1:6" x14ac:dyDescent="0.3">
      <c r="A4288" s="8">
        <v>4286</v>
      </c>
      <c r="B4288" s="8" t="s">
        <v>7355</v>
      </c>
      <c r="C4288" s="8" t="s">
        <v>8733</v>
      </c>
      <c r="D4288" s="8" t="s">
        <v>8734</v>
      </c>
      <c r="E4288" s="13">
        <v>0</v>
      </c>
      <c r="F4288" s="14">
        <v>0</v>
      </c>
    </row>
    <row r="4289" spans="1:6" x14ac:dyDescent="0.3">
      <c r="A4289" s="8">
        <v>4287</v>
      </c>
      <c r="B4289" s="8" t="s">
        <v>7355</v>
      </c>
      <c r="C4289" s="8" t="s">
        <v>8735</v>
      </c>
      <c r="D4289" s="8" t="s">
        <v>8736</v>
      </c>
      <c r="E4289" s="13">
        <v>0</v>
      </c>
      <c r="F4289" s="14">
        <v>0</v>
      </c>
    </row>
    <row r="4290" spans="1:6" x14ac:dyDescent="0.3">
      <c r="A4290" s="8">
        <v>4288</v>
      </c>
      <c r="B4290" s="8" t="s">
        <v>7355</v>
      </c>
      <c r="C4290" s="8" t="s">
        <v>8737</v>
      </c>
      <c r="D4290" s="8" t="s">
        <v>8738</v>
      </c>
      <c r="E4290" s="13">
        <v>0</v>
      </c>
      <c r="F4290" s="14">
        <v>0</v>
      </c>
    </row>
    <row r="4291" spans="1:6" x14ac:dyDescent="0.3">
      <c r="A4291" s="8">
        <v>4289</v>
      </c>
      <c r="B4291" s="8" t="s">
        <v>7355</v>
      </c>
      <c r="C4291" s="8" t="s">
        <v>8739</v>
      </c>
      <c r="D4291" s="8" t="s">
        <v>8740</v>
      </c>
      <c r="E4291" s="13">
        <v>0</v>
      </c>
      <c r="F4291" s="14">
        <v>0</v>
      </c>
    </row>
    <row r="4292" spans="1:6" x14ac:dyDescent="0.3">
      <c r="A4292" s="8">
        <v>4290</v>
      </c>
      <c r="B4292" s="8" t="s">
        <v>7368</v>
      </c>
      <c r="C4292" s="8" t="s">
        <v>8741</v>
      </c>
      <c r="D4292" s="8" t="s">
        <v>8742</v>
      </c>
      <c r="E4292" s="13">
        <v>0</v>
      </c>
      <c r="F4292" s="14">
        <v>204000</v>
      </c>
    </row>
    <row r="4293" spans="1:6" x14ac:dyDescent="0.3">
      <c r="A4293" s="8">
        <v>4291</v>
      </c>
      <c r="B4293" s="8" t="s">
        <v>7368</v>
      </c>
      <c r="C4293" s="8" t="s">
        <v>8743</v>
      </c>
      <c r="D4293" s="8" t="s">
        <v>8744</v>
      </c>
      <c r="E4293" s="13">
        <v>0</v>
      </c>
      <c r="F4293" s="14">
        <v>0</v>
      </c>
    </row>
    <row r="4294" spans="1:6" x14ac:dyDescent="0.3">
      <c r="A4294" s="8">
        <v>4292</v>
      </c>
      <c r="B4294" s="8" t="s">
        <v>7368</v>
      </c>
      <c r="C4294" s="8" t="s">
        <v>8745</v>
      </c>
      <c r="D4294" s="8" t="s">
        <v>8746</v>
      </c>
      <c r="E4294" s="13">
        <v>68600</v>
      </c>
      <c r="F4294" s="14">
        <v>137000</v>
      </c>
    </row>
    <row r="4295" spans="1:6" x14ac:dyDescent="0.3">
      <c r="A4295" s="8">
        <v>4293</v>
      </c>
      <c r="B4295" s="8" t="s">
        <v>7368</v>
      </c>
      <c r="C4295" s="8" t="s">
        <v>8747</v>
      </c>
      <c r="D4295" s="8" t="s">
        <v>8748</v>
      </c>
      <c r="E4295" s="13">
        <v>0</v>
      </c>
      <c r="F4295" s="14">
        <v>0</v>
      </c>
    </row>
    <row r="4296" spans="1:6" x14ac:dyDescent="0.3">
      <c r="A4296" s="8">
        <v>4294</v>
      </c>
      <c r="B4296" s="8" t="s">
        <v>7368</v>
      </c>
      <c r="C4296" s="8" t="s">
        <v>8749</v>
      </c>
      <c r="D4296" s="8" t="s">
        <v>8750</v>
      </c>
      <c r="E4296" s="13">
        <v>62000</v>
      </c>
      <c r="F4296" s="14">
        <v>124000</v>
      </c>
    </row>
    <row r="4297" spans="1:6" x14ac:dyDescent="0.3">
      <c r="A4297" s="8">
        <v>4295</v>
      </c>
      <c r="B4297" s="8" t="s">
        <v>7368</v>
      </c>
      <c r="C4297" s="8" t="s">
        <v>8751</v>
      </c>
      <c r="D4297" s="8" t="s">
        <v>8752</v>
      </c>
      <c r="E4297" s="13">
        <v>0</v>
      </c>
      <c r="F4297" s="14">
        <v>132000</v>
      </c>
    </row>
    <row r="4298" spans="1:6" x14ac:dyDescent="0.3">
      <c r="A4298" s="8">
        <v>4296</v>
      </c>
      <c r="B4298" s="8" t="s">
        <v>7368</v>
      </c>
      <c r="C4298" s="8" t="s">
        <v>8753</v>
      </c>
      <c r="D4298" s="8" t="s">
        <v>8754</v>
      </c>
      <c r="E4298" s="13">
        <v>30000</v>
      </c>
      <c r="F4298" s="14">
        <v>92000</v>
      </c>
    </row>
    <row r="4299" spans="1:6" x14ac:dyDescent="0.3">
      <c r="A4299" s="8">
        <v>4297</v>
      </c>
      <c r="B4299" s="8" t="s">
        <v>7368</v>
      </c>
      <c r="C4299" s="8" t="s">
        <v>8755</v>
      </c>
      <c r="D4299" s="8" t="s">
        <v>8756</v>
      </c>
      <c r="E4299" s="13">
        <v>42000</v>
      </c>
      <c r="F4299" s="14">
        <v>83981</v>
      </c>
    </row>
    <row r="4300" spans="1:6" x14ac:dyDescent="0.3">
      <c r="A4300" s="8">
        <v>4298</v>
      </c>
      <c r="B4300" s="8" t="s">
        <v>7368</v>
      </c>
      <c r="C4300" s="8" t="s">
        <v>8757</v>
      </c>
      <c r="D4300" s="8" t="s">
        <v>8758</v>
      </c>
      <c r="E4300" s="13">
        <v>0</v>
      </c>
      <c r="F4300" s="14">
        <v>0</v>
      </c>
    </row>
    <row r="4301" spans="1:6" x14ac:dyDescent="0.3">
      <c r="A4301" s="8">
        <v>4299</v>
      </c>
      <c r="B4301" s="8" t="s">
        <v>7368</v>
      </c>
      <c r="C4301" s="8" t="s">
        <v>8759</v>
      </c>
      <c r="D4301" s="8" t="s">
        <v>8760</v>
      </c>
      <c r="E4301" s="13">
        <v>0</v>
      </c>
      <c r="F4301" s="14">
        <v>0</v>
      </c>
    </row>
    <row r="4302" spans="1:6" x14ac:dyDescent="0.3">
      <c r="A4302" s="8">
        <v>4300</v>
      </c>
      <c r="B4302" s="8" t="s">
        <v>7681</v>
      </c>
      <c r="C4302" s="8" t="s">
        <v>8761</v>
      </c>
      <c r="D4302" s="8" t="s">
        <v>8762</v>
      </c>
      <c r="E4302" s="13">
        <v>0</v>
      </c>
      <c r="F4302" s="14">
        <v>0</v>
      </c>
    </row>
    <row r="4303" spans="1:6" x14ac:dyDescent="0.3">
      <c r="A4303" s="8">
        <v>4301</v>
      </c>
      <c r="B4303" s="8" t="s">
        <v>7681</v>
      </c>
      <c r="C4303" s="8" t="s">
        <v>8763</v>
      </c>
      <c r="D4303" s="8" t="s">
        <v>8764</v>
      </c>
      <c r="E4303" s="13">
        <v>0</v>
      </c>
      <c r="F4303" s="14">
        <v>0</v>
      </c>
    </row>
    <row r="4304" spans="1:6" x14ac:dyDescent="0.3">
      <c r="A4304" s="8">
        <v>4302</v>
      </c>
      <c r="B4304" s="8" t="s">
        <v>7681</v>
      </c>
      <c r="C4304" s="8" t="s">
        <v>8765</v>
      </c>
      <c r="D4304" s="8" t="s">
        <v>8766</v>
      </c>
      <c r="E4304" s="13">
        <v>0</v>
      </c>
      <c r="F4304" s="14">
        <v>0</v>
      </c>
    </row>
    <row r="4305" spans="1:6" x14ac:dyDescent="0.3">
      <c r="A4305" s="8">
        <v>4303</v>
      </c>
      <c r="B4305" s="8" t="s">
        <v>7681</v>
      </c>
      <c r="C4305" s="8" t="s">
        <v>8767</v>
      </c>
      <c r="D4305" s="8" t="s">
        <v>8768</v>
      </c>
      <c r="E4305" s="13">
        <v>0</v>
      </c>
      <c r="F4305" s="14">
        <v>0</v>
      </c>
    </row>
    <row r="4306" spans="1:6" x14ac:dyDescent="0.3">
      <c r="A4306" s="8">
        <v>4304</v>
      </c>
      <c r="B4306" s="8" t="s">
        <v>7694</v>
      </c>
      <c r="C4306" s="8" t="s">
        <v>8769</v>
      </c>
      <c r="D4306" s="8" t="s">
        <v>8770</v>
      </c>
      <c r="E4306" s="13">
        <v>0</v>
      </c>
      <c r="F4306" s="14">
        <v>0</v>
      </c>
    </row>
    <row r="4307" spans="1:6" x14ac:dyDescent="0.3">
      <c r="A4307" s="8">
        <v>4305</v>
      </c>
      <c r="B4307" s="8" t="s">
        <v>7694</v>
      </c>
      <c r="C4307" s="8" t="s">
        <v>8771</v>
      </c>
      <c r="D4307" s="8" t="s">
        <v>8772</v>
      </c>
      <c r="E4307" s="13">
        <v>185000</v>
      </c>
      <c r="F4307" s="14">
        <v>334259</v>
      </c>
    </row>
    <row r="4308" spans="1:6" x14ac:dyDescent="0.3">
      <c r="A4308" s="8">
        <v>4306</v>
      </c>
      <c r="B4308" s="8" t="s">
        <v>7694</v>
      </c>
      <c r="C4308" s="8" t="s">
        <v>8773</v>
      </c>
      <c r="D4308" s="8" t="s">
        <v>8774</v>
      </c>
      <c r="E4308" s="13">
        <v>253000</v>
      </c>
      <c r="F4308" s="14">
        <v>505556</v>
      </c>
    </row>
    <row r="4309" spans="1:6" x14ac:dyDescent="0.3">
      <c r="A4309" s="8">
        <v>4307</v>
      </c>
      <c r="B4309" s="8" t="s">
        <v>7694</v>
      </c>
      <c r="C4309" s="8" t="s">
        <v>8775</v>
      </c>
      <c r="D4309" s="8" t="s">
        <v>8776</v>
      </c>
      <c r="E4309" s="13">
        <v>0</v>
      </c>
      <c r="F4309" s="14">
        <v>0</v>
      </c>
    </row>
    <row r="4310" spans="1:6" x14ac:dyDescent="0.3">
      <c r="A4310" s="8">
        <v>4308</v>
      </c>
      <c r="B4310" s="8" t="s">
        <v>6516</v>
      </c>
      <c r="C4310" s="8" t="s">
        <v>8777</v>
      </c>
      <c r="D4310" s="8" t="s">
        <v>8778</v>
      </c>
      <c r="E4310" s="13">
        <v>0</v>
      </c>
      <c r="F4310" s="14">
        <v>0</v>
      </c>
    </row>
    <row r="4311" spans="1:6" x14ac:dyDescent="0.3">
      <c r="A4311" s="8">
        <v>4309</v>
      </c>
      <c r="B4311" s="8" t="s">
        <v>6516</v>
      </c>
      <c r="C4311" s="8" t="s">
        <v>8779</v>
      </c>
      <c r="D4311" s="8" t="s">
        <v>8780</v>
      </c>
      <c r="E4311" s="13">
        <v>0</v>
      </c>
      <c r="F4311" s="14">
        <v>0</v>
      </c>
    </row>
    <row r="4312" spans="1:6" x14ac:dyDescent="0.3">
      <c r="A4312" s="8">
        <v>4310</v>
      </c>
      <c r="B4312" s="8" t="s">
        <v>6516</v>
      </c>
      <c r="C4312" s="8" t="s">
        <v>8781</v>
      </c>
      <c r="D4312" s="8" t="s">
        <v>8782</v>
      </c>
      <c r="E4312" s="13">
        <v>0</v>
      </c>
      <c r="F4312" s="14">
        <v>1400000</v>
      </c>
    </row>
    <row r="4313" spans="1:6" x14ac:dyDescent="0.3">
      <c r="A4313" s="8">
        <v>4311</v>
      </c>
      <c r="B4313" s="8" t="s">
        <v>6516</v>
      </c>
      <c r="C4313" s="8" t="s">
        <v>8783</v>
      </c>
      <c r="D4313" s="8" t="s">
        <v>8784</v>
      </c>
      <c r="E4313" s="13">
        <v>0</v>
      </c>
      <c r="F4313" s="14">
        <v>1501852</v>
      </c>
    </row>
    <row r="4314" spans="1:6" x14ac:dyDescent="0.3">
      <c r="A4314" s="8">
        <v>4312</v>
      </c>
      <c r="B4314" s="8" t="s">
        <v>6516</v>
      </c>
      <c r="C4314" s="8" t="s">
        <v>8785</v>
      </c>
      <c r="D4314" s="8" t="s">
        <v>8786</v>
      </c>
      <c r="E4314" s="13">
        <v>0</v>
      </c>
      <c r="F4314" s="14">
        <v>0</v>
      </c>
    </row>
    <row r="4315" spans="1:6" x14ac:dyDescent="0.3">
      <c r="A4315" s="8">
        <v>4313</v>
      </c>
      <c r="B4315" s="8" t="s">
        <v>6516</v>
      </c>
      <c r="C4315" s="8" t="s">
        <v>8787</v>
      </c>
      <c r="D4315" s="8" t="s">
        <v>8788</v>
      </c>
      <c r="E4315" s="13">
        <v>0</v>
      </c>
      <c r="F4315" s="14">
        <v>0</v>
      </c>
    </row>
    <row r="4316" spans="1:6" x14ac:dyDescent="0.3">
      <c r="A4316" s="8">
        <v>4314</v>
      </c>
      <c r="B4316" s="8" t="s">
        <v>6516</v>
      </c>
      <c r="C4316" s="8" t="s">
        <v>8789</v>
      </c>
      <c r="D4316" s="8" t="s">
        <v>8790</v>
      </c>
      <c r="E4316" s="13">
        <v>0</v>
      </c>
      <c r="F4316" s="14">
        <v>0</v>
      </c>
    </row>
    <row r="4317" spans="1:6" x14ac:dyDescent="0.3">
      <c r="A4317" s="8">
        <v>4315</v>
      </c>
      <c r="B4317" s="8" t="s">
        <v>6516</v>
      </c>
      <c r="C4317" s="8" t="s">
        <v>8791</v>
      </c>
      <c r="D4317" s="8" t="s">
        <v>8792</v>
      </c>
      <c r="E4317" s="13">
        <v>0</v>
      </c>
      <c r="F4317" s="14">
        <v>0</v>
      </c>
    </row>
    <row r="4318" spans="1:6" x14ac:dyDescent="0.3">
      <c r="A4318" s="8">
        <v>4316</v>
      </c>
      <c r="B4318" s="8" t="s">
        <v>6516</v>
      </c>
      <c r="C4318" s="8" t="s">
        <v>8793</v>
      </c>
      <c r="D4318" s="8" t="s">
        <v>8794</v>
      </c>
      <c r="E4318" s="13">
        <v>0</v>
      </c>
      <c r="F4318" s="14">
        <v>0</v>
      </c>
    </row>
    <row r="4319" spans="1:6" x14ac:dyDescent="0.3">
      <c r="A4319" s="8">
        <v>4317</v>
      </c>
      <c r="B4319" s="8" t="s">
        <v>6516</v>
      </c>
      <c r="C4319" s="8" t="s">
        <v>8795</v>
      </c>
      <c r="D4319" s="8" t="s">
        <v>8796</v>
      </c>
      <c r="E4319" s="13">
        <v>481000</v>
      </c>
      <c r="F4319" s="14">
        <v>962037</v>
      </c>
    </row>
    <row r="4320" spans="1:6" x14ac:dyDescent="0.3">
      <c r="A4320" s="8">
        <v>4318</v>
      </c>
      <c r="B4320" s="8" t="s">
        <v>6516</v>
      </c>
      <c r="C4320" s="8" t="s">
        <v>8797</v>
      </c>
      <c r="D4320" s="8" t="s">
        <v>8798</v>
      </c>
      <c r="E4320" s="13">
        <v>0</v>
      </c>
      <c r="F4320" s="14">
        <v>0</v>
      </c>
    </row>
    <row r="4321" spans="1:6" x14ac:dyDescent="0.3">
      <c r="A4321" s="8">
        <v>4319</v>
      </c>
      <c r="B4321" s="8" t="s">
        <v>6516</v>
      </c>
      <c r="C4321" s="8" t="s">
        <v>8799</v>
      </c>
      <c r="D4321" s="8" t="s">
        <v>8800</v>
      </c>
      <c r="E4321" s="13">
        <v>0</v>
      </c>
      <c r="F4321" s="14">
        <v>0</v>
      </c>
    </row>
    <row r="4322" spans="1:6" x14ac:dyDescent="0.3">
      <c r="A4322" s="8">
        <v>4320</v>
      </c>
      <c r="B4322" s="8" t="s">
        <v>6516</v>
      </c>
      <c r="C4322" s="8" t="s">
        <v>8801</v>
      </c>
      <c r="D4322" s="8" t="s">
        <v>8802</v>
      </c>
      <c r="E4322" s="13">
        <v>0</v>
      </c>
      <c r="F4322" s="14">
        <v>0</v>
      </c>
    </row>
    <row r="4323" spans="1:6" x14ac:dyDescent="0.3">
      <c r="A4323" s="8">
        <v>4321</v>
      </c>
      <c r="B4323" s="8" t="s">
        <v>6516</v>
      </c>
      <c r="C4323" s="8" t="s">
        <v>8803</v>
      </c>
      <c r="D4323" s="8" t="s">
        <v>8804</v>
      </c>
      <c r="E4323" s="13">
        <v>0</v>
      </c>
      <c r="F4323" s="14">
        <v>0</v>
      </c>
    </row>
    <row r="4324" spans="1:6" x14ac:dyDescent="0.3">
      <c r="A4324" s="8">
        <v>4322</v>
      </c>
      <c r="B4324" s="8" t="s">
        <v>6516</v>
      </c>
      <c r="C4324" s="8" t="s">
        <v>8805</v>
      </c>
      <c r="D4324" s="8" t="s">
        <v>8806</v>
      </c>
      <c r="E4324" s="13">
        <v>0</v>
      </c>
      <c r="F4324" s="14">
        <v>0</v>
      </c>
    </row>
    <row r="4325" spans="1:6" x14ac:dyDescent="0.3">
      <c r="A4325" s="8">
        <v>4323</v>
      </c>
      <c r="B4325" s="8" t="s">
        <v>6516</v>
      </c>
      <c r="C4325" s="8" t="s">
        <v>8807</v>
      </c>
      <c r="D4325" s="8" t="s">
        <v>8808</v>
      </c>
      <c r="E4325" s="13">
        <v>0</v>
      </c>
      <c r="F4325" s="14">
        <v>0</v>
      </c>
    </row>
    <row r="4326" spans="1:6" x14ac:dyDescent="0.3">
      <c r="A4326" s="8">
        <v>4324</v>
      </c>
      <c r="B4326" s="8" t="s">
        <v>6516</v>
      </c>
      <c r="C4326" s="8" t="s">
        <v>8809</v>
      </c>
      <c r="D4326" s="8" t="s">
        <v>8810</v>
      </c>
      <c r="E4326" s="13">
        <v>537000</v>
      </c>
      <c r="F4326" s="14">
        <v>1074074</v>
      </c>
    </row>
    <row r="4327" spans="1:6" x14ac:dyDescent="0.3">
      <c r="A4327" s="8">
        <v>4325</v>
      </c>
      <c r="B4327" s="8" t="s">
        <v>6516</v>
      </c>
      <c r="C4327" s="8" t="s">
        <v>8811</v>
      </c>
      <c r="D4327" s="8" t="s">
        <v>8812</v>
      </c>
      <c r="E4327" s="13">
        <v>0</v>
      </c>
      <c r="F4327" s="14">
        <v>0</v>
      </c>
    </row>
    <row r="4328" spans="1:6" x14ac:dyDescent="0.3">
      <c r="A4328" s="8">
        <v>4326</v>
      </c>
      <c r="B4328" s="8" t="s">
        <v>6516</v>
      </c>
      <c r="C4328" s="8" t="s">
        <v>8813</v>
      </c>
      <c r="D4328" s="8" t="s">
        <v>8814</v>
      </c>
      <c r="E4328" s="13">
        <v>189000</v>
      </c>
      <c r="F4328" s="14">
        <v>377778</v>
      </c>
    </row>
    <row r="4329" spans="1:6" x14ac:dyDescent="0.3">
      <c r="A4329" s="8">
        <v>4327</v>
      </c>
      <c r="B4329" s="8" t="s">
        <v>6516</v>
      </c>
      <c r="C4329" s="8" t="s">
        <v>8815</v>
      </c>
      <c r="D4329" s="8" t="s">
        <v>8816</v>
      </c>
      <c r="E4329" s="13">
        <v>0</v>
      </c>
      <c r="F4329" s="14">
        <v>0</v>
      </c>
    </row>
    <row r="4330" spans="1:6" x14ac:dyDescent="0.3">
      <c r="A4330" s="8">
        <v>4328</v>
      </c>
      <c r="B4330" s="8" t="s">
        <v>6516</v>
      </c>
      <c r="C4330" s="8" t="s">
        <v>8817</v>
      </c>
      <c r="D4330" s="8" t="s">
        <v>8818</v>
      </c>
      <c r="E4330" s="13">
        <v>0</v>
      </c>
      <c r="F4330" s="14">
        <v>0</v>
      </c>
    </row>
    <row r="4331" spans="1:6" x14ac:dyDescent="0.3">
      <c r="A4331" s="8">
        <v>4329</v>
      </c>
      <c r="B4331" s="8" t="s">
        <v>6516</v>
      </c>
      <c r="C4331" s="8" t="s">
        <v>8819</v>
      </c>
      <c r="D4331" s="8" t="s">
        <v>8820</v>
      </c>
      <c r="E4331" s="13">
        <v>0</v>
      </c>
      <c r="F4331" s="14">
        <v>0</v>
      </c>
    </row>
    <row r="4332" spans="1:6" x14ac:dyDescent="0.3">
      <c r="A4332" s="8">
        <v>4330</v>
      </c>
      <c r="B4332" s="8" t="s">
        <v>4148</v>
      </c>
      <c r="C4332" s="8" t="s">
        <v>8821</v>
      </c>
      <c r="D4332" s="8" t="s">
        <v>8822</v>
      </c>
      <c r="E4332" s="13">
        <v>0</v>
      </c>
      <c r="F4332" s="14">
        <v>0</v>
      </c>
    </row>
    <row r="4333" spans="1:6" x14ac:dyDescent="0.3">
      <c r="A4333" s="8">
        <v>4331</v>
      </c>
      <c r="B4333" s="8" t="s">
        <v>4148</v>
      </c>
      <c r="C4333" s="8" t="s">
        <v>8823</v>
      </c>
      <c r="D4333" s="8" t="s">
        <v>8824</v>
      </c>
      <c r="E4333" s="13">
        <v>94600</v>
      </c>
      <c r="F4333" s="14">
        <v>188889</v>
      </c>
    </row>
    <row r="4334" spans="1:6" x14ac:dyDescent="0.3">
      <c r="A4334" s="8">
        <v>4332</v>
      </c>
      <c r="B4334" s="8" t="s">
        <v>4148</v>
      </c>
      <c r="C4334" s="8" t="s">
        <v>8825</v>
      </c>
      <c r="D4334" s="8" t="s">
        <v>8826</v>
      </c>
      <c r="E4334" s="13">
        <v>0</v>
      </c>
      <c r="F4334" s="14">
        <v>370370</v>
      </c>
    </row>
    <row r="4335" spans="1:6" x14ac:dyDescent="0.3">
      <c r="A4335" s="8">
        <v>4333</v>
      </c>
      <c r="B4335" s="8" t="s">
        <v>4148</v>
      </c>
      <c r="C4335" s="8" t="s">
        <v>8827</v>
      </c>
      <c r="D4335" s="8" t="s">
        <v>8828</v>
      </c>
      <c r="E4335" s="13">
        <v>0</v>
      </c>
      <c r="F4335" s="14">
        <v>570370</v>
      </c>
    </row>
    <row r="4336" spans="1:6" x14ac:dyDescent="0.3">
      <c r="A4336" s="8">
        <v>4334</v>
      </c>
      <c r="B4336" s="8" t="s">
        <v>4148</v>
      </c>
      <c r="C4336" s="8" t="s">
        <v>8829</v>
      </c>
      <c r="D4336" s="8" t="s">
        <v>8830</v>
      </c>
      <c r="E4336" s="13">
        <v>54400</v>
      </c>
      <c r="F4336" s="14">
        <v>122222</v>
      </c>
    </row>
    <row r="4337" spans="1:6" x14ac:dyDescent="0.3">
      <c r="A4337" s="8">
        <v>4335</v>
      </c>
      <c r="B4337" s="8" t="s">
        <v>4148</v>
      </c>
      <c r="C4337" s="8" t="s">
        <v>8831</v>
      </c>
      <c r="D4337" s="8" t="s">
        <v>8832</v>
      </c>
      <c r="E4337" s="13">
        <v>70100</v>
      </c>
      <c r="F4337" s="14">
        <v>156481</v>
      </c>
    </row>
    <row r="4338" spans="1:6" x14ac:dyDescent="0.3">
      <c r="A4338" s="8">
        <v>4336</v>
      </c>
      <c r="B4338" s="8" t="s">
        <v>4148</v>
      </c>
      <c r="C4338" s="8" t="s">
        <v>8833</v>
      </c>
      <c r="D4338" s="8" t="s">
        <v>8834</v>
      </c>
      <c r="E4338" s="13">
        <v>72700</v>
      </c>
      <c r="F4338" s="14">
        <v>145370</v>
      </c>
    </row>
    <row r="4339" spans="1:6" x14ac:dyDescent="0.3">
      <c r="A4339" s="8">
        <v>4337</v>
      </c>
      <c r="B4339" s="8" t="s">
        <v>4148</v>
      </c>
      <c r="C4339" s="8" t="s">
        <v>8835</v>
      </c>
      <c r="D4339" s="8" t="s">
        <v>8836</v>
      </c>
      <c r="E4339" s="13">
        <v>79500</v>
      </c>
      <c r="F4339" s="14">
        <v>159259</v>
      </c>
    </row>
    <row r="4340" spans="1:6" x14ac:dyDescent="0.3">
      <c r="A4340" s="8">
        <v>4338</v>
      </c>
      <c r="B4340" s="8" t="s">
        <v>4148</v>
      </c>
      <c r="C4340" s="8" t="s">
        <v>8837</v>
      </c>
      <c r="D4340" s="8" t="s">
        <v>8838</v>
      </c>
      <c r="E4340" s="13">
        <v>83200</v>
      </c>
      <c r="F4340" s="14">
        <v>166667</v>
      </c>
    </row>
    <row r="4341" spans="1:6" x14ac:dyDescent="0.3">
      <c r="A4341" s="8">
        <v>4339</v>
      </c>
      <c r="B4341" s="8" t="s">
        <v>4148</v>
      </c>
      <c r="C4341" s="8" t="s">
        <v>8839</v>
      </c>
      <c r="D4341" s="8" t="s">
        <v>8840</v>
      </c>
      <c r="E4341" s="13">
        <v>97200</v>
      </c>
      <c r="F4341" s="14">
        <v>194444</v>
      </c>
    </row>
    <row r="4342" spans="1:6" x14ac:dyDescent="0.3">
      <c r="A4342" s="8">
        <v>4340</v>
      </c>
      <c r="B4342" s="8" t="s">
        <v>4148</v>
      </c>
      <c r="C4342" s="8" t="s">
        <v>8841</v>
      </c>
      <c r="D4342" s="8" t="s">
        <v>8842</v>
      </c>
      <c r="E4342" s="13">
        <v>94600</v>
      </c>
      <c r="F4342" s="14">
        <v>188889</v>
      </c>
    </row>
    <row r="4343" spans="1:6" x14ac:dyDescent="0.3">
      <c r="A4343" s="8">
        <v>4341</v>
      </c>
      <c r="B4343" s="8" t="s">
        <v>4148</v>
      </c>
      <c r="C4343" s="8" t="s">
        <v>8843</v>
      </c>
      <c r="D4343" s="8" t="s">
        <v>8844</v>
      </c>
      <c r="E4343" s="13">
        <v>176000</v>
      </c>
      <c r="F4343" s="14">
        <v>351852</v>
      </c>
    </row>
    <row r="4344" spans="1:6" x14ac:dyDescent="0.3">
      <c r="A4344" s="8">
        <v>4342</v>
      </c>
      <c r="B4344" s="8" t="s">
        <v>4148</v>
      </c>
      <c r="C4344" s="8" t="s">
        <v>8845</v>
      </c>
      <c r="D4344" s="8" t="s">
        <v>8846</v>
      </c>
      <c r="E4344" s="13">
        <v>153000</v>
      </c>
      <c r="F4344" s="14">
        <v>305556</v>
      </c>
    </row>
    <row r="4345" spans="1:6" x14ac:dyDescent="0.3">
      <c r="A4345" s="8">
        <v>4343</v>
      </c>
      <c r="B4345" s="8" t="s">
        <v>4148</v>
      </c>
      <c r="C4345" s="8" t="s">
        <v>8847</v>
      </c>
      <c r="D4345" s="8" t="s">
        <v>8848</v>
      </c>
      <c r="E4345" s="13">
        <v>0</v>
      </c>
      <c r="F4345" s="14">
        <v>0</v>
      </c>
    </row>
    <row r="4346" spans="1:6" x14ac:dyDescent="0.3">
      <c r="A4346" s="8">
        <v>4344</v>
      </c>
      <c r="B4346" s="8" t="s">
        <v>4148</v>
      </c>
      <c r="C4346" s="8" t="s">
        <v>8849</v>
      </c>
      <c r="D4346" s="8" t="s">
        <v>8850</v>
      </c>
      <c r="E4346" s="13">
        <v>116000</v>
      </c>
      <c r="F4346" s="14">
        <v>232407</v>
      </c>
    </row>
    <row r="4347" spans="1:6" x14ac:dyDescent="0.3">
      <c r="A4347" s="8">
        <v>4345</v>
      </c>
      <c r="B4347" s="8" t="s">
        <v>4148</v>
      </c>
      <c r="C4347" s="8" t="s">
        <v>8851</v>
      </c>
      <c r="D4347" s="8" t="s">
        <v>8852</v>
      </c>
      <c r="E4347" s="13">
        <v>70100</v>
      </c>
      <c r="F4347" s="14">
        <v>139815</v>
      </c>
    </row>
    <row r="4348" spans="1:6" x14ac:dyDescent="0.3">
      <c r="A4348" s="8">
        <v>4346</v>
      </c>
      <c r="B4348" s="8" t="s">
        <v>4148</v>
      </c>
      <c r="C4348" s="8" t="s">
        <v>8853</v>
      </c>
      <c r="D4348" s="8" t="s">
        <v>8854</v>
      </c>
      <c r="E4348" s="13">
        <v>0</v>
      </c>
      <c r="F4348" s="14">
        <v>0</v>
      </c>
    </row>
    <row r="4349" spans="1:6" x14ac:dyDescent="0.3">
      <c r="A4349" s="8">
        <v>4347</v>
      </c>
      <c r="B4349" s="8" t="s">
        <v>4148</v>
      </c>
      <c r="C4349" s="8" t="s">
        <v>8855</v>
      </c>
      <c r="D4349" s="8" t="s">
        <v>8856</v>
      </c>
      <c r="E4349" s="13">
        <v>0</v>
      </c>
      <c r="F4349" s="14">
        <v>0</v>
      </c>
    </row>
    <row r="4350" spans="1:6" x14ac:dyDescent="0.3">
      <c r="A4350" s="8">
        <v>4348</v>
      </c>
      <c r="B4350" s="8" t="s">
        <v>4148</v>
      </c>
      <c r="C4350" s="8" t="s">
        <v>8857</v>
      </c>
      <c r="D4350" s="8" t="s">
        <v>8858</v>
      </c>
      <c r="E4350" s="13">
        <v>0</v>
      </c>
      <c r="F4350" s="14">
        <v>0</v>
      </c>
    </row>
    <row r="4351" spans="1:6" x14ac:dyDescent="0.3">
      <c r="A4351" s="8">
        <v>4349</v>
      </c>
      <c r="B4351" s="8" t="s">
        <v>4148</v>
      </c>
      <c r="C4351" s="8" t="s">
        <v>8859</v>
      </c>
      <c r="D4351" s="8" t="s">
        <v>8860</v>
      </c>
      <c r="E4351" s="13">
        <v>0</v>
      </c>
      <c r="F4351" s="14">
        <v>0</v>
      </c>
    </row>
    <row r="4352" spans="1:6" x14ac:dyDescent="0.3">
      <c r="A4352" s="8">
        <v>4350</v>
      </c>
      <c r="B4352" s="8" t="s">
        <v>4148</v>
      </c>
      <c r="C4352" s="8" t="s">
        <v>8861</v>
      </c>
      <c r="D4352" s="8" t="s">
        <v>8862</v>
      </c>
      <c r="E4352" s="13">
        <v>0</v>
      </c>
      <c r="F4352" s="14">
        <v>175926</v>
      </c>
    </row>
    <row r="4353" spans="1:6" x14ac:dyDescent="0.3">
      <c r="A4353" s="8">
        <v>4351</v>
      </c>
      <c r="B4353" s="8" t="s">
        <v>4148</v>
      </c>
      <c r="C4353" s="8" t="s">
        <v>8863</v>
      </c>
      <c r="D4353" s="8" t="s">
        <v>8864</v>
      </c>
      <c r="E4353" s="13">
        <v>83800</v>
      </c>
      <c r="F4353" s="14">
        <v>167593</v>
      </c>
    </row>
    <row r="4354" spans="1:6" x14ac:dyDescent="0.3">
      <c r="A4354" s="8">
        <v>4352</v>
      </c>
      <c r="B4354" s="8" t="s">
        <v>6516</v>
      </c>
      <c r="C4354" s="8" t="s">
        <v>8865</v>
      </c>
      <c r="D4354" s="8" t="s">
        <v>8866</v>
      </c>
      <c r="E4354" s="13">
        <v>537000</v>
      </c>
      <c r="F4354" s="14">
        <v>1074074</v>
      </c>
    </row>
    <row r="4355" spans="1:6" x14ac:dyDescent="0.3">
      <c r="A4355" s="8">
        <v>4353</v>
      </c>
      <c r="B4355" s="8" t="s">
        <v>6516</v>
      </c>
      <c r="C4355" s="8" t="s">
        <v>8867</v>
      </c>
      <c r="D4355" s="8" t="s">
        <v>8868</v>
      </c>
      <c r="E4355" s="13">
        <v>0</v>
      </c>
      <c r="F4355" s="14">
        <v>0</v>
      </c>
    </row>
    <row r="4356" spans="1:6" x14ac:dyDescent="0.3">
      <c r="A4356" s="8">
        <v>4354</v>
      </c>
      <c r="B4356" s="8" t="s">
        <v>6516</v>
      </c>
      <c r="C4356" s="8" t="s">
        <v>8869</v>
      </c>
      <c r="D4356" s="8" t="s">
        <v>8870</v>
      </c>
      <c r="E4356" s="13">
        <v>0</v>
      </c>
      <c r="F4356" s="14">
        <v>0</v>
      </c>
    </row>
    <row r="4357" spans="1:6" x14ac:dyDescent="0.3">
      <c r="A4357" s="8">
        <v>4355</v>
      </c>
      <c r="B4357" s="8" t="s">
        <v>6516</v>
      </c>
      <c r="C4357" s="8" t="s">
        <v>8871</v>
      </c>
      <c r="D4357" s="8" t="s">
        <v>8872</v>
      </c>
      <c r="E4357" s="13">
        <v>0</v>
      </c>
      <c r="F4357" s="14">
        <v>762037</v>
      </c>
    </row>
    <row r="4358" spans="1:6" x14ac:dyDescent="0.3">
      <c r="A4358" s="8">
        <v>4356</v>
      </c>
      <c r="B4358" s="8" t="s">
        <v>6516</v>
      </c>
      <c r="C4358" s="8" t="s">
        <v>8873</v>
      </c>
      <c r="D4358" s="8" t="s">
        <v>8874</v>
      </c>
      <c r="E4358" s="13">
        <v>0</v>
      </c>
      <c r="F4358" s="14">
        <v>0</v>
      </c>
    </row>
    <row r="4359" spans="1:6" x14ac:dyDescent="0.3">
      <c r="A4359" s="8">
        <v>4357</v>
      </c>
      <c r="B4359" s="8" t="s">
        <v>6516</v>
      </c>
      <c r="C4359" s="8" t="s">
        <v>8875</v>
      </c>
      <c r="D4359" s="8" t="s">
        <v>8876</v>
      </c>
      <c r="E4359" s="13">
        <v>0</v>
      </c>
      <c r="F4359" s="14">
        <v>0</v>
      </c>
    </row>
    <row r="4360" spans="1:6" x14ac:dyDescent="0.3">
      <c r="A4360" s="8">
        <v>4358</v>
      </c>
      <c r="B4360" s="8" t="s">
        <v>6516</v>
      </c>
      <c r="C4360" s="8" t="s">
        <v>8877</v>
      </c>
      <c r="D4360" s="8" t="s">
        <v>8878</v>
      </c>
      <c r="E4360" s="13">
        <v>0</v>
      </c>
      <c r="F4360" s="14">
        <v>912037</v>
      </c>
    </row>
    <row r="4361" spans="1:6" x14ac:dyDescent="0.3">
      <c r="A4361" s="8">
        <v>4359</v>
      </c>
      <c r="B4361" s="8" t="s">
        <v>6516</v>
      </c>
      <c r="C4361" s="8" t="s">
        <v>8879</v>
      </c>
      <c r="D4361" s="8" t="s">
        <v>8880</v>
      </c>
      <c r="E4361" s="13">
        <v>0</v>
      </c>
      <c r="F4361" s="14">
        <v>0</v>
      </c>
    </row>
    <row r="4362" spans="1:6" x14ac:dyDescent="0.3">
      <c r="A4362" s="8">
        <v>4360</v>
      </c>
      <c r="B4362" s="8" t="s">
        <v>6516</v>
      </c>
      <c r="C4362" s="8" t="s">
        <v>8881</v>
      </c>
      <c r="D4362" s="8" t="s">
        <v>8882</v>
      </c>
      <c r="E4362" s="13">
        <v>0</v>
      </c>
      <c r="F4362" s="14">
        <v>0</v>
      </c>
    </row>
    <row r="4363" spans="1:6" x14ac:dyDescent="0.3">
      <c r="A4363" s="8">
        <v>4361</v>
      </c>
      <c r="B4363" s="8" t="s">
        <v>6516</v>
      </c>
      <c r="C4363" s="8" t="s">
        <v>8883</v>
      </c>
      <c r="D4363" s="8" t="s">
        <v>8884</v>
      </c>
      <c r="E4363" s="13">
        <v>0</v>
      </c>
      <c r="F4363" s="14">
        <v>0</v>
      </c>
    </row>
    <row r="4364" spans="1:6" x14ac:dyDescent="0.3">
      <c r="A4364" s="8">
        <v>4362</v>
      </c>
      <c r="B4364" s="8" t="s">
        <v>6516</v>
      </c>
      <c r="C4364" s="8" t="s">
        <v>8885</v>
      </c>
      <c r="D4364" s="8" t="s">
        <v>8886</v>
      </c>
      <c r="E4364" s="13">
        <v>0</v>
      </c>
      <c r="F4364" s="14">
        <v>0</v>
      </c>
    </row>
    <row r="4365" spans="1:6" x14ac:dyDescent="0.3">
      <c r="A4365" s="8">
        <v>4363</v>
      </c>
      <c r="B4365" s="8" t="s">
        <v>6516</v>
      </c>
      <c r="C4365" s="8" t="s">
        <v>8887</v>
      </c>
      <c r="D4365" s="8" t="s">
        <v>8888</v>
      </c>
      <c r="E4365" s="13">
        <v>0</v>
      </c>
      <c r="F4365" s="14">
        <v>2414815</v>
      </c>
    </row>
    <row r="4366" spans="1:6" x14ac:dyDescent="0.3">
      <c r="A4366" s="8">
        <v>4364</v>
      </c>
      <c r="B4366" s="8" t="s">
        <v>6516</v>
      </c>
      <c r="C4366" s="8" t="s">
        <v>8889</v>
      </c>
      <c r="D4366" s="8" t="s">
        <v>8890</v>
      </c>
      <c r="E4366" s="13">
        <v>0</v>
      </c>
      <c r="F4366" s="14">
        <v>0</v>
      </c>
    </row>
    <row r="4367" spans="1:6" x14ac:dyDescent="0.3">
      <c r="A4367" s="8">
        <v>4365</v>
      </c>
      <c r="B4367" s="8" t="s">
        <v>7355</v>
      </c>
      <c r="C4367" s="8" t="s">
        <v>8891</v>
      </c>
      <c r="D4367" s="8" t="s">
        <v>8892</v>
      </c>
      <c r="E4367" s="13">
        <v>750000</v>
      </c>
      <c r="F4367" s="14">
        <v>1205000</v>
      </c>
    </row>
    <row r="4368" spans="1:6" x14ac:dyDescent="0.3">
      <c r="A4368" s="8">
        <v>4366</v>
      </c>
      <c r="B4368" s="8" t="s">
        <v>7355</v>
      </c>
      <c r="C4368" s="8" t="s">
        <v>8893</v>
      </c>
      <c r="D4368" s="8" t="s">
        <v>8894</v>
      </c>
      <c r="E4368" s="13">
        <v>149000</v>
      </c>
      <c r="F4368" s="14">
        <v>298148</v>
      </c>
    </row>
    <row r="4369" spans="1:6" x14ac:dyDescent="0.3">
      <c r="A4369" s="8">
        <v>4367</v>
      </c>
      <c r="B4369" s="8" t="s">
        <v>7355</v>
      </c>
      <c r="C4369" s="8" t="s">
        <v>8895</v>
      </c>
      <c r="D4369" s="8" t="s">
        <v>8896</v>
      </c>
      <c r="E4369" s="13">
        <v>0</v>
      </c>
      <c r="F4369" s="14">
        <v>0</v>
      </c>
    </row>
    <row r="4370" spans="1:6" x14ac:dyDescent="0.3">
      <c r="A4370" s="8">
        <v>4368</v>
      </c>
      <c r="B4370" s="8" t="s">
        <v>7355</v>
      </c>
      <c r="C4370" s="8" t="s">
        <v>8897</v>
      </c>
      <c r="D4370" s="8" t="s">
        <v>8898</v>
      </c>
      <c r="E4370" s="13">
        <v>0</v>
      </c>
      <c r="F4370" s="14">
        <v>0</v>
      </c>
    </row>
    <row r="4371" spans="1:6" x14ac:dyDescent="0.3">
      <c r="A4371" s="8">
        <v>4369</v>
      </c>
      <c r="B4371" s="8" t="s">
        <v>7355</v>
      </c>
      <c r="C4371" s="8" t="s">
        <v>8899</v>
      </c>
      <c r="D4371" s="8" t="s">
        <v>8900</v>
      </c>
      <c r="E4371" s="13">
        <v>244000</v>
      </c>
      <c r="F4371" s="14">
        <v>487963</v>
      </c>
    </row>
    <row r="4372" spans="1:6" x14ac:dyDescent="0.3">
      <c r="A4372" s="8">
        <v>4370</v>
      </c>
      <c r="B4372" s="8" t="s">
        <v>7355</v>
      </c>
      <c r="C4372" s="8" t="s">
        <v>8901</v>
      </c>
      <c r="D4372" s="8" t="s">
        <v>8902</v>
      </c>
      <c r="E4372" s="13">
        <v>0</v>
      </c>
      <c r="F4372" s="14">
        <v>0</v>
      </c>
    </row>
    <row r="4373" spans="1:6" x14ac:dyDescent="0.3">
      <c r="A4373" s="8">
        <v>4371</v>
      </c>
      <c r="B4373" s="8" t="s">
        <v>7355</v>
      </c>
      <c r="C4373" s="8" t="s">
        <v>8903</v>
      </c>
      <c r="D4373" s="8" t="s">
        <v>8904</v>
      </c>
      <c r="E4373" s="13">
        <v>0</v>
      </c>
      <c r="F4373" s="14">
        <v>0</v>
      </c>
    </row>
    <row r="4374" spans="1:6" x14ac:dyDescent="0.3">
      <c r="A4374" s="8">
        <v>4372</v>
      </c>
      <c r="B4374" s="8" t="s">
        <v>7368</v>
      </c>
      <c r="C4374" s="8" t="s">
        <v>8905</v>
      </c>
      <c r="D4374" s="8" t="s">
        <v>8906</v>
      </c>
      <c r="E4374" s="13">
        <v>35400</v>
      </c>
      <c r="F4374" s="14">
        <v>70833</v>
      </c>
    </row>
    <row r="4375" spans="1:6" x14ac:dyDescent="0.3">
      <c r="A4375" s="8">
        <v>4373</v>
      </c>
      <c r="B4375" s="8" t="s">
        <v>7368</v>
      </c>
      <c r="C4375" s="8" t="s">
        <v>8907</v>
      </c>
      <c r="D4375" s="8" t="s">
        <v>8908</v>
      </c>
      <c r="E4375" s="13">
        <v>42000</v>
      </c>
      <c r="F4375" s="14">
        <v>83981</v>
      </c>
    </row>
    <row r="4376" spans="1:6" x14ac:dyDescent="0.3">
      <c r="A4376" s="8">
        <v>4374</v>
      </c>
      <c r="B4376" s="8" t="s">
        <v>7368</v>
      </c>
      <c r="C4376" s="8" t="s">
        <v>8909</v>
      </c>
      <c r="D4376" s="8" t="s">
        <v>8910</v>
      </c>
      <c r="E4376" s="13">
        <v>0</v>
      </c>
      <c r="F4376" s="14">
        <v>264000</v>
      </c>
    </row>
    <row r="4377" spans="1:6" x14ac:dyDescent="0.3">
      <c r="A4377" s="8">
        <v>4375</v>
      </c>
      <c r="B4377" s="8" t="s">
        <v>7368</v>
      </c>
      <c r="C4377" s="8" t="s">
        <v>8911</v>
      </c>
      <c r="D4377" s="8" t="s">
        <v>8912</v>
      </c>
      <c r="E4377" s="13">
        <v>0</v>
      </c>
      <c r="F4377" s="14">
        <v>0</v>
      </c>
    </row>
    <row r="4378" spans="1:6" x14ac:dyDescent="0.3">
      <c r="A4378" s="8">
        <v>4376</v>
      </c>
      <c r="B4378" s="8" t="s">
        <v>7694</v>
      </c>
      <c r="C4378" s="8" t="s">
        <v>8913</v>
      </c>
      <c r="D4378" s="8" t="s">
        <v>8914</v>
      </c>
      <c r="E4378" s="13">
        <v>202000</v>
      </c>
      <c r="F4378" s="14">
        <v>403704</v>
      </c>
    </row>
    <row r="4379" spans="1:6" x14ac:dyDescent="0.3">
      <c r="A4379" s="8">
        <v>4377</v>
      </c>
      <c r="B4379" s="8" t="s">
        <v>7694</v>
      </c>
      <c r="C4379" s="8" t="s">
        <v>8915</v>
      </c>
      <c r="D4379" s="8" t="s">
        <v>8916</v>
      </c>
      <c r="E4379" s="13">
        <v>162000</v>
      </c>
      <c r="F4379" s="14">
        <v>324074</v>
      </c>
    </row>
    <row r="4380" spans="1:6" x14ac:dyDescent="0.3">
      <c r="A4380" s="8">
        <v>4378</v>
      </c>
      <c r="B4380" s="8" t="s">
        <v>7694</v>
      </c>
      <c r="C4380" s="8" t="s">
        <v>8917</v>
      </c>
      <c r="D4380" s="8" t="s">
        <v>8918</v>
      </c>
      <c r="E4380" s="13">
        <v>0</v>
      </c>
      <c r="F4380" s="14">
        <v>0</v>
      </c>
    </row>
    <row r="4381" spans="1:6" x14ac:dyDescent="0.3">
      <c r="A4381" s="8">
        <v>4379</v>
      </c>
      <c r="B4381" s="8" t="s">
        <v>7694</v>
      </c>
      <c r="C4381" s="8" t="s">
        <v>8919</v>
      </c>
      <c r="D4381" s="8" t="s">
        <v>8920</v>
      </c>
      <c r="E4381" s="13">
        <v>215000</v>
      </c>
      <c r="F4381" s="14">
        <v>429630</v>
      </c>
    </row>
    <row r="4382" spans="1:6" x14ac:dyDescent="0.3">
      <c r="A4382" s="8">
        <v>4380</v>
      </c>
      <c r="B4382" s="8" t="s">
        <v>7694</v>
      </c>
      <c r="C4382" s="8" t="s">
        <v>8921</v>
      </c>
      <c r="D4382" s="8" t="s">
        <v>8922</v>
      </c>
      <c r="E4382" s="13">
        <v>0</v>
      </c>
      <c r="F4382" s="14">
        <v>2323636</v>
      </c>
    </row>
    <row r="4383" spans="1:6" x14ac:dyDescent="0.3">
      <c r="A4383" s="8">
        <v>4381</v>
      </c>
      <c r="B4383" s="8" t="s">
        <v>7694</v>
      </c>
      <c r="C4383" s="8" t="s">
        <v>8923</v>
      </c>
      <c r="D4383" s="8" t="s">
        <v>8924</v>
      </c>
      <c r="E4383" s="13">
        <v>2100000</v>
      </c>
      <c r="F4383" s="14">
        <v>4200000</v>
      </c>
    </row>
    <row r="4384" spans="1:6" x14ac:dyDescent="0.3">
      <c r="A4384" s="8">
        <v>4382</v>
      </c>
      <c r="B4384" s="8" t="s">
        <v>7694</v>
      </c>
      <c r="C4384" s="8" t="s">
        <v>8925</v>
      </c>
      <c r="D4384" s="8" t="s">
        <v>8926</v>
      </c>
      <c r="E4384" s="13">
        <v>0</v>
      </c>
      <c r="F4384" s="14">
        <v>555556</v>
      </c>
    </row>
    <row r="4385" spans="1:6" x14ac:dyDescent="0.3">
      <c r="A4385" s="8">
        <v>4383</v>
      </c>
      <c r="B4385" s="8" t="s">
        <v>7694</v>
      </c>
      <c r="C4385" s="8" t="s">
        <v>8927</v>
      </c>
      <c r="D4385" s="8" t="s">
        <v>8928</v>
      </c>
      <c r="E4385" s="13">
        <v>0</v>
      </c>
      <c r="F4385" s="14">
        <v>540000</v>
      </c>
    </row>
    <row r="4386" spans="1:6" x14ac:dyDescent="0.3">
      <c r="A4386" s="8">
        <v>4384</v>
      </c>
      <c r="B4386" s="8" t="s">
        <v>7694</v>
      </c>
      <c r="C4386" s="8" t="s">
        <v>8929</v>
      </c>
      <c r="D4386" s="8" t="s">
        <v>8930</v>
      </c>
      <c r="E4386" s="13">
        <v>0</v>
      </c>
      <c r="F4386" s="14">
        <v>0</v>
      </c>
    </row>
    <row r="4387" spans="1:6" x14ac:dyDescent="0.3">
      <c r="A4387" s="8">
        <v>4385</v>
      </c>
      <c r="B4387" s="8" t="s">
        <v>7694</v>
      </c>
      <c r="C4387" s="8" t="s">
        <v>8931</v>
      </c>
      <c r="D4387" s="8" t="s">
        <v>8932</v>
      </c>
      <c r="E4387" s="13">
        <v>0</v>
      </c>
      <c r="F4387" s="14">
        <v>0</v>
      </c>
    </row>
    <row r="4388" spans="1:6" x14ac:dyDescent="0.3">
      <c r="A4388" s="8">
        <v>4386</v>
      </c>
      <c r="B4388" s="8" t="s">
        <v>7694</v>
      </c>
      <c r="C4388" s="8" t="s">
        <v>8933</v>
      </c>
      <c r="D4388" s="8" t="s">
        <v>8934</v>
      </c>
      <c r="E4388" s="13">
        <v>0</v>
      </c>
      <c r="F4388" s="14">
        <v>0</v>
      </c>
    </row>
    <row r="4389" spans="1:6" x14ac:dyDescent="0.3">
      <c r="A4389" s="8">
        <v>4387</v>
      </c>
      <c r="B4389" s="8" t="s">
        <v>7694</v>
      </c>
      <c r="C4389" s="8" t="s">
        <v>8935</v>
      </c>
      <c r="D4389" s="8" t="s">
        <v>8936</v>
      </c>
      <c r="E4389" s="13">
        <v>0</v>
      </c>
      <c r="F4389" s="14">
        <v>0</v>
      </c>
    </row>
    <row r="4390" spans="1:6" x14ac:dyDescent="0.3">
      <c r="A4390" s="8">
        <v>4388</v>
      </c>
      <c r="B4390" s="8" t="s">
        <v>7694</v>
      </c>
      <c r="C4390" s="8" t="s">
        <v>8937</v>
      </c>
      <c r="D4390" s="8" t="s">
        <v>8938</v>
      </c>
      <c r="E4390" s="13">
        <v>0</v>
      </c>
      <c r="F4390" s="14">
        <v>6800000</v>
      </c>
    </row>
    <row r="4391" spans="1:6" x14ac:dyDescent="0.3">
      <c r="A4391" s="8">
        <v>4389</v>
      </c>
      <c r="B4391" s="8" t="s">
        <v>7694</v>
      </c>
      <c r="C4391" s="8" t="s">
        <v>8939</v>
      </c>
      <c r="D4391" s="8" t="s">
        <v>8940</v>
      </c>
      <c r="E4391" s="13">
        <v>0</v>
      </c>
      <c r="F4391" s="14">
        <v>323636</v>
      </c>
    </row>
    <row r="4392" spans="1:6" x14ac:dyDescent="0.3">
      <c r="A4392" s="8">
        <v>4390</v>
      </c>
      <c r="B4392" s="8" t="s">
        <v>7694</v>
      </c>
      <c r="C4392" s="8" t="s">
        <v>8941</v>
      </c>
      <c r="D4392" s="8" t="s">
        <v>8942</v>
      </c>
      <c r="E4392" s="13">
        <v>0</v>
      </c>
      <c r="F4392" s="14">
        <v>0</v>
      </c>
    </row>
    <row r="4393" spans="1:6" x14ac:dyDescent="0.3">
      <c r="A4393" s="8">
        <v>4391</v>
      </c>
      <c r="B4393" s="8" t="s">
        <v>7694</v>
      </c>
      <c r="C4393" s="8" t="s">
        <v>8943</v>
      </c>
      <c r="D4393" s="8" t="s">
        <v>8944</v>
      </c>
      <c r="E4393" s="13">
        <v>0</v>
      </c>
      <c r="F4393" s="14">
        <v>814545</v>
      </c>
    </row>
    <row r="4394" spans="1:6" x14ac:dyDescent="0.3">
      <c r="A4394" s="8">
        <v>4392</v>
      </c>
      <c r="B4394" s="8" t="s">
        <v>7694</v>
      </c>
      <c r="C4394" s="8" t="s">
        <v>8945</v>
      </c>
      <c r="D4394" s="8" t="s">
        <v>8946</v>
      </c>
      <c r="E4394" s="13">
        <v>0</v>
      </c>
      <c r="F4394" s="14">
        <v>0</v>
      </c>
    </row>
    <row r="4395" spans="1:6" x14ac:dyDescent="0.3">
      <c r="A4395" s="8">
        <v>4393</v>
      </c>
      <c r="B4395" s="8" t="s">
        <v>7694</v>
      </c>
      <c r="C4395" s="8" t="s">
        <v>8947</v>
      </c>
      <c r="D4395" s="8" t="s">
        <v>8948</v>
      </c>
      <c r="E4395" s="13">
        <v>0</v>
      </c>
      <c r="F4395" s="14">
        <v>0</v>
      </c>
    </row>
    <row r="4396" spans="1:6" x14ac:dyDescent="0.3">
      <c r="A4396" s="8">
        <v>4394</v>
      </c>
      <c r="B4396" s="8" t="s">
        <v>7694</v>
      </c>
      <c r="C4396" s="8" t="s">
        <v>8949</v>
      </c>
      <c r="D4396" s="8" t="s">
        <v>8950</v>
      </c>
      <c r="E4396" s="13">
        <v>0</v>
      </c>
      <c r="F4396" s="14">
        <v>0</v>
      </c>
    </row>
    <row r="4397" spans="1:6" x14ac:dyDescent="0.3">
      <c r="A4397" s="8">
        <v>4395</v>
      </c>
      <c r="B4397" s="8" t="s">
        <v>7694</v>
      </c>
      <c r="C4397" s="8" t="s">
        <v>8951</v>
      </c>
      <c r="D4397" s="8" t="s">
        <v>8952</v>
      </c>
      <c r="E4397" s="13">
        <v>0</v>
      </c>
      <c r="F4397" s="14">
        <v>814545</v>
      </c>
    </row>
    <row r="4398" spans="1:6" x14ac:dyDescent="0.3">
      <c r="A4398" s="8">
        <v>4396</v>
      </c>
      <c r="B4398" s="8" t="s">
        <v>7694</v>
      </c>
      <c r="C4398" s="8" t="s">
        <v>8953</v>
      </c>
      <c r="D4398" s="8" t="s">
        <v>8954</v>
      </c>
      <c r="E4398" s="13">
        <v>342600</v>
      </c>
      <c r="F4398" s="14">
        <v>685455</v>
      </c>
    </row>
    <row r="4399" spans="1:6" x14ac:dyDescent="0.3">
      <c r="A4399" s="8">
        <v>4397</v>
      </c>
      <c r="B4399" s="8" t="s">
        <v>7694</v>
      </c>
      <c r="C4399" s="8" t="s">
        <v>8955</v>
      </c>
      <c r="D4399" s="8" t="s">
        <v>8956</v>
      </c>
      <c r="E4399" s="13">
        <v>426000</v>
      </c>
      <c r="F4399" s="14">
        <v>851818</v>
      </c>
    </row>
    <row r="4400" spans="1:6" x14ac:dyDescent="0.3">
      <c r="A4400" s="8">
        <v>4398</v>
      </c>
      <c r="B4400" s="8" t="s">
        <v>7694</v>
      </c>
      <c r="C4400" s="8" t="s">
        <v>8957</v>
      </c>
      <c r="D4400" s="8" t="s">
        <v>8958</v>
      </c>
      <c r="E4400" s="13">
        <v>370000</v>
      </c>
      <c r="F4400" s="14">
        <v>740000</v>
      </c>
    </row>
    <row r="4401" spans="1:6" x14ac:dyDescent="0.3">
      <c r="A4401" s="8">
        <v>4399</v>
      </c>
      <c r="B4401" s="8" t="s">
        <v>7694</v>
      </c>
      <c r="C4401" s="8" t="s">
        <v>8959</v>
      </c>
      <c r="D4401" s="8" t="s">
        <v>8960</v>
      </c>
      <c r="E4401" s="13">
        <v>0</v>
      </c>
      <c r="F4401" s="14">
        <v>0</v>
      </c>
    </row>
    <row r="4402" spans="1:6" x14ac:dyDescent="0.3">
      <c r="A4402" s="8">
        <v>4400</v>
      </c>
      <c r="B4402" s="8" t="s">
        <v>6516</v>
      </c>
      <c r="C4402" s="8" t="s">
        <v>8961</v>
      </c>
      <c r="D4402" s="8" t="s">
        <v>8962</v>
      </c>
      <c r="E4402" s="13">
        <v>746000</v>
      </c>
      <c r="F4402" s="14">
        <v>1197000</v>
      </c>
    </row>
    <row r="4403" spans="1:6" x14ac:dyDescent="0.3">
      <c r="A4403" s="8">
        <v>4401</v>
      </c>
      <c r="B4403" s="8" t="s">
        <v>6516</v>
      </c>
      <c r="C4403" s="8" t="s">
        <v>8963</v>
      </c>
      <c r="D4403" s="8" t="s">
        <v>8964</v>
      </c>
      <c r="E4403" s="13">
        <v>746000</v>
      </c>
      <c r="F4403" s="14">
        <v>1197000</v>
      </c>
    </row>
    <row r="4404" spans="1:6" x14ac:dyDescent="0.3">
      <c r="A4404" s="8">
        <v>4402</v>
      </c>
      <c r="B4404" s="8" t="s">
        <v>6516</v>
      </c>
      <c r="C4404" s="8" t="s">
        <v>8965</v>
      </c>
      <c r="D4404" s="8" t="s">
        <v>8966</v>
      </c>
      <c r="E4404" s="13">
        <v>724500</v>
      </c>
      <c r="F4404" s="14">
        <v>1952000</v>
      </c>
    </row>
    <row r="4405" spans="1:6" x14ac:dyDescent="0.3">
      <c r="A4405" s="8">
        <v>4403</v>
      </c>
      <c r="B4405" s="8" t="s">
        <v>6516</v>
      </c>
      <c r="C4405" s="8" t="s">
        <v>8967</v>
      </c>
      <c r="D4405" s="8" t="s">
        <v>8968</v>
      </c>
      <c r="E4405" s="13">
        <v>1205000</v>
      </c>
      <c r="F4405" s="14">
        <v>2072000</v>
      </c>
    </row>
    <row r="4406" spans="1:6" x14ac:dyDescent="0.3">
      <c r="A4406" s="8">
        <v>4404</v>
      </c>
      <c r="B4406" s="8" t="s">
        <v>6516</v>
      </c>
      <c r="C4406" s="8" t="s">
        <v>8969</v>
      </c>
      <c r="D4406" s="8" t="s">
        <v>8970</v>
      </c>
      <c r="E4406" s="13">
        <v>0</v>
      </c>
      <c r="F4406" s="14">
        <v>1420000</v>
      </c>
    </row>
    <row r="4407" spans="1:6" x14ac:dyDescent="0.3">
      <c r="A4407" s="8">
        <v>4405</v>
      </c>
      <c r="B4407" s="8" t="s">
        <v>6516</v>
      </c>
      <c r="C4407" s="8" t="s">
        <v>8971</v>
      </c>
      <c r="D4407" s="8" t="s">
        <v>8972</v>
      </c>
      <c r="E4407" s="13">
        <v>611000</v>
      </c>
      <c r="F4407" s="14">
        <v>1222000</v>
      </c>
    </row>
    <row r="4408" spans="1:6" x14ac:dyDescent="0.3">
      <c r="A4408" s="8">
        <v>4406</v>
      </c>
      <c r="B4408" s="8" t="s">
        <v>6516</v>
      </c>
      <c r="C4408" s="8" t="s">
        <v>8973</v>
      </c>
      <c r="D4408" s="8" t="s">
        <v>8974</v>
      </c>
      <c r="E4408" s="13">
        <v>0</v>
      </c>
      <c r="F4408" s="14">
        <v>0</v>
      </c>
    </row>
    <row r="4409" spans="1:6" x14ac:dyDescent="0.3">
      <c r="A4409" s="8">
        <v>4407</v>
      </c>
      <c r="B4409" s="8" t="s">
        <v>6516</v>
      </c>
      <c r="C4409" s="8" t="s">
        <v>8975</v>
      </c>
      <c r="D4409" s="8" t="s">
        <v>8976</v>
      </c>
      <c r="E4409" s="13">
        <v>0</v>
      </c>
      <c r="F4409" s="14">
        <v>0</v>
      </c>
    </row>
    <row r="4410" spans="1:6" x14ac:dyDescent="0.3">
      <c r="A4410" s="8">
        <v>4408</v>
      </c>
      <c r="B4410" s="8" t="s">
        <v>6516</v>
      </c>
      <c r="C4410" s="8" t="s">
        <v>8977</v>
      </c>
      <c r="D4410" s="8" t="s">
        <v>8978</v>
      </c>
      <c r="E4410" s="13">
        <v>0</v>
      </c>
      <c r="F4410" s="14">
        <v>0</v>
      </c>
    </row>
    <row r="4411" spans="1:6" x14ac:dyDescent="0.3">
      <c r="A4411" s="8">
        <v>4409</v>
      </c>
      <c r="B4411" s="8" t="s">
        <v>6516</v>
      </c>
      <c r="C4411" s="8" t="s">
        <v>8979</v>
      </c>
      <c r="D4411" s="8" t="s">
        <v>8980</v>
      </c>
      <c r="E4411" s="13">
        <v>0</v>
      </c>
      <c r="F4411" s="14">
        <v>0</v>
      </c>
    </row>
    <row r="4412" spans="1:6" x14ac:dyDescent="0.3">
      <c r="A4412" s="8">
        <v>4410</v>
      </c>
      <c r="B4412" s="8" t="s">
        <v>6516</v>
      </c>
      <c r="C4412" s="8" t="s">
        <v>8981</v>
      </c>
      <c r="D4412" s="8" t="s">
        <v>8982</v>
      </c>
      <c r="E4412" s="13">
        <v>0</v>
      </c>
      <c r="F4412" s="14">
        <v>0</v>
      </c>
    </row>
    <row r="4413" spans="1:6" x14ac:dyDescent="0.3">
      <c r="A4413" s="8">
        <v>4411</v>
      </c>
      <c r="B4413" s="8" t="s">
        <v>6516</v>
      </c>
      <c r="C4413" s="8" t="s">
        <v>8983</v>
      </c>
      <c r="D4413" s="8" t="s">
        <v>8984</v>
      </c>
      <c r="E4413" s="13">
        <v>0</v>
      </c>
      <c r="F4413" s="14">
        <v>1502000</v>
      </c>
    </row>
    <row r="4414" spans="1:6" x14ac:dyDescent="0.3">
      <c r="A4414" s="8">
        <v>4412</v>
      </c>
      <c r="B4414" s="8" t="s">
        <v>6516</v>
      </c>
      <c r="C4414" s="8" t="s">
        <v>8985</v>
      </c>
      <c r="D4414" s="8" t="s">
        <v>8986</v>
      </c>
      <c r="E4414" s="13">
        <v>0</v>
      </c>
      <c r="F4414" s="14">
        <v>0</v>
      </c>
    </row>
    <row r="4415" spans="1:6" x14ac:dyDescent="0.3">
      <c r="A4415" s="8">
        <v>4413</v>
      </c>
      <c r="B4415" s="8" t="s">
        <v>6516</v>
      </c>
      <c r="C4415" s="8" t="s">
        <v>8987</v>
      </c>
      <c r="D4415" s="8" t="s">
        <v>8988</v>
      </c>
      <c r="E4415" s="13">
        <v>0</v>
      </c>
      <c r="F4415" s="14">
        <v>0</v>
      </c>
    </row>
    <row r="4416" spans="1:6" x14ac:dyDescent="0.3">
      <c r="A4416" s="8">
        <v>4414</v>
      </c>
      <c r="B4416" s="8" t="s">
        <v>6516</v>
      </c>
      <c r="C4416" s="8" t="s">
        <v>8989</v>
      </c>
      <c r="D4416" s="8" t="s">
        <v>8990</v>
      </c>
      <c r="E4416" s="13">
        <v>0</v>
      </c>
      <c r="F4416" s="14">
        <v>0</v>
      </c>
    </row>
    <row r="4417" spans="1:6" x14ac:dyDescent="0.3">
      <c r="A4417" s="8">
        <v>4415</v>
      </c>
      <c r="B4417" s="8" t="s">
        <v>6516</v>
      </c>
      <c r="C4417" s="8" t="s">
        <v>8991</v>
      </c>
      <c r="D4417" s="8" t="s">
        <v>8992</v>
      </c>
      <c r="E4417" s="13">
        <v>0</v>
      </c>
      <c r="F4417" s="14">
        <v>0</v>
      </c>
    </row>
    <row r="4418" spans="1:6" x14ac:dyDescent="0.3">
      <c r="A4418" s="8">
        <v>4416</v>
      </c>
      <c r="B4418" s="8" t="s">
        <v>6516</v>
      </c>
      <c r="C4418" s="8" t="s">
        <v>8993</v>
      </c>
      <c r="D4418" s="8" t="s">
        <v>8994</v>
      </c>
      <c r="E4418" s="13">
        <v>0</v>
      </c>
      <c r="F4418" s="14">
        <v>0</v>
      </c>
    </row>
    <row r="4419" spans="1:6" x14ac:dyDescent="0.3">
      <c r="A4419" s="8">
        <v>4417</v>
      </c>
      <c r="B4419" s="8" t="s">
        <v>6516</v>
      </c>
      <c r="C4419" s="8" t="s">
        <v>8995</v>
      </c>
      <c r="D4419" s="8" t="s">
        <v>8996</v>
      </c>
      <c r="E4419" s="13">
        <v>0</v>
      </c>
      <c r="F4419" s="14">
        <v>1501852</v>
      </c>
    </row>
    <row r="4420" spans="1:6" x14ac:dyDescent="0.3">
      <c r="A4420" s="8">
        <v>4418</v>
      </c>
      <c r="B4420" s="8" t="s">
        <v>6516</v>
      </c>
      <c r="C4420" s="8" t="s">
        <v>8997</v>
      </c>
      <c r="D4420" s="8" t="s">
        <v>8998</v>
      </c>
      <c r="E4420" s="13">
        <v>0</v>
      </c>
      <c r="F4420" s="14">
        <v>0</v>
      </c>
    </row>
    <row r="4421" spans="1:6" x14ac:dyDescent="0.3">
      <c r="A4421" s="8">
        <v>4419</v>
      </c>
      <c r="B4421" s="8" t="s">
        <v>6516</v>
      </c>
      <c r="C4421" s="8" t="s">
        <v>8999</v>
      </c>
      <c r="D4421" s="8" t="s">
        <v>9000</v>
      </c>
      <c r="E4421" s="13">
        <v>0</v>
      </c>
      <c r="F4421" s="14">
        <v>0</v>
      </c>
    </row>
    <row r="4422" spans="1:6" x14ac:dyDescent="0.3">
      <c r="A4422" s="8">
        <v>4420</v>
      </c>
      <c r="B4422" s="8" t="s">
        <v>6516</v>
      </c>
      <c r="C4422" s="8" t="s">
        <v>9001</v>
      </c>
      <c r="D4422" s="8" t="s">
        <v>9002</v>
      </c>
      <c r="E4422" s="13">
        <v>0</v>
      </c>
      <c r="F4422" s="14">
        <v>0</v>
      </c>
    </row>
    <row r="4423" spans="1:6" x14ac:dyDescent="0.3">
      <c r="A4423" s="8">
        <v>4421</v>
      </c>
      <c r="B4423" s="8" t="s">
        <v>6516</v>
      </c>
      <c r="C4423" s="8" t="s">
        <v>9003</v>
      </c>
      <c r="D4423" s="8" t="s">
        <v>9004</v>
      </c>
      <c r="E4423" s="13">
        <v>0</v>
      </c>
      <c r="F4423" s="14">
        <v>1115000</v>
      </c>
    </row>
    <row r="4424" spans="1:6" x14ac:dyDescent="0.3">
      <c r="A4424" s="8">
        <v>4422</v>
      </c>
      <c r="B4424" s="8" t="s">
        <v>6516</v>
      </c>
      <c r="C4424" s="8" t="s">
        <v>9005</v>
      </c>
      <c r="D4424" s="8" t="s">
        <v>9006</v>
      </c>
      <c r="E4424" s="13">
        <v>537000</v>
      </c>
      <c r="F4424" s="14">
        <v>1074074</v>
      </c>
    </row>
    <row r="4425" spans="1:6" x14ac:dyDescent="0.3">
      <c r="A4425" s="8">
        <v>4423</v>
      </c>
      <c r="B4425" s="8" t="s">
        <v>6022</v>
      </c>
      <c r="C4425" s="8" t="s">
        <v>9007</v>
      </c>
      <c r="D4425" s="8" t="s">
        <v>9008</v>
      </c>
      <c r="E4425" s="13">
        <v>0</v>
      </c>
      <c r="F4425" s="14">
        <v>0</v>
      </c>
    </row>
    <row r="4426" spans="1:6" x14ac:dyDescent="0.3">
      <c r="A4426" s="8">
        <v>4424</v>
      </c>
      <c r="B4426" s="8" t="s">
        <v>6022</v>
      </c>
      <c r="C4426" s="8" t="s">
        <v>9009</v>
      </c>
      <c r="D4426" s="8" t="s">
        <v>9010</v>
      </c>
      <c r="E4426" s="13">
        <v>192000</v>
      </c>
      <c r="F4426" s="14">
        <v>384259</v>
      </c>
    </row>
    <row r="4427" spans="1:6" x14ac:dyDescent="0.3">
      <c r="A4427" s="8">
        <v>4425</v>
      </c>
      <c r="B4427" s="8" t="s">
        <v>6022</v>
      </c>
      <c r="C4427" s="8" t="s">
        <v>9011</v>
      </c>
      <c r="D4427" s="8" t="s">
        <v>9012</v>
      </c>
      <c r="E4427" s="13">
        <v>258000</v>
      </c>
      <c r="F4427" s="14">
        <v>515741</v>
      </c>
    </row>
    <row r="4428" spans="1:6" x14ac:dyDescent="0.3">
      <c r="A4428" s="8">
        <v>4426</v>
      </c>
      <c r="B4428" s="8" t="s">
        <v>6022</v>
      </c>
      <c r="C4428" s="8" t="s">
        <v>9013</v>
      </c>
      <c r="D4428" s="8" t="s">
        <v>9014</v>
      </c>
      <c r="E4428" s="13">
        <v>0</v>
      </c>
      <c r="F4428" s="14">
        <v>0</v>
      </c>
    </row>
    <row r="4429" spans="1:6" x14ac:dyDescent="0.3">
      <c r="A4429" s="8">
        <v>4427</v>
      </c>
      <c r="B4429" s="8" t="s">
        <v>6022</v>
      </c>
      <c r="C4429" s="8" t="s">
        <v>9015</v>
      </c>
      <c r="D4429" s="8" t="s">
        <v>9016</v>
      </c>
      <c r="E4429" s="13">
        <v>0</v>
      </c>
      <c r="F4429" s="14">
        <v>0</v>
      </c>
    </row>
    <row r="4430" spans="1:6" x14ac:dyDescent="0.3">
      <c r="A4430" s="8">
        <v>4428</v>
      </c>
      <c r="B4430" s="8" t="s">
        <v>6022</v>
      </c>
      <c r="C4430" s="8" t="s">
        <v>9017</v>
      </c>
      <c r="D4430" s="8" t="s">
        <v>9018</v>
      </c>
      <c r="E4430" s="13">
        <v>0</v>
      </c>
      <c r="F4430" s="14">
        <v>0</v>
      </c>
    </row>
    <row r="4431" spans="1:6" x14ac:dyDescent="0.3">
      <c r="A4431" s="8">
        <v>4429</v>
      </c>
      <c r="B4431" s="8" t="s">
        <v>6022</v>
      </c>
      <c r="C4431" s="8" t="s">
        <v>9019</v>
      </c>
      <c r="D4431" s="8" t="s">
        <v>9020</v>
      </c>
      <c r="E4431" s="13">
        <v>0</v>
      </c>
      <c r="F4431" s="14">
        <v>0</v>
      </c>
    </row>
    <row r="4432" spans="1:6" x14ac:dyDescent="0.3">
      <c r="A4432" s="8">
        <v>4430</v>
      </c>
      <c r="B4432" s="8" t="s">
        <v>6022</v>
      </c>
      <c r="C4432" s="8" t="s">
        <v>9021</v>
      </c>
      <c r="D4432" s="8" t="s">
        <v>9022</v>
      </c>
      <c r="E4432" s="13">
        <v>0</v>
      </c>
      <c r="F4432" s="14">
        <v>0</v>
      </c>
    </row>
    <row r="4433" spans="1:6" x14ac:dyDescent="0.3">
      <c r="A4433" s="8">
        <v>4431</v>
      </c>
      <c r="B4433" s="8" t="s">
        <v>6516</v>
      </c>
      <c r="C4433" s="8" t="s">
        <v>9023</v>
      </c>
      <c r="D4433" s="8" t="s">
        <v>9024</v>
      </c>
      <c r="E4433" s="13">
        <v>1150000</v>
      </c>
      <c r="F4433" s="14">
        <v>1845000</v>
      </c>
    </row>
    <row r="4434" spans="1:6" x14ac:dyDescent="0.3">
      <c r="A4434" s="8">
        <v>4432</v>
      </c>
      <c r="B4434" s="8" t="s">
        <v>6516</v>
      </c>
      <c r="C4434" s="8" t="s">
        <v>9025</v>
      </c>
      <c r="D4434" s="8" t="s">
        <v>9026</v>
      </c>
      <c r="E4434" s="13">
        <v>1205000</v>
      </c>
      <c r="F4434" s="14">
        <v>2072000</v>
      </c>
    </row>
    <row r="4435" spans="1:6" x14ac:dyDescent="0.3">
      <c r="A4435" s="8">
        <v>4433</v>
      </c>
      <c r="B4435" s="8" t="s">
        <v>6516</v>
      </c>
      <c r="C4435" s="8" t="s">
        <v>9027</v>
      </c>
      <c r="D4435" s="8" t="s">
        <v>9028</v>
      </c>
      <c r="E4435" s="13">
        <v>532000</v>
      </c>
      <c r="F4435" s="14">
        <v>1063889</v>
      </c>
    </row>
    <row r="4436" spans="1:6" x14ac:dyDescent="0.3">
      <c r="A4436" s="8">
        <v>4434</v>
      </c>
      <c r="B4436" s="8" t="s">
        <v>6516</v>
      </c>
      <c r="C4436" s="8" t="s">
        <v>9029</v>
      </c>
      <c r="D4436" s="8" t="s">
        <v>9030</v>
      </c>
      <c r="E4436" s="13">
        <v>0</v>
      </c>
      <c r="F4436" s="14">
        <v>1733000</v>
      </c>
    </row>
    <row r="4437" spans="1:6" x14ac:dyDescent="0.3">
      <c r="A4437" s="8">
        <v>4435</v>
      </c>
      <c r="B4437" s="8" t="s">
        <v>6516</v>
      </c>
      <c r="C4437" s="8" t="s">
        <v>9031</v>
      </c>
      <c r="D4437" s="8" t="s">
        <v>9032</v>
      </c>
      <c r="E4437" s="13">
        <v>0</v>
      </c>
      <c r="F4437" s="14">
        <v>0</v>
      </c>
    </row>
    <row r="4438" spans="1:6" x14ac:dyDescent="0.3">
      <c r="A4438" s="8">
        <v>4436</v>
      </c>
      <c r="B4438" s="8" t="s">
        <v>6516</v>
      </c>
      <c r="C4438" s="8" t="s">
        <v>9033</v>
      </c>
      <c r="D4438" s="8" t="s">
        <v>9034</v>
      </c>
      <c r="E4438" s="13">
        <v>0</v>
      </c>
      <c r="F4438" s="14">
        <v>1733000</v>
      </c>
    </row>
    <row r="4439" spans="1:6" x14ac:dyDescent="0.3">
      <c r="A4439" s="8">
        <v>4437</v>
      </c>
      <c r="B4439" s="8" t="s">
        <v>6516</v>
      </c>
      <c r="C4439" s="8" t="s">
        <v>9035</v>
      </c>
      <c r="D4439" s="8" t="s">
        <v>9036</v>
      </c>
      <c r="E4439" s="13">
        <v>481000</v>
      </c>
      <c r="F4439" s="14">
        <v>962037</v>
      </c>
    </row>
    <row r="4440" spans="1:6" x14ac:dyDescent="0.3">
      <c r="A4440" s="8">
        <v>4438</v>
      </c>
      <c r="B4440" s="8" t="s">
        <v>6516</v>
      </c>
      <c r="C4440" s="8" t="s">
        <v>9037</v>
      </c>
      <c r="D4440" s="8" t="s">
        <v>9038</v>
      </c>
      <c r="E4440" s="13">
        <v>481000</v>
      </c>
      <c r="F4440" s="14">
        <v>962037</v>
      </c>
    </row>
    <row r="4441" spans="1:6" x14ac:dyDescent="0.3">
      <c r="A4441" s="8">
        <v>4439</v>
      </c>
      <c r="B4441" s="8" t="s">
        <v>6516</v>
      </c>
      <c r="C4441" s="8" t="s">
        <v>9039</v>
      </c>
      <c r="D4441" s="8" t="s">
        <v>9040</v>
      </c>
      <c r="E4441" s="13">
        <v>0</v>
      </c>
      <c r="F4441" s="14">
        <v>1080000</v>
      </c>
    </row>
    <row r="4442" spans="1:6" x14ac:dyDescent="0.3">
      <c r="A4442" s="8">
        <v>4440</v>
      </c>
      <c r="B4442" s="8" t="s">
        <v>6516</v>
      </c>
      <c r="C4442" s="8" t="s">
        <v>9041</v>
      </c>
      <c r="D4442" s="8" t="s">
        <v>9042</v>
      </c>
      <c r="E4442" s="13">
        <v>0</v>
      </c>
      <c r="F4442" s="14">
        <v>0</v>
      </c>
    </row>
    <row r="4443" spans="1:6" x14ac:dyDescent="0.3">
      <c r="A4443" s="8">
        <v>4441</v>
      </c>
      <c r="B4443" s="8" t="s">
        <v>6516</v>
      </c>
      <c r="C4443" s="8" t="s">
        <v>9043</v>
      </c>
      <c r="D4443" s="8" t="s">
        <v>9044</v>
      </c>
      <c r="E4443" s="13">
        <v>0</v>
      </c>
      <c r="F4443" s="14">
        <v>0</v>
      </c>
    </row>
    <row r="4444" spans="1:6" x14ac:dyDescent="0.3">
      <c r="A4444" s="8">
        <v>4442</v>
      </c>
      <c r="B4444" s="8" t="s">
        <v>6516</v>
      </c>
      <c r="C4444" s="8" t="s">
        <v>9045</v>
      </c>
      <c r="D4444" s="8" t="s">
        <v>9046</v>
      </c>
      <c r="E4444" s="13">
        <v>0</v>
      </c>
      <c r="F4444" s="14">
        <v>0</v>
      </c>
    </row>
    <row r="4445" spans="1:6" x14ac:dyDescent="0.3">
      <c r="A4445" s="8">
        <v>4443</v>
      </c>
      <c r="B4445" s="8" t="s">
        <v>6516</v>
      </c>
      <c r="C4445" s="8" t="s">
        <v>9047</v>
      </c>
      <c r="D4445" s="8" t="s">
        <v>9048</v>
      </c>
      <c r="E4445" s="13">
        <v>0</v>
      </c>
      <c r="F4445" s="14">
        <v>0</v>
      </c>
    </row>
    <row r="4446" spans="1:6" x14ac:dyDescent="0.3">
      <c r="A4446" s="8">
        <v>4444</v>
      </c>
      <c r="B4446" s="8" t="s">
        <v>6516</v>
      </c>
      <c r="C4446" s="8" t="s">
        <v>9049</v>
      </c>
      <c r="D4446" s="8" t="s">
        <v>9050</v>
      </c>
      <c r="E4446" s="13">
        <v>0</v>
      </c>
      <c r="F4446" s="14">
        <v>0</v>
      </c>
    </row>
    <row r="4447" spans="1:6" x14ac:dyDescent="0.3">
      <c r="A4447" s="8">
        <v>4445</v>
      </c>
      <c r="B4447" s="8" t="s">
        <v>6516</v>
      </c>
      <c r="C4447" s="8" t="s">
        <v>9051</v>
      </c>
      <c r="D4447" s="8" t="s">
        <v>9052</v>
      </c>
      <c r="E4447" s="13">
        <v>0</v>
      </c>
      <c r="F4447" s="14">
        <v>0</v>
      </c>
    </row>
    <row r="4448" spans="1:6" x14ac:dyDescent="0.3">
      <c r="A4448" s="8">
        <v>4446</v>
      </c>
      <c r="B4448" s="8" t="s">
        <v>6516</v>
      </c>
      <c r="C4448" s="8" t="s">
        <v>9053</v>
      </c>
      <c r="D4448" s="8" t="s">
        <v>9054</v>
      </c>
      <c r="E4448" s="13">
        <v>0</v>
      </c>
      <c r="F4448" s="14">
        <v>0</v>
      </c>
    </row>
    <row r="4449" spans="1:6" x14ac:dyDescent="0.3">
      <c r="A4449" s="8">
        <v>4447</v>
      </c>
      <c r="B4449" s="8" t="s">
        <v>6029</v>
      </c>
      <c r="C4449" s="8" t="s">
        <v>9055</v>
      </c>
      <c r="D4449" s="8" t="s">
        <v>9056</v>
      </c>
      <c r="E4449" s="13">
        <v>121000</v>
      </c>
      <c r="F4449" s="14">
        <v>208000</v>
      </c>
    </row>
    <row r="4450" spans="1:6" x14ac:dyDescent="0.3">
      <c r="A4450" s="8">
        <v>4448</v>
      </c>
      <c r="B4450" s="8" t="s">
        <v>6029</v>
      </c>
      <c r="C4450" s="8" t="s">
        <v>9057</v>
      </c>
      <c r="D4450" s="8" t="s">
        <v>9058</v>
      </c>
      <c r="E4450" s="13">
        <v>156600</v>
      </c>
      <c r="F4450" s="14">
        <v>282000</v>
      </c>
    </row>
    <row r="4451" spans="1:6" x14ac:dyDescent="0.3">
      <c r="A4451" s="8">
        <v>4449</v>
      </c>
      <c r="B4451" s="8" t="s">
        <v>6029</v>
      </c>
      <c r="C4451" s="8" t="s">
        <v>9059</v>
      </c>
      <c r="D4451" s="8" t="s">
        <v>9060</v>
      </c>
      <c r="E4451" s="13">
        <v>161000</v>
      </c>
      <c r="F4451" s="14">
        <v>322222</v>
      </c>
    </row>
    <row r="4452" spans="1:6" x14ac:dyDescent="0.3">
      <c r="A4452" s="8">
        <v>4450</v>
      </c>
      <c r="B4452" s="8" t="s">
        <v>6022</v>
      </c>
      <c r="C4452" s="8" t="s">
        <v>9061</v>
      </c>
      <c r="D4452" s="8" t="s">
        <v>9062</v>
      </c>
      <c r="E4452" s="13">
        <v>165000</v>
      </c>
      <c r="F4452" s="14">
        <v>329630</v>
      </c>
    </row>
    <row r="4453" spans="1:6" x14ac:dyDescent="0.3">
      <c r="A4453" s="8">
        <v>4451</v>
      </c>
      <c r="B4453" s="8" t="s">
        <v>6029</v>
      </c>
      <c r="C4453" s="8" t="s">
        <v>9063</v>
      </c>
      <c r="D4453" s="8" t="s">
        <v>9064</v>
      </c>
      <c r="E4453" s="13">
        <v>176000</v>
      </c>
      <c r="F4453" s="14">
        <v>318000</v>
      </c>
    </row>
    <row r="4454" spans="1:6" x14ac:dyDescent="0.3">
      <c r="A4454" s="8">
        <v>4452</v>
      </c>
      <c r="B4454" s="8" t="s">
        <v>6022</v>
      </c>
      <c r="C4454" s="8" t="s">
        <v>9065</v>
      </c>
      <c r="D4454" s="8" t="s">
        <v>9066</v>
      </c>
      <c r="E4454" s="13">
        <v>229000</v>
      </c>
      <c r="F4454" s="14">
        <v>458333</v>
      </c>
    </row>
    <row r="4455" spans="1:6" x14ac:dyDescent="0.3">
      <c r="A4455" s="8">
        <v>4453</v>
      </c>
      <c r="B4455" s="8" t="s">
        <v>6022</v>
      </c>
      <c r="C4455" s="8" t="s">
        <v>9067</v>
      </c>
      <c r="D4455" s="8" t="s">
        <v>9068</v>
      </c>
      <c r="E4455" s="13">
        <v>70000</v>
      </c>
      <c r="F4455" s="14">
        <v>139815</v>
      </c>
    </row>
    <row r="4456" spans="1:6" x14ac:dyDescent="0.3">
      <c r="A4456" s="8">
        <v>4454</v>
      </c>
      <c r="B4456" s="8" t="s">
        <v>6022</v>
      </c>
      <c r="C4456" s="8" t="s">
        <v>9069</v>
      </c>
      <c r="D4456" s="8" t="s">
        <v>9070</v>
      </c>
      <c r="E4456" s="13">
        <v>216000</v>
      </c>
      <c r="F4456" s="14">
        <v>388000</v>
      </c>
    </row>
    <row r="4457" spans="1:6" x14ac:dyDescent="0.3">
      <c r="A4457" s="8">
        <v>4455</v>
      </c>
      <c r="B4457" s="8" t="s">
        <v>6029</v>
      </c>
      <c r="C4457" s="8" t="s">
        <v>9071</v>
      </c>
      <c r="D4457" s="8" t="s">
        <v>9072</v>
      </c>
      <c r="E4457" s="13">
        <v>0</v>
      </c>
      <c r="F4457" s="14">
        <v>0</v>
      </c>
    </row>
    <row r="4458" spans="1:6" x14ac:dyDescent="0.3">
      <c r="A4458" s="8">
        <v>4456</v>
      </c>
      <c r="B4458" s="8" t="s">
        <v>6029</v>
      </c>
      <c r="C4458" s="8" t="s">
        <v>9073</v>
      </c>
      <c r="D4458" s="8" t="s">
        <v>9074</v>
      </c>
      <c r="E4458" s="13">
        <v>192000</v>
      </c>
      <c r="F4458" s="14">
        <v>384259</v>
      </c>
    </row>
    <row r="4459" spans="1:6" x14ac:dyDescent="0.3">
      <c r="A4459" s="8">
        <v>4457</v>
      </c>
      <c r="B4459" s="8" t="s">
        <v>6022</v>
      </c>
      <c r="C4459" s="8" t="s">
        <v>9075</v>
      </c>
      <c r="D4459" s="8" t="s">
        <v>9076</v>
      </c>
      <c r="E4459" s="13">
        <v>177000</v>
      </c>
      <c r="F4459" s="14">
        <v>353704</v>
      </c>
    </row>
    <row r="4460" spans="1:6" x14ac:dyDescent="0.3">
      <c r="A4460" s="8">
        <v>4458</v>
      </c>
      <c r="B4460" s="8" t="s">
        <v>6029</v>
      </c>
      <c r="C4460" s="8" t="s">
        <v>9077</v>
      </c>
      <c r="D4460" s="8" t="s">
        <v>9078</v>
      </c>
      <c r="E4460" s="13">
        <v>0</v>
      </c>
      <c r="F4460" s="14">
        <v>0</v>
      </c>
    </row>
    <row r="4461" spans="1:6" x14ac:dyDescent="0.3">
      <c r="A4461" s="8">
        <v>4459</v>
      </c>
      <c r="B4461" s="8" t="s">
        <v>6022</v>
      </c>
      <c r="C4461" s="8" t="s">
        <v>9079</v>
      </c>
      <c r="D4461" s="8" t="s">
        <v>9080</v>
      </c>
      <c r="E4461" s="13">
        <v>0</v>
      </c>
      <c r="F4461" s="14">
        <v>0</v>
      </c>
    </row>
    <row r="4462" spans="1:6" x14ac:dyDescent="0.3">
      <c r="A4462" s="8">
        <v>4460</v>
      </c>
      <c r="B4462" s="8" t="s">
        <v>6022</v>
      </c>
      <c r="C4462" s="8" t="s">
        <v>9081</v>
      </c>
      <c r="D4462" s="8" t="s">
        <v>9082</v>
      </c>
      <c r="E4462" s="13">
        <v>0</v>
      </c>
      <c r="F4462" s="14">
        <v>0</v>
      </c>
    </row>
    <row r="4463" spans="1:6" x14ac:dyDescent="0.3">
      <c r="A4463" s="8">
        <v>4461</v>
      </c>
      <c r="B4463" s="8" t="s">
        <v>6022</v>
      </c>
      <c r="C4463" s="8" t="s">
        <v>9083</v>
      </c>
      <c r="D4463" s="8" t="s">
        <v>9084</v>
      </c>
      <c r="E4463" s="13">
        <v>370000</v>
      </c>
      <c r="F4463" s="14">
        <v>739815</v>
      </c>
    </row>
    <row r="4464" spans="1:6" x14ac:dyDescent="0.3">
      <c r="A4464" s="8">
        <v>4462</v>
      </c>
      <c r="B4464" s="8" t="s">
        <v>6029</v>
      </c>
      <c r="C4464" s="8" t="s">
        <v>9085</v>
      </c>
      <c r="D4464" s="8" t="s">
        <v>9086</v>
      </c>
      <c r="E4464" s="13">
        <v>121000</v>
      </c>
      <c r="F4464" s="14">
        <v>241667</v>
      </c>
    </row>
    <row r="4465" spans="1:6" x14ac:dyDescent="0.3">
      <c r="A4465" s="8">
        <v>4463</v>
      </c>
      <c r="B4465" s="8" t="s">
        <v>6029</v>
      </c>
      <c r="C4465" s="8" t="s">
        <v>9087</v>
      </c>
      <c r="D4465" s="8" t="s">
        <v>9088</v>
      </c>
      <c r="E4465" s="13">
        <v>0</v>
      </c>
      <c r="F4465" s="14">
        <v>0</v>
      </c>
    </row>
    <row r="4466" spans="1:6" x14ac:dyDescent="0.3">
      <c r="A4466" s="8">
        <v>4464</v>
      </c>
      <c r="B4466" s="8" t="s">
        <v>6022</v>
      </c>
      <c r="C4466" s="8" t="s">
        <v>9089</v>
      </c>
      <c r="D4466" s="8" t="s">
        <v>9090</v>
      </c>
      <c r="E4466" s="13">
        <v>0</v>
      </c>
      <c r="F4466" s="14">
        <v>0</v>
      </c>
    </row>
    <row r="4467" spans="1:6" x14ac:dyDescent="0.3">
      <c r="A4467" s="8">
        <v>4465</v>
      </c>
      <c r="B4467" s="8" t="s">
        <v>6516</v>
      </c>
      <c r="C4467" s="8" t="s">
        <v>9091</v>
      </c>
      <c r="D4467" s="8" t="s">
        <v>9092</v>
      </c>
      <c r="E4467" s="13">
        <v>0</v>
      </c>
      <c r="F4467" s="14">
        <v>0</v>
      </c>
    </row>
    <row r="4468" spans="1:6" x14ac:dyDescent="0.3">
      <c r="A4468" s="8">
        <v>4466</v>
      </c>
      <c r="B4468" s="8" t="s">
        <v>6516</v>
      </c>
      <c r="C4468" s="8" t="s">
        <v>9093</v>
      </c>
      <c r="D4468" s="8" t="s">
        <v>9094</v>
      </c>
      <c r="E4468" s="13">
        <v>0</v>
      </c>
      <c r="F4468" s="14">
        <v>0</v>
      </c>
    </row>
    <row r="4469" spans="1:6" x14ac:dyDescent="0.3">
      <c r="A4469" s="8">
        <v>4467</v>
      </c>
      <c r="B4469" s="8" t="s">
        <v>6516</v>
      </c>
      <c r="C4469" s="8" t="s">
        <v>9095</v>
      </c>
      <c r="D4469" s="8" t="s">
        <v>9096</v>
      </c>
      <c r="E4469" s="13">
        <v>997000</v>
      </c>
      <c r="F4469" s="14">
        <v>1994444</v>
      </c>
    </row>
    <row r="4470" spans="1:6" x14ac:dyDescent="0.3">
      <c r="A4470" s="8">
        <v>4468</v>
      </c>
      <c r="B4470" s="8" t="s">
        <v>6516</v>
      </c>
      <c r="C4470" s="8" t="s">
        <v>9097</v>
      </c>
      <c r="D4470" s="8" t="s">
        <v>9098</v>
      </c>
      <c r="E4470" s="13">
        <v>0</v>
      </c>
      <c r="F4470" s="14">
        <v>0</v>
      </c>
    </row>
    <row r="4471" spans="1:6" x14ac:dyDescent="0.3">
      <c r="A4471" s="8">
        <v>4469</v>
      </c>
      <c r="B4471" s="8" t="s">
        <v>6516</v>
      </c>
      <c r="C4471" s="8" t="s">
        <v>9099</v>
      </c>
      <c r="D4471" s="8" t="s">
        <v>9100</v>
      </c>
      <c r="E4471" s="13">
        <v>0</v>
      </c>
      <c r="F4471" s="14">
        <v>0</v>
      </c>
    </row>
    <row r="4472" spans="1:6" x14ac:dyDescent="0.3">
      <c r="A4472" s="8">
        <v>4470</v>
      </c>
      <c r="B4472" s="8" t="s">
        <v>6516</v>
      </c>
      <c r="C4472" s="8" t="s">
        <v>9101</v>
      </c>
      <c r="D4472" s="8" t="s">
        <v>9102</v>
      </c>
      <c r="E4472" s="13">
        <v>537000</v>
      </c>
      <c r="F4472" s="14">
        <v>1074074</v>
      </c>
    </row>
    <row r="4473" spans="1:6" x14ac:dyDescent="0.3">
      <c r="A4473" s="8">
        <v>4471</v>
      </c>
      <c r="B4473" s="8" t="s">
        <v>6516</v>
      </c>
      <c r="C4473" s="8" t="s">
        <v>9103</v>
      </c>
      <c r="D4473" s="8" t="s">
        <v>9104</v>
      </c>
      <c r="E4473" s="13">
        <v>0</v>
      </c>
      <c r="F4473" s="14">
        <v>0</v>
      </c>
    </row>
    <row r="4474" spans="1:6" x14ac:dyDescent="0.3">
      <c r="A4474" s="8">
        <v>4472</v>
      </c>
      <c r="B4474" s="8" t="s">
        <v>6516</v>
      </c>
      <c r="C4474" s="8" t="s">
        <v>9105</v>
      </c>
      <c r="D4474" s="8" t="s">
        <v>9106</v>
      </c>
      <c r="E4474" s="13">
        <v>0</v>
      </c>
      <c r="F4474" s="14">
        <v>0</v>
      </c>
    </row>
    <row r="4475" spans="1:6" x14ac:dyDescent="0.3">
      <c r="A4475" s="8">
        <v>4473</v>
      </c>
      <c r="B4475" s="8" t="s">
        <v>6516</v>
      </c>
      <c r="C4475" s="8" t="s">
        <v>9107</v>
      </c>
      <c r="D4475" s="8" t="s">
        <v>9108</v>
      </c>
      <c r="E4475" s="13">
        <v>0</v>
      </c>
      <c r="F4475" s="14">
        <v>0</v>
      </c>
    </row>
    <row r="4476" spans="1:6" x14ac:dyDescent="0.3">
      <c r="A4476" s="8">
        <v>4474</v>
      </c>
      <c r="B4476" s="8" t="s">
        <v>6516</v>
      </c>
      <c r="C4476" s="8" t="s">
        <v>9109</v>
      </c>
      <c r="D4476" s="8" t="s">
        <v>9110</v>
      </c>
      <c r="E4476" s="13">
        <v>0</v>
      </c>
      <c r="F4476" s="14">
        <v>0</v>
      </c>
    </row>
    <row r="4477" spans="1:6" x14ac:dyDescent="0.3">
      <c r="A4477" s="8">
        <v>4475</v>
      </c>
      <c r="B4477" s="8" t="s">
        <v>7355</v>
      </c>
      <c r="C4477" s="8" t="s">
        <v>9111</v>
      </c>
      <c r="D4477" s="8" t="s">
        <v>9112</v>
      </c>
      <c r="E4477" s="13">
        <v>162000</v>
      </c>
      <c r="F4477" s="14">
        <v>290000</v>
      </c>
    </row>
    <row r="4478" spans="1:6" x14ac:dyDescent="0.3">
      <c r="A4478" s="8">
        <v>4476</v>
      </c>
      <c r="B4478" s="8" t="s">
        <v>7355</v>
      </c>
      <c r="C4478" s="8" t="s">
        <v>9113</v>
      </c>
      <c r="D4478" s="8" t="s">
        <v>9114</v>
      </c>
      <c r="E4478" s="13">
        <v>293000</v>
      </c>
      <c r="F4478" s="14">
        <v>526000</v>
      </c>
    </row>
    <row r="4479" spans="1:6" x14ac:dyDescent="0.3">
      <c r="A4479" s="8">
        <v>4477</v>
      </c>
      <c r="B4479" s="8" t="s">
        <v>7355</v>
      </c>
      <c r="C4479" s="8" t="s">
        <v>9115</v>
      </c>
      <c r="D4479" s="8" t="s">
        <v>9116</v>
      </c>
      <c r="E4479" s="13">
        <v>0</v>
      </c>
      <c r="F4479" s="14">
        <v>0</v>
      </c>
    </row>
    <row r="4480" spans="1:6" x14ac:dyDescent="0.3">
      <c r="A4480" s="8">
        <v>4478</v>
      </c>
      <c r="B4480" s="8" t="s">
        <v>7355</v>
      </c>
      <c r="C4480" s="8" t="s">
        <v>9117</v>
      </c>
      <c r="D4480" s="8" t="s">
        <v>9118</v>
      </c>
      <c r="E4480" s="13">
        <v>0</v>
      </c>
      <c r="F4480" s="14">
        <v>0</v>
      </c>
    </row>
    <row r="4481" spans="1:6" x14ac:dyDescent="0.3">
      <c r="A4481" s="8">
        <v>4479</v>
      </c>
      <c r="B4481" s="8" t="s">
        <v>7355</v>
      </c>
      <c r="C4481" s="8" t="s">
        <v>9119</v>
      </c>
      <c r="D4481" s="8" t="s">
        <v>9120</v>
      </c>
      <c r="E4481" s="13">
        <v>0</v>
      </c>
      <c r="F4481" s="14">
        <v>0</v>
      </c>
    </row>
    <row r="4482" spans="1:6" x14ac:dyDescent="0.3">
      <c r="A4482" s="8">
        <v>4480</v>
      </c>
      <c r="B4482" s="8" t="s">
        <v>7355</v>
      </c>
      <c r="C4482" s="8" t="s">
        <v>9121</v>
      </c>
      <c r="D4482" s="8" t="s">
        <v>9122</v>
      </c>
      <c r="E4482" s="13">
        <v>370000</v>
      </c>
      <c r="F4482" s="14">
        <v>637000</v>
      </c>
    </row>
    <row r="4483" spans="1:6" x14ac:dyDescent="0.3">
      <c r="A4483" s="8">
        <v>4481</v>
      </c>
      <c r="B4483" s="8" t="s">
        <v>7355</v>
      </c>
      <c r="C4483" s="8" t="s">
        <v>9123</v>
      </c>
      <c r="D4483" s="8" t="s">
        <v>9124</v>
      </c>
      <c r="E4483" s="13">
        <v>149000</v>
      </c>
      <c r="F4483" s="14">
        <v>298148</v>
      </c>
    </row>
    <row r="4484" spans="1:6" x14ac:dyDescent="0.3">
      <c r="A4484" s="8">
        <v>4482</v>
      </c>
      <c r="B4484" s="8" t="s">
        <v>7355</v>
      </c>
      <c r="C4484" s="8" t="s">
        <v>9125</v>
      </c>
      <c r="D4484" s="8" t="s">
        <v>9126</v>
      </c>
      <c r="E4484" s="13">
        <v>0</v>
      </c>
      <c r="F4484" s="14">
        <v>0</v>
      </c>
    </row>
    <row r="4485" spans="1:6" x14ac:dyDescent="0.3">
      <c r="A4485" s="8">
        <v>4483</v>
      </c>
      <c r="B4485" s="8" t="s">
        <v>7355</v>
      </c>
      <c r="C4485" s="8" t="s">
        <v>9127</v>
      </c>
      <c r="D4485" s="8" t="s">
        <v>9128</v>
      </c>
      <c r="E4485" s="13">
        <v>0</v>
      </c>
      <c r="F4485" s="14">
        <v>0</v>
      </c>
    </row>
    <row r="4486" spans="1:6" x14ac:dyDescent="0.3">
      <c r="A4486" s="8">
        <v>4484</v>
      </c>
      <c r="B4486" s="8" t="s">
        <v>7355</v>
      </c>
      <c r="C4486" s="8" t="s">
        <v>9129</v>
      </c>
      <c r="D4486" s="8" t="s">
        <v>9130</v>
      </c>
      <c r="E4486" s="13">
        <v>0</v>
      </c>
      <c r="F4486" s="14">
        <v>0</v>
      </c>
    </row>
    <row r="4487" spans="1:6" x14ac:dyDescent="0.3">
      <c r="A4487" s="8">
        <v>4485</v>
      </c>
      <c r="B4487" s="8" t="s">
        <v>7355</v>
      </c>
      <c r="C4487" s="8" t="s">
        <v>9131</v>
      </c>
      <c r="D4487" s="8" t="s">
        <v>9132</v>
      </c>
      <c r="E4487" s="13">
        <v>0</v>
      </c>
      <c r="F4487" s="14">
        <v>0</v>
      </c>
    </row>
    <row r="4488" spans="1:6" x14ac:dyDescent="0.3">
      <c r="A4488" s="8">
        <v>4486</v>
      </c>
      <c r="B4488" s="8" t="s">
        <v>7355</v>
      </c>
      <c r="C4488" s="8" t="s">
        <v>9133</v>
      </c>
      <c r="D4488" s="8" t="s">
        <v>9134</v>
      </c>
      <c r="E4488" s="13">
        <v>0</v>
      </c>
      <c r="F4488" s="14">
        <v>0</v>
      </c>
    </row>
    <row r="4489" spans="1:6" x14ac:dyDescent="0.3">
      <c r="A4489" s="8">
        <v>4487</v>
      </c>
      <c r="B4489" s="8" t="s">
        <v>7355</v>
      </c>
      <c r="C4489" s="8" t="s">
        <v>9135</v>
      </c>
      <c r="D4489" s="8" t="s">
        <v>9136</v>
      </c>
      <c r="E4489" s="13">
        <v>0</v>
      </c>
      <c r="F4489" s="14">
        <v>0</v>
      </c>
    </row>
    <row r="4490" spans="1:6" x14ac:dyDescent="0.3">
      <c r="A4490" s="8">
        <v>4488</v>
      </c>
      <c r="B4490" s="8" t="s">
        <v>7368</v>
      </c>
      <c r="C4490" s="8" t="s">
        <v>9137</v>
      </c>
      <c r="D4490" s="8" t="s">
        <v>9138</v>
      </c>
      <c r="E4490" s="13">
        <v>68600</v>
      </c>
      <c r="F4490" s="14">
        <v>137037</v>
      </c>
    </row>
    <row r="4491" spans="1:6" x14ac:dyDescent="0.3">
      <c r="A4491" s="8">
        <v>4489</v>
      </c>
      <c r="B4491" s="8" t="s">
        <v>7368</v>
      </c>
      <c r="C4491" s="8" t="s">
        <v>9139</v>
      </c>
      <c r="D4491" s="8" t="s">
        <v>9140</v>
      </c>
      <c r="E4491" s="13">
        <v>0</v>
      </c>
      <c r="F4491" s="14">
        <v>132000</v>
      </c>
    </row>
    <row r="4492" spans="1:6" x14ac:dyDescent="0.3">
      <c r="A4492" s="8">
        <v>4490</v>
      </c>
      <c r="B4492" s="8" t="s">
        <v>7368</v>
      </c>
      <c r="C4492" s="8" t="s">
        <v>9141</v>
      </c>
      <c r="D4492" s="8" t="s">
        <v>9142</v>
      </c>
      <c r="E4492" s="13">
        <v>90500</v>
      </c>
      <c r="F4492" s="14">
        <v>181000</v>
      </c>
    </row>
    <row r="4493" spans="1:6" x14ac:dyDescent="0.3">
      <c r="A4493" s="8">
        <v>4491</v>
      </c>
      <c r="B4493" s="8" t="s">
        <v>7368</v>
      </c>
      <c r="C4493" s="8" t="s">
        <v>9143</v>
      </c>
      <c r="D4493" s="8" t="s">
        <v>9144</v>
      </c>
      <c r="E4493" s="13">
        <v>0</v>
      </c>
      <c r="F4493" s="14">
        <v>0</v>
      </c>
    </row>
    <row r="4494" spans="1:6" x14ac:dyDescent="0.3">
      <c r="A4494" s="8">
        <v>4492</v>
      </c>
      <c r="B4494" s="8" t="s">
        <v>7368</v>
      </c>
      <c r="C4494" s="8" t="s">
        <v>9145</v>
      </c>
      <c r="D4494" s="8" t="s">
        <v>9146</v>
      </c>
      <c r="E4494" s="13">
        <v>48500</v>
      </c>
      <c r="F4494" s="14">
        <v>97222</v>
      </c>
    </row>
    <row r="4495" spans="1:6" x14ac:dyDescent="0.3">
      <c r="A4495" s="8">
        <v>4493</v>
      </c>
      <c r="B4495" s="8" t="s">
        <v>7368</v>
      </c>
      <c r="C4495" s="8" t="s">
        <v>9147</v>
      </c>
      <c r="D4495" s="8" t="s">
        <v>9148</v>
      </c>
      <c r="E4495" s="13">
        <v>30000</v>
      </c>
      <c r="F4495" s="14">
        <v>92000</v>
      </c>
    </row>
    <row r="4496" spans="1:6" x14ac:dyDescent="0.3">
      <c r="A4496" s="8">
        <v>4494</v>
      </c>
      <c r="B4496" s="8" t="s">
        <v>7368</v>
      </c>
      <c r="C4496" s="8" t="s">
        <v>9149</v>
      </c>
      <c r="D4496" s="8" t="s">
        <v>9150</v>
      </c>
      <c r="E4496" s="13">
        <v>0</v>
      </c>
      <c r="F4496" s="14">
        <v>0</v>
      </c>
    </row>
    <row r="4497" spans="1:6" x14ac:dyDescent="0.3">
      <c r="A4497" s="8">
        <v>4495</v>
      </c>
      <c r="B4497" s="8" t="s">
        <v>7681</v>
      </c>
      <c r="C4497" s="8" t="s">
        <v>9151</v>
      </c>
      <c r="D4497" s="8" t="s">
        <v>9152</v>
      </c>
      <c r="E4497" s="13">
        <v>0</v>
      </c>
      <c r="F4497" s="14">
        <v>484000</v>
      </c>
    </row>
    <row r="4498" spans="1:6" x14ac:dyDescent="0.3">
      <c r="A4498" s="8">
        <v>4496</v>
      </c>
      <c r="B4498" s="8" t="s">
        <v>7681</v>
      </c>
      <c r="C4498" s="8" t="s">
        <v>9153</v>
      </c>
      <c r="D4498" s="8" t="s">
        <v>9154</v>
      </c>
      <c r="E4498" s="13">
        <v>362000</v>
      </c>
      <c r="F4498" s="14">
        <v>724074</v>
      </c>
    </row>
    <row r="4499" spans="1:6" x14ac:dyDescent="0.3">
      <c r="A4499" s="8">
        <v>4497</v>
      </c>
      <c r="B4499" s="8" t="s">
        <v>7681</v>
      </c>
      <c r="C4499" s="8" t="s">
        <v>9155</v>
      </c>
      <c r="D4499" s="8" t="s">
        <v>9156</v>
      </c>
      <c r="E4499" s="13">
        <v>0</v>
      </c>
      <c r="F4499" s="14">
        <v>0</v>
      </c>
    </row>
    <row r="4500" spans="1:6" x14ac:dyDescent="0.3">
      <c r="A4500" s="8">
        <v>4498</v>
      </c>
      <c r="B4500" s="8" t="s">
        <v>7681</v>
      </c>
      <c r="C4500" s="8" t="s">
        <v>9157</v>
      </c>
      <c r="D4500" s="8" t="s">
        <v>9158</v>
      </c>
      <c r="E4500" s="13">
        <v>0</v>
      </c>
      <c r="F4500" s="14">
        <v>0</v>
      </c>
    </row>
    <row r="4501" spans="1:6" x14ac:dyDescent="0.3">
      <c r="A4501" s="8">
        <v>4499</v>
      </c>
      <c r="B4501" s="8" t="s">
        <v>7694</v>
      </c>
      <c r="C4501" s="8" t="s">
        <v>9159</v>
      </c>
      <c r="D4501" s="8" t="s">
        <v>9160</v>
      </c>
      <c r="E4501" s="13">
        <v>131000</v>
      </c>
      <c r="F4501" s="14">
        <v>262037</v>
      </c>
    </row>
    <row r="4502" spans="1:6" x14ac:dyDescent="0.3">
      <c r="A4502" s="8">
        <v>4500</v>
      </c>
      <c r="B4502" s="8" t="s">
        <v>7694</v>
      </c>
      <c r="C4502" s="8" t="s">
        <v>9161</v>
      </c>
      <c r="D4502" s="8" t="s">
        <v>9162</v>
      </c>
      <c r="E4502" s="13">
        <v>96000</v>
      </c>
      <c r="F4502" s="14">
        <v>191667</v>
      </c>
    </row>
    <row r="4503" spans="1:6" x14ac:dyDescent="0.3">
      <c r="A4503" s="8">
        <v>4501</v>
      </c>
      <c r="B4503" s="8" t="s">
        <v>7694</v>
      </c>
      <c r="C4503" s="8" t="s">
        <v>9163</v>
      </c>
      <c r="D4503" s="8" t="s">
        <v>9164</v>
      </c>
      <c r="E4503" s="13">
        <v>108000</v>
      </c>
      <c r="F4503" s="14">
        <v>194444</v>
      </c>
    </row>
    <row r="4504" spans="1:6" x14ac:dyDescent="0.3">
      <c r="A4504" s="8">
        <v>4502</v>
      </c>
      <c r="B4504" s="8" t="s">
        <v>7694</v>
      </c>
      <c r="C4504" s="8" t="s">
        <v>9165</v>
      </c>
      <c r="D4504" s="8" t="s">
        <v>9166</v>
      </c>
      <c r="E4504" s="13">
        <v>240000</v>
      </c>
      <c r="F4504" s="14">
        <v>435185</v>
      </c>
    </row>
    <row r="4505" spans="1:6" x14ac:dyDescent="0.3">
      <c r="A4505" s="8">
        <v>4503</v>
      </c>
      <c r="B4505" s="8" t="s">
        <v>7694</v>
      </c>
      <c r="C4505" s="8" t="s">
        <v>9167</v>
      </c>
      <c r="D4505" s="8" t="s">
        <v>9168</v>
      </c>
      <c r="E4505" s="13">
        <v>0</v>
      </c>
      <c r="F4505" s="14">
        <v>2200000</v>
      </c>
    </row>
    <row r="4506" spans="1:6" x14ac:dyDescent="0.3">
      <c r="A4506" s="8">
        <v>4504</v>
      </c>
      <c r="B4506" s="8" t="s">
        <v>7694</v>
      </c>
      <c r="C4506" s="8" t="s">
        <v>9169</v>
      </c>
      <c r="D4506" s="8" t="s">
        <v>9170</v>
      </c>
      <c r="E4506" s="13">
        <v>0</v>
      </c>
      <c r="F4506" s="14">
        <v>794545</v>
      </c>
    </row>
    <row r="4507" spans="1:6" x14ac:dyDescent="0.3">
      <c r="A4507" s="8">
        <v>4505</v>
      </c>
      <c r="B4507" s="8" t="s">
        <v>7694</v>
      </c>
      <c r="C4507" s="8" t="s">
        <v>9171</v>
      </c>
      <c r="D4507" s="8" t="s">
        <v>9172</v>
      </c>
      <c r="E4507" s="13">
        <v>0</v>
      </c>
      <c r="F4507" s="14">
        <v>810185</v>
      </c>
    </row>
    <row r="4508" spans="1:6" x14ac:dyDescent="0.3">
      <c r="A4508" s="8">
        <v>4506</v>
      </c>
      <c r="B4508" s="8" t="s">
        <v>7694</v>
      </c>
      <c r="C4508" s="8" t="s">
        <v>9173</v>
      </c>
      <c r="D4508" s="8" t="s">
        <v>9174</v>
      </c>
      <c r="E4508" s="13">
        <v>0</v>
      </c>
      <c r="F4508" s="14">
        <v>0</v>
      </c>
    </row>
    <row r="4509" spans="1:6" x14ac:dyDescent="0.3">
      <c r="A4509" s="8">
        <v>4507</v>
      </c>
      <c r="B4509" s="8" t="s">
        <v>7694</v>
      </c>
      <c r="C4509" s="8" t="s">
        <v>9175</v>
      </c>
      <c r="D4509" s="8" t="s">
        <v>9176</v>
      </c>
      <c r="E4509" s="13">
        <v>0</v>
      </c>
      <c r="F4509" s="14">
        <v>0</v>
      </c>
    </row>
    <row r="4510" spans="1:6" x14ac:dyDescent="0.3">
      <c r="A4510" s="8">
        <v>4508</v>
      </c>
      <c r="B4510" s="8" t="s">
        <v>7694</v>
      </c>
      <c r="C4510" s="8" t="s">
        <v>9177</v>
      </c>
      <c r="D4510" s="8" t="s">
        <v>9178</v>
      </c>
      <c r="E4510" s="13">
        <v>0</v>
      </c>
      <c r="F4510" s="14">
        <v>0</v>
      </c>
    </row>
    <row r="4511" spans="1:6" x14ac:dyDescent="0.3">
      <c r="A4511" s="8">
        <v>4509</v>
      </c>
      <c r="B4511" s="8" t="s">
        <v>7694</v>
      </c>
      <c r="C4511" s="8" t="s">
        <v>9179</v>
      </c>
      <c r="D4511" s="8" t="s">
        <v>9180</v>
      </c>
      <c r="E4511" s="13">
        <v>0</v>
      </c>
      <c r="F4511" s="14">
        <v>0</v>
      </c>
    </row>
    <row r="4512" spans="1:6" x14ac:dyDescent="0.3">
      <c r="A4512" s="8">
        <v>4510</v>
      </c>
      <c r="B4512" s="8" t="s">
        <v>7694</v>
      </c>
      <c r="C4512" s="8" t="s">
        <v>9181</v>
      </c>
      <c r="D4512" s="8" t="s">
        <v>9182</v>
      </c>
      <c r="E4512" s="13">
        <v>108000</v>
      </c>
      <c r="F4512" s="14">
        <v>194444</v>
      </c>
    </row>
    <row r="4513" spans="1:6" x14ac:dyDescent="0.3">
      <c r="A4513" s="8">
        <v>4511</v>
      </c>
      <c r="B4513" s="8" t="s">
        <v>7694</v>
      </c>
      <c r="C4513" s="8" t="s">
        <v>9183</v>
      </c>
      <c r="D4513" s="8" t="s">
        <v>9184</v>
      </c>
      <c r="E4513" s="13">
        <v>0</v>
      </c>
      <c r="F4513" s="14">
        <v>0</v>
      </c>
    </row>
    <row r="4514" spans="1:6" x14ac:dyDescent="0.3">
      <c r="A4514" s="8">
        <v>4512</v>
      </c>
      <c r="B4514" s="8" t="s">
        <v>7694</v>
      </c>
      <c r="C4514" s="8" t="s">
        <v>9185</v>
      </c>
      <c r="D4514" s="8" t="s">
        <v>9186</v>
      </c>
      <c r="E4514" s="13">
        <v>416000</v>
      </c>
      <c r="F4514" s="14">
        <v>832407</v>
      </c>
    </row>
    <row r="4515" spans="1:6" x14ac:dyDescent="0.3">
      <c r="A4515" s="8">
        <v>4513</v>
      </c>
      <c r="B4515" s="8" t="s">
        <v>7694</v>
      </c>
      <c r="C4515" s="8" t="s">
        <v>9187</v>
      </c>
      <c r="D4515" s="8" t="s">
        <v>9188</v>
      </c>
      <c r="E4515" s="13">
        <v>1750000</v>
      </c>
      <c r="F4515" s="14">
        <v>3500000</v>
      </c>
    </row>
    <row r="4516" spans="1:6" x14ac:dyDescent="0.3">
      <c r="A4516" s="8">
        <v>4514</v>
      </c>
      <c r="B4516" s="8" t="s">
        <v>7694</v>
      </c>
      <c r="C4516" s="8" t="s">
        <v>9189</v>
      </c>
      <c r="D4516" s="8" t="s">
        <v>9190</v>
      </c>
      <c r="E4516" s="13">
        <v>2100000</v>
      </c>
      <c r="F4516" s="14">
        <v>4200000</v>
      </c>
    </row>
    <row r="4517" spans="1:6" x14ac:dyDescent="0.3">
      <c r="A4517" s="8">
        <v>4515</v>
      </c>
      <c r="B4517" s="8" t="s">
        <v>7694</v>
      </c>
      <c r="C4517" s="8" t="s">
        <v>9191</v>
      </c>
      <c r="D4517" s="8" t="s">
        <v>9192</v>
      </c>
      <c r="E4517" s="13">
        <v>0</v>
      </c>
      <c r="F4517" s="14">
        <v>0</v>
      </c>
    </row>
    <row r="4518" spans="1:6" x14ac:dyDescent="0.3">
      <c r="A4518" s="8">
        <v>4516</v>
      </c>
      <c r="B4518" s="8" t="s">
        <v>7694</v>
      </c>
      <c r="C4518" s="8" t="s">
        <v>9193</v>
      </c>
      <c r="D4518" s="8" t="s">
        <v>9194</v>
      </c>
      <c r="E4518" s="13">
        <v>240800</v>
      </c>
      <c r="F4518" s="14">
        <v>481481</v>
      </c>
    </row>
    <row r="4519" spans="1:6" x14ac:dyDescent="0.3">
      <c r="A4519" s="8">
        <v>4517</v>
      </c>
      <c r="B4519" s="8" t="s">
        <v>7694</v>
      </c>
      <c r="C4519" s="8" t="s">
        <v>9195</v>
      </c>
      <c r="D4519" s="8" t="s">
        <v>9196</v>
      </c>
      <c r="E4519" s="13">
        <v>0</v>
      </c>
      <c r="F4519" s="14">
        <v>0</v>
      </c>
    </row>
    <row r="4520" spans="1:6" x14ac:dyDescent="0.3">
      <c r="A4520" s="8">
        <v>4518</v>
      </c>
      <c r="B4520" s="8" t="s">
        <v>7694</v>
      </c>
      <c r="C4520" s="8" t="s">
        <v>9197</v>
      </c>
      <c r="D4520" s="8" t="s">
        <v>9198</v>
      </c>
      <c r="E4520" s="13">
        <v>251000</v>
      </c>
      <c r="F4520" s="14">
        <v>501852</v>
      </c>
    </row>
    <row r="4521" spans="1:6" x14ac:dyDescent="0.3">
      <c r="A4521" s="8">
        <v>4519</v>
      </c>
      <c r="B4521" s="8" t="s">
        <v>7694</v>
      </c>
      <c r="C4521" s="8" t="s">
        <v>9199</v>
      </c>
      <c r="D4521" s="8" t="s">
        <v>9200</v>
      </c>
      <c r="E4521" s="13">
        <v>0</v>
      </c>
      <c r="F4521" s="14">
        <v>513636</v>
      </c>
    </row>
    <row r="4522" spans="1:6" x14ac:dyDescent="0.3">
      <c r="A4522" s="8">
        <v>4520</v>
      </c>
      <c r="B4522" s="8" t="s">
        <v>7694</v>
      </c>
      <c r="C4522" s="8" t="s">
        <v>9201</v>
      </c>
      <c r="D4522" s="8" t="s">
        <v>9202</v>
      </c>
      <c r="E4522" s="13">
        <v>230000</v>
      </c>
      <c r="F4522" s="14">
        <v>460185</v>
      </c>
    </row>
    <row r="4523" spans="1:6" x14ac:dyDescent="0.3">
      <c r="A4523" s="8">
        <v>4521</v>
      </c>
      <c r="B4523" s="8" t="s">
        <v>7694</v>
      </c>
      <c r="C4523" s="8" t="s">
        <v>9203</v>
      </c>
      <c r="D4523" s="8" t="s">
        <v>9204</v>
      </c>
      <c r="E4523" s="13">
        <v>0</v>
      </c>
      <c r="F4523" s="14">
        <v>328000</v>
      </c>
    </row>
    <row r="4524" spans="1:6" x14ac:dyDescent="0.3">
      <c r="A4524" s="8">
        <v>4522</v>
      </c>
      <c r="B4524" s="8" t="s">
        <v>7694</v>
      </c>
      <c r="C4524" s="8" t="s">
        <v>9205</v>
      </c>
      <c r="D4524" s="8" t="s">
        <v>9206</v>
      </c>
      <c r="E4524" s="13">
        <v>0</v>
      </c>
      <c r="F4524" s="14">
        <v>2100000</v>
      </c>
    </row>
    <row r="4525" spans="1:6" x14ac:dyDescent="0.3">
      <c r="A4525" s="8">
        <v>4523</v>
      </c>
      <c r="B4525" s="8" t="s">
        <v>7694</v>
      </c>
      <c r="C4525" s="8" t="s">
        <v>9207</v>
      </c>
      <c r="D4525" s="8" t="s">
        <v>9208</v>
      </c>
      <c r="E4525" s="13">
        <v>230000</v>
      </c>
      <c r="F4525" s="14">
        <v>460185</v>
      </c>
    </row>
    <row r="4526" spans="1:6" x14ac:dyDescent="0.3">
      <c r="A4526" s="8">
        <v>4524</v>
      </c>
      <c r="B4526" s="8" t="s">
        <v>7694</v>
      </c>
      <c r="C4526" s="8" t="s">
        <v>9209</v>
      </c>
      <c r="D4526" s="8" t="s">
        <v>9210</v>
      </c>
      <c r="E4526" s="13">
        <v>0</v>
      </c>
      <c r="F4526" s="14">
        <v>889091</v>
      </c>
    </row>
    <row r="4527" spans="1:6" x14ac:dyDescent="0.3">
      <c r="A4527" s="8">
        <v>4525</v>
      </c>
      <c r="B4527" s="8" t="s">
        <v>7694</v>
      </c>
      <c r="C4527" s="8" t="s">
        <v>9211</v>
      </c>
      <c r="D4527" s="8" t="s">
        <v>9212</v>
      </c>
      <c r="E4527" s="13">
        <v>0</v>
      </c>
      <c r="F4527" s="14">
        <v>0</v>
      </c>
    </row>
    <row r="4528" spans="1:6" x14ac:dyDescent="0.3">
      <c r="A4528" s="8">
        <v>4526</v>
      </c>
      <c r="B4528" s="8" t="s">
        <v>7694</v>
      </c>
      <c r="C4528" s="8" t="s">
        <v>9213</v>
      </c>
      <c r="D4528" s="8" t="s">
        <v>9214</v>
      </c>
      <c r="E4528" s="13">
        <v>1650000</v>
      </c>
      <c r="F4528" s="14">
        <v>3300000</v>
      </c>
    </row>
    <row r="4529" spans="1:6" x14ac:dyDescent="0.3">
      <c r="A4529" s="8">
        <v>4527</v>
      </c>
      <c r="B4529" s="8" t="s">
        <v>7694</v>
      </c>
      <c r="C4529" s="8" t="s">
        <v>9215</v>
      </c>
      <c r="D4529" s="8" t="s">
        <v>9216</v>
      </c>
      <c r="E4529" s="13">
        <v>1400000</v>
      </c>
      <c r="F4529" s="14">
        <v>2800000</v>
      </c>
    </row>
    <row r="4530" spans="1:6" x14ac:dyDescent="0.3">
      <c r="A4530" s="8">
        <v>4528</v>
      </c>
      <c r="B4530" s="8" t="s">
        <v>7694</v>
      </c>
      <c r="C4530" s="8" t="s">
        <v>9217</v>
      </c>
      <c r="D4530" s="8" t="s">
        <v>9218</v>
      </c>
      <c r="E4530" s="13">
        <v>200000</v>
      </c>
      <c r="F4530" s="14">
        <v>400000</v>
      </c>
    </row>
    <row r="4531" spans="1:6" x14ac:dyDescent="0.3">
      <c r="A4531" s="8">
        <v>4529</v>
      </c>
      <c r="B4531" s="8" t="s">
        <v>7694</v>
      </c>
      <c r="C4531" s="8" t="s">
        <v>9219</v>
      </c>
      <c r="D4531" s="8" t="s">
        <v>9220</v>
      </c>
      <c r="E4531" s="13">
        <v>1350000</v>
      </c>
      <c r="F4531" s="14">
        <v>2700000</v>
      </c>
    </row>
    <row r="4532" spans="1:6" x14ac:dyDescent="0.3">
      <c r="A4532" s="8">
        <v>4530</v>
      </c>
      <c r="B4532" s="8" t="s">
        <v>7694</v>
      </c>
      <c r="C4532" s="8" t="s">
        <v>9221</v>
      </c>
      <c r="D4532" s="8" t="s">
        <v>9222</v>
      </c>
      <c r="E4532" s="13">
        <v>0</v>
      </c>
      <c r="F4532" s="14">
        <v>555455</v>
      </c>
    </row>
    <row r="4533" spans="1:6" x14ac:dyDescent="0.3">
      <c r="A4533" s="8">
        <v>4531</v>
      </c>
      <c r="B4533" s="8" t="s">
        <v>7694</v>
      </c>
      <c r="C4533" s="8" t="s">
        <v>9223</v>
      </c>
      <c r="D4533" s="8" t="s">
        <v>9224</v>
      </c>
      <c r="E4533" s="13">
        <v>0</v>
      </c>
      <c r="F4533" s="14">
        <v>0</v>
      </c>
    </row>
    <row r="4534" spans="1:6" x14ac:dyDescent="0.3">
      <c r="A4534" s="8">
        <v>4532</v>
      </c>
      <c r="B4534" s="8" t="s">
        <v>7694</v>
      </c>
      <c r="C4534" s="8" t="s">
        <v>9225</v>
      </c>
      <c r="D4534" s="8" t="s">
        <v>9226</v>
      </c>
      <c r="E4534" s="13">
        <v>0</v>
      </c>
      <c r="F4534" s="14">
        <v>0</v>
      </c>
    </row>
    <row r="4535" spans="1:6" x14ac:dyDescent="0.3">
      <c r="A4535" s="8">
        <v>4533</v>
      </c>
      <c r="B4535" s="8" t="s">
        <v>7694</v>
      </c>
      <c r="C4535" s="8" t="s">
        <v>9227</v>
      </c>
      <c r="D4535" s="8" t="s">
        <v>9228</v>
      </c>
      <c r="E4535" s="13">
        <v>0</v>
      </c>
      <c r="F4535" s="14">
        <v>0</v>
      </c>
    </row>
    <row r="4536" spans="1:6" x14ac:dyDescent="0.3">
      <c r="A4536" s="8">
        <v>4534</v>
      </c>
      <c r="B4536" s="8" t="s">
        <v>7694</v>
      </c>
      <c r="C4536" s="8" t="s">
        <v>9229</v>
      </c>
      <c r="D4536" s="8" t="s">
        <v>9230</v>
      </c>
      <c r="E4536" s="13">
        <v>0</v>
      </c>
      <c r="F4536" s="14">
        <v>0</v>
      </c>
    </row>
    <row r="4537" spans="1:6" x14ac:dyDescent="0.3">
      <c r="A4537" s="8">
        <v>4535</v>
      </c>
      <c r="B4537" s="8" t="s">
        <v>7694</v>
      </c>
      <c r="C4537" s="8" t="s">
        <v>9231</v>
      </c>
      <c r="D4537" s="8" t="s">
        <v>9232</v>
      </c>
      <c r="E4537" s="13">
        <v>0</v>
      </c>
      <c r="F4537" s="14">
        <v>0</v>
      </c>
    </row>
    <row r="4538" spans="1:6" x14ac:dyDescent="0.3">
      <c r="A4538" s="8">
        <v>4536</v>
      </c>
      <c r="B4538" s="8" t="s">
        <v>7694</v>
      </c>
      <c r="C4538" s="8" t="s">
        <v>9233</v>
      </c>
      <c r="D4538" s="8" t="s">
        <v>9234</v>
      </c>
      <c r="E4538" s="13">
        <v>0</v>
      </c>
      <c r="F4538" s="14">
        <v>740909</v>
      </c>
    </row>
    <row r="4539" spans="1:6" x14ac:dyDescent="0.3">
      <c r="A4539" s="8">
        <v>4537</v>
      </c>
      <c r="B4539" s="8" t="s">
        <v>7694</v>
      </c>
      <c r="C4539" s="8" t="s">
        <v>9235</v>
      </c>
      <c r="D4539" s="8" t="s">
        <v>9236</v>
      </c>
      <c r="E4539" s="13">
        <v>1532000</v>
      </c>
      <c r="F4539" s="14">
        <v>2560185</v>
      </c>
    </row>
    <row r="4540" spans="1:6" x14ac:dyDescent="0.3">
      <c r="A4540" s="8">
        <v>4538</v>
      </c>
      <c r="B4540" s="8" t="s">
        <v>7694</v>
      </c>
      <c r="C4540" s="8" t="s">
        <v>9237</v>
      </c>
      <c r="D4540" s="8" t="s">
        <v>9238</v>
      </c>
      <c r="E4540" s="13">
        <v>831500</v>
      </c>
      <c r="F4540" s="14">
        <v>1388889</v>
      </c>
    </row>
    <row r="4541" spans="1:6" x14ac:dyDescent="0.3">
      <c r="A4541" s="8">
        <v>4539</v>
      </c>
      <c r="B4541" s="8" t="s">
        <v>7694</v>
      </c>
      <c r="C4541" s="8" t="s">
        <v>9239</v>
      </c>
      <c r="D4541" s="8" t="s">
        <v>9240</v>
      </c>
      <c r="E4541" s="13">
        <v>831500</v>
      </c>
      <c r="F4541" s="14">
        <v>1388889</v>
      </c>
    </row>
    <row r="4542" spans="1:6" x14ac:dyDescent="0.3">
      <c r="A4542" s="8">
        <v>4540</v>
      </c>
      <c r="B4542" s="8" t="s">
        <v>7694</v>
      </c>
      <c r="C4542" s="8" t="s">
        <v>9241</v>
      </c>
      <c r="D4542" s="8" t="s">
        <v>9242</v>
      </c>
      <c r="E4542" s="13">
        <v>0</v>
      </c>
      <c r="F4542" s="14">
        <v>0</v>
      </c>
    </row>
    <row r="4543" spans="1:6" x14ac:dyDescent="0.3">
      <c r="A4543" s="8">
        <v>4541</v>
      </c>
      <c r="B4543" s="8" t="s">
        <v>7694</v>
      </c>
      <c r="C4543" s="8" t="s">
        <v>9243</v>
      </c>
      <c r="D4543" s="8" t="s">
        <v>9244</v>
      </c>
      <c r="E4543" s="13">
        <v>0</v>
      </c>
      <c r="F4543" s="14">
        <v>0</v>
      </c>
    </row>
    <row r="4544" spans="1:6" x14ac:dyDescent="0.3">
      <c r="A4544" s="8">
        <v>4542</v>
      </c>
      <c r="B4544" s="8" t="s">
        <v>7694</v>
      </c>
      <c r="C4544" s="8" t="s">
        <v>9245</v>
      </c>
      <c r="D4544" s="8" t="s">
        <v>9246</v>
      </c>
      <c r="E4544" s="13">
        <v>0</v>
      </c>
      <c r="F4544" s="14">
        <v>0</v>
      </c>
    </row>
    <row r="4545" spans="1:6" x14ac:dyDescent="0.3">
      <c r="A4545" s="8">
        <v>4543</v>
      </c>
      <c r="B4545" s="8" t="s">
        <v>6516</v>
      </c>
      <c r="C4545" s="8" t="s">
        <v>9247</v>
      </c>
      <c r="D4545" s="8" t="s">
        <v>9248</v>
      </c>
      <c r="E4545" s="13">
        <v>0</v>
      </c>
      <c r="F4545" s="14">
        <v>0</v>
      </c>
    </row>
    <row r="4546" spans="1:6" x14ac:dyDescent="0.3">
      <c r="A4546" s="8">
        <v>4544</v>
      </c>
      <c r="B4546" s="8" t="s">
        <v>6516</v>
      </c>
      <c r="C4546" s="8" t="s">
        <v>9249</v>
      </c>
      <c r="D4546" s="8" t="s">
        <v>9250</v>
      </c>
      <c r="E4546" s="13">
        <v>0</v>
      </c>
      <c r="F4546" s="14">
        <v>0</v>
      </c>
    </row>
    <row r="4547" spans="1:6" x14ac:dyDescent="0.3">
      <c r="A4547" s="8">
        <v>4545</v>
      </c>
      <c r="B4547" s="8" t="s">
        <v>7355</v>
      </c>
      <c r="C4547" s="8" t="s">
        <v>9251</v>
      </c>
      <c r="D4547" s="8" t="s">
        <v>9252</v>
      </c>
      <c r="E4547" s="13">
        <v>162000</v>
      </c>
      <c r="F4547" s="14">
        <v>290000</v>
      </c>
    </row>
    <row r="4548" spans="1:6" x14ac:dyDescent="0.3">
      <c r="A4548" s="8">
        <v>4546</v>
      </c>
      <c r="B4548" s="8" t="s">
        <v>7355</v>
      </c>
      <c r="C4548" s="8" t="s">
        <v>9253</v>
      </c>
      <c r="D4548" s="8" t="s">
        <v>9254</v>
      </c>
      <c r="E4548" s="13">
        <v>246000</v>
      </c>
      <c r="F4548" s="14">
        <v>444000</v>
      </c>
    </row>
    <row r="4549" spans="1:6" x14ac:dyDescent="0.3">
      <c r="A4549" s="8">
        <v>4547</v>
      </c>
      <c r="B4549" s="8" t="s">
        <v>7355</v>
      </c>
      <c r="C4549" s="8" t="s">
        <v>9255</v>
      </c>
      <c r="D4549" s="8" t="s">
        <v>9256</v>
      </c>
      <c r="E4549" s="13">
        <v>0</v>
      </c>
      <c r="F4549" s="14">
        <v>0</v>
      </c>
    </row>
    <row r="4550" spans="1:6" x14ac:dyDescent="0.3">
      <c r="A4550" s="8">
        <v>4548</v>
      </c>
      <c r="B4550" s="8" t="s">
        <v>7355</v>
      </c>
      <c r="C4550" s="8" t="s">
        <v>9257</v>
      </c>
      <c r="D4550" s="8" t="s">
        <v>9258</v>
      </c>
      <c r="E4550" s="13">
        <v>143000</v>
      </c>
      <c r="F4550" s="14">
        <v>286111</v>
      </c>
    </row>
    <row r="4551" spans="1:6" x14ac:dyDescent="0.3">
      <c r="A4551" s="8">
        <v>4549</v>
      </c>
      <c r="B4551" s="8" t="s">
        <v>7355</v>
      </c>
      <c r="C4551" s="8" t="s">
        <v>9259</v>
      </c>
      <c r="D4551" s="8" t="s">
        <v>9260</v>
      </c>
      <c r="E4551" s="13">
        <v>88700</v>
      </c>
      <c r="F4551" s="14">
        <v>176852</v>
      </c>
    </row>
    <row r="4552" spans="1:6" x14ac:dyDescent="0.3">
      <c r="A4552" s="8">
        <v>4550</v>
      </c>
      <c r="B4552" s="8" t="s">
        <v>7355</v>
      </c>
      <c r="C4552" s="8" t="s">
        <v>9261</v>
      </c>
      <c r="D4552" s="8" t="s">
        <v>9262</v>
      </c>
      <c r="E4552" s="13">
        <v>0</v>
      </c>
      <c r="F4552" s="14">
        <v>0</v>
      </c>
    </row>
    <row r="4553" spans="1:6" x14ac:dyDescent="0.3">
      <c r="A4553" s="8">
        <v>4551</v>
      </c>
      <c r="B4553" s="8" t="s">
        <v>7355</v>
      </c>
      <c r="C4553" s="8" t="s">
        <v>9263</v>
      </c>
      <c r="D4553" s="8" t="s">
        <v>9264</v>
      </c>
      <c r="E4553" s="13">
        <v>0</v>
      </c>
      <c r="F4553" s="14">
        <v>0</v>
      </c>
    </row>
    <row r="4554" spans="1:6" x14ac:dyDescent="0.3">
      <c r="A4554" s="8">
        <v>4552</v>
      </c>
      <c r="B4554" s="8" t="s">
        <v>7355</v>
      </c>
      <c r="C4554" s="8" t="s">
        <v>9265</v>
      </c>
      <c r="D4554" s="8" t="s">
        <v>9266</v>
      </c>
      <c r="E4554" s="13">
        <v>87000</v>
      </c>
      <c r="F4554" s="14">
        <v>174074</v>
      </c>
    </row>
    <row r="4555" spans="1:6" x14ac:dyDescent="0.3">
      <c r="A4555" s="8">
        <v>4553</v>
      </c>
      <c r="B4555" s="8" t="s">
        <v>7355</v>
      </c>
      <c r="C4555" s="8" t="s">
        <v>9267</v>
      </c>
      <c r="D4555" s="8" t="s">
        <v>9268</v>
      </c>
      <c r="E4555" s="13">
        <v>0</v>
      </c>
      <c r="F4555" s="14">
        <v>0</v>
      </c>
    </row>
    <row r="4556" spans="1:6" x14ac:dyDescent="0.3">
      <c r="A4556" s="8">
        <v>4554</v>
      </c>
      <c r="B4556" s="8" t="s">
        <v>7355</v>
      </c>
      <c r="C4556" s="8" t="s">
        <v>9269</v>
      </c>
      <c r="D4556" s="8" t="s">
        <v>9270</v>
      </c>
      <c r="E4556" s="13">
        <v>0</v>
      </c>
      <c r="F4556" s="14">
        <v>0</v>
      </c>
    </row>
    <row r="4557" spans="1:6" x14ac:dyDescent="0.3">
      <c r="A4557" s="8">
        <v>4555</v>
      </c>
      <c r="B4557" s="8" t="s">
        <v>7355</v>
      </c>
      <c r="C4557" s="8" t="s">
        <v>9271</v>
      </c>
      <c r="D4557" s="8" t="s">
        <v>9272</v>
      </c>
      <c r="E4557" s="13">
        <v>0</v>
      </c>
      <c r="F4557" s="14">
        <v>0</v>
      </c>
    </row>
    <row r="4558" spans="1:6" x14ac:dyDescent="0.3">
      <c r="A4558" s="8">
        <v>4556</v>
      </c>
      <c r="B4558" s="8" t="s">
        <v>7355</v>
      </c>
      <c r="C4558" s="8" t="s">
        <v>9273</v>
      </c>
      <c r="D4558" s="8" t="s">
        <v>9274</v>
      </c>
      <c r="E4558" s="13">
        <v>0</v>
      </c>
      <c r="F4558" s="14">
        <v>0</v>
      </c>
    </row>
    <row r="4559" spans="1:6" x14ac:dyDescent="0.3">
      <c r="A4559" s="8">
        <v>4557</v>
      </c>
      <c r="B4559" s="8" t="s">
        <v>7355</v>
      </c>
      <c r="C4559" s="8" t="s">
        <v>9275</v>
      </c>
      <c r="D4559" s="8" t="s">
        <v>9276</v>
      </c>
      <c r="E4559" s="13">
        <v>0</v>
      </c>
      <c r="F4559" s="14">
        <v>0</v>
      </c>
    </row>
    <row r="4560" spans="1:6" x14ac:dyDescent="0.3">
      <c r="A4560" s="8">
        <v>4558</v>
      </c>
      <c r="B4560" s="8" t="s">
        <v>7355</v>
      </c>
      <c r="C4560" s="8" t="s">
        <v>9277</v>
      </c>
      <c r="D4560" s="8" t="s">
        <v>9278</v>
      </c>
      <c r="E4560" s="13">
        <v>0</v>
      </c>
      <c r="F4560" s="14">
        <v>0</v>
      </c>
    </row>
    <row r="4561" spans="1:6" x14ac:dyDescent="0.3">
      <c r="A4561" s="8">
        <v>4559</v>
      </c>
      <c r="B4561" s="8" t="s">
        <v>7368</v>
      </c>
      <c r="C4561" s="8" t="s">
        <v>9279</v>
      </c>
      <c r="D4561" s="8" t="s">
        <v>9280</v>
      </c>
      <c r="E4561" s="13">
        <v>48500</v>
      </c>
      <c r="F4561" s="14">
        <v>97222</v>
      </c>
    </row>
    <row r="4562" spans="1:6" x14ac:dyDescent="0.3">
      <c r="A4562" s="8">
        <v>4560</v>
      </c>
      <c r="B4562" s="8" t="s">
        <v>7368</v>
      </c>
      <c r="C4562" s="8" t="s">
        <v>9281</v>
      </c>
      <c r="D4562" s="8" t="s">
        <v>9282</v>
      </c>
      <c r="E4562" s="13">
        <v>0</v>
      </c>
      <c r="F4562" s="14">
        <v>264000</v>
      </c>
    </row>
    <row r="4563" spans="1:6" x14ac:dyDescent="0.3">
      <c r="A4563" s="8">
        <v>4561</v>
      </c>
      <c r="B4563" s="8" t="s">
        <v>7368</v>
      </c>
      <c r="C4563" s="8" t="s">
        <v>9283</v>
      </c>
      <c r="D4563" s="8" t="s">
        <v>9284</v>
      </c>
      <c r="E4563" s="13">
        <v>42000</v>
      </c>
      <c r="F4563" s="14">
        <v>83981</v>
      </c>
    </row>
    <row r="4564" spans="1:6" x14ac:dyDescent="0.3">
      <c r="A4564" s="8">
        <v>4562</v>
      </c>
      <c r="B4564" s="8" t="s">
        <v>7368</v>
      </c>
      <c r="C4564" s="8" t="s">
        <v>9285</v>
      </c>
      <c r="D4564" s="8" t="s">
        <v>9286</v>
      </c>
      <c r="E4564" s="13">
        <v>105000</v>
      </c>
      <c r="F4564" s="14">
        <v>210185</v>
      </c>
    </row>
    <row r="4565" spans="1:6" x14ac:dyDescent="0.3">
      <c r="A4565" s="8">
        <v>4563</v>
      </c>
      <c r="B4565" s="8" t="s">
        <v>7368</v>
      </c>
      <c r="C4565" s="8" t="s">
        <v>9287</v>
      </c>
      <c r="D4565" s="8" t="s">
        <v>9288</v>
      </c>
      <c r="E4565" s="13">
        <v>0</v>
      </c>
      <c r="F4565" s="14">
        <v>132000</v>
      </c>
    </row>
    <row r="4566" spans="1:6" x14ac:dyDescent="0.3">
      <c r="A4566" s="8">
        <v>4564</v>
      </c>
      <c r="B4566" s="8" t="s">
        <v>7368</v>
      </c>
      <c r="C4566" s="8" t="s">
        <v>9289</v>
      </c>
      <c r="D4566" s="8" t="s">
        <v>9290</v>
      </c>
      <c r="E4566" s="13">
        <v>0</v>
      </c>
      <c r="F4566" s="14">
        <v>0</v>
      </c>
    </row>
    <row r="4567" spans="1:6" x14ac:dyDescent="0.3">
      <c r="A4567" s="8">
        <v>4565</v>
      </c>
      <c r="B4567" s="8" t="s">
        <v>7368</v>
      </c>
      <c r="C4567" s="8" t="s">
        <v>9291</v>
      </c>
      <c r="D4567" s="8" t="s">
        <v>9292</v>
      </c>
      <c r="E4567" s="13">
        <v>0</v>
      </c>
      <c r="F4567" s="14">
        <v>0</v>
      </c>
    </row>
    <row r="4568" spans="1:6" x14ac:dyDescent="0.3">
      <c r="A4568" s="8">
        <v>4566</v>
      </c>
      <c r="B4568" s="8" t="s">
        <v>7681</v>
      </c>
      <c r="C4568" s="8" t="s">
        <v>9293</v>
      </c>
      <c r="D4568" s="8" t="s">
        <v>9294</v>
      </c>
      <c r="E4568" s="13">
        <v>0</v>
      </c>
      <c r="F4568" s="14">
        <v>0</v>
      </c>
    </row>
    <row r="4569" spans="1:6" x14ac:dyDescent="0.3">
      <c r="A4569" s="8">
        <v>4567</v>
      </c>
      <c r="B4569" s="8" t="s">
        <v>7681</v>
      </c>
      <c r="C4569" s="8" t="s">
        <v>9295</v>
      </c>
      <c r="D4569" s="8" t="s">
        <v>9296</v>
      </c>
      <c r="E4569" s="13">
        <v>0</v>
      </c>
      <c r="F4569" s="14">
        <v>0</v>
      </c>
    </row>
    <row r="4570" spans="1:6" x14ac:dyDescent="0.3">
      <c r="A4570" s="8">
        <v>4568</v>
      </c>
      <c r="B4570" s="8" t="s">
        <v>4148</v>
      </c>
      <c r="C4570" s="8" t="s">
        <v>9297</v>
      </c>
      <c r="D4570" s="8" t="s">
        <v>9298</v>
      </c>
      <c r="E4570" s="13">
        <v>0</v>
      </c>
      <c r="F4570" s="14">
        <v>0</v>
      </c>
    </row>
    <row r="4571" spans="1:6" x14ac:dyDescent="0.3">
      <c r="A4571" s="8">
        <v>4569</v>
      </c>
      <c r="B4571" s="8" t="s">
        <v>4148</v>
      </c>
      <c r="C4571" s="8" t="s">
        <v>9299</v>
      </c>
      <c r="D4571" s="8" t="s">
        <v>9300</v>
      </c>
      <c r="E4571" s="13">
        <v>0</v>
      </c>
      <c r="F4571" s="14">
        <v>0</v>
      </c>
    </row>
    <row r="4572" spans="1:6" x14ac:dyDescent="0.3">
      <c r="A4572" s="8">
        <v>4570</v>
      </c>
      <c r="B4572" s="8" t="s">
        <v>6022</v>
      </c>
      <c r="C4572" s="8" t="s">
        <v>9301</v>
      </c>
      <c r="D4572" s="8" t="s">
        <v>9302</v>
      </c>
      <c r="E4572" s="13">
        <v>170000</v>
      </c>
      <c r="F4572" s="14">
        <v>339815</v>
      </c>
    </row>
    <row r="4573" spans="1:6" x14ac:dyDescent="0.3">
      <c r="A4573" s="8">
        <v>4571</v>
      </c>
      <c r="B4573" s="8" t="s">
        <v>6029</v>
      </c>
      <c r="C4573" s="8" t="s">
        <v>9303</v>
      </c>
      <c r="D4573" s="8" t="s">
        <v>9304</v>
      </c>
      <c r="E4573" s="13">
        <v>165000</v>
      </c>
      <c r="F4573" s="14">
        <v>329630</v>
      </c>
    </row>
    <row r="4574" spans="1:6" x14ac:dyDescent="0.3">
      <c r="A4574" s="8">
        <v>4572</v>
      </c>
      <c r="B4574" s="8" t="s">
        <v>6029</v>
      </c>
      <c r="C4574" s="8" t="s">
        <v>9305</v>
      </c>
      <c r="D4574" s="8" t="s">
        <v>9306</v>
      </c>
      <c r="E4574" s="13">
        <v>214000</v>
      </c>
      <c r="F4574" s="14">
        <v>427778</v>
      </c>
    </row>
    <row r="4575" spans="1:6" x14ac:dyDescent="0.3">
      <c r="A4575" s="8">
        <v>4573</v>
      </c>
      <c r="B4575" s="8" t="s">
        <v>6029</v>
      </c>
      <c r="C4575" s="8" t="s">
        <v>9307</v>
      </c>
      <c r="D4575" s="8" t="s">
        <v>9308</v>
      </c>
      <c r="E4575" s="13">
        <v>0</v>
      </c>
      <c r="F4575" s="14">
        <v>507000</v>
      </c>
    </row>
    <row r="4576" spans="1:6" x14ac:dyDescent="0.3">
      <c r="A4576" s="8">
        <v>4574</v>
      </c>
      <c r="B4576" s="8" t="s">
        <v>6022</v>
      </c>
      <c r="C4576" s="8" t="s">
        <v>9309</v>
      </c>
      <c r="D4576" s="8" t="s">
        <v>9310</v>
      </c>
      <c r="E4576" s="13">
        <v>216000</v>
      </c>
      <c r="F4576" s="14">
        <v>432407</v>
      </c>
    </row>
    <row r="4577" spans="1:6" x14ac:dyDescent="0.3">
      <c r="A4577" s="8">
        <v>4575</v>
      </c>
      <c r="B4577" s="8" t="s">
        <v>6022</v>
      </c>
      <c r="C4577" s="8" t="s">
        <v>9311</v>
      </c>
      <c r="D4577" s="8" t="s">
        <v>9312</v>
      </c>
      <c r="E4577" s="13">
        <v>104000</v>
      </c>
      <c r="F4577" s="14">
        <v>208333</v>
      </c>
    </row>
    <row r="4578" spans="1:6" x14ac:dyDescent="0.3">
      <c r="A4578" s="8">
        <v>4576</v>
      </c>
      <c r="B4578" s="8" t="s">
        <v>6022</v>
      </c>
      <c r="C4578" s="8" t="s">
        <v>9313</v>
      </c>
      <c r="D4578" s="8" t="s">
        <v>9314</v>
      </c>
      <c r="E4578" s="13">
        <v>142000</v>
      </c>
      <c r="F4578" s="14">
        <v>284259</v>
      </c>
    </row>
    <row r="4579" spans="1:6" x14ac:dyDescent="0.3">
      <c r="A4579" s="8">
        <v>4577</v>
      </c>
      <c r="B4579" s="8" t="s">
        <v>6022</v>
      </c>
      <c r="C4579" s="8" t="s">
        <v>9315</v>
      </c>
      <c r="D4579" s="8" t="s">
        <v>9316</v>
      </c>
      <c r="E4579" s="13">
        <v>225000</v>
      </c>
      <c r="F4579" s="14">
        <v>450000</v>
      </c>
    </row>
    <row r="4580" spans="1:6" x14ac:dyDescent="0.3">
      <c r="A4580" s="8">
        <v>4578</v>
      </c>
      <c r="B4580" s="8" t="s">
        <v>6029</v>
      </c>
      <c r="C4580" s="8" t="s">
        <v>9317</v>
      </c>
      <c r="D4580" s="8" t="s">
        <v>9318</v>
      </c>
      <c r="E4580" s="13">
        <v>142000</v>
      </c>
      <c r="F4580" s="14">
        <v>284259</v>
      </c>
    </row>
    <row r="4581" spans="1:6" x14ac:dyDescent="0.3">
      <c r="A4581" s="8">
        <v>4579</v>
      </c>
      <c r="B4581" s="8" t="s">
        <v>6022</v>
      </c>
      <c r="C4581" s="8" t="s">
        <v>9319</v>
      </c>
      <c r="D4581" s="8" t="s">
        <v>9320</v>
      </c>
      <c r="E4581" s="13">
        <v>210000</v>
      </c>
      <c r="F4581" s="14">
        <v>420370</v>
      </c>
    </row>
    <row r="4582" spans="1:6" x14ac:dyDescent="0.3">
      <c r="A4582" s="8">
        <v>4580</v>
      </c>
      <c r="B4582" s="8" t="s">
        <v>6029</v>
      </c>
      <c r="C4582" s="8" t="s">
        <v>9321</v>
      </c>
      <c r="D4582" s="8" t="s">
        <v>9322</v>
      </c>
      <c r="E4582" s="13">
        <v>214000</v>
      </c>
      <c r="F4582" s="14">
        <v>427778</v>
      </c>
    </row>
    <row r="4583" spans="1:6" x14ac:dyDescent="0.3">
      <c r="A4583" s="8">
        <v>4581</v>
      </c>
      <c r="B4583" s="8" t="s">
        <v>6022</v>
      </c>
      <c r="C4583" s="8" t="s">
        <v>9323</v>
      </c>
      <c r="D4583" s="8" t="s">
        <v>9324</v>
      </c>
      <c r="E4583" s="13">
        <v>0</v>
      </c>
      <c r="F4583" s="14">
        <v>0</v>
      </c>
    </row>
    <row r="4584" spans="1:6" x14ac:dyDescent="0.3">
      <c r="A4584" s="8">
        <v>4582</v>
      </c>
      <c r="B4584" s="8" t="s">
        <v>6022</v>
      </c>
      <c r="C4584" s="8" t="s">
        <v>9325</v>
      </c>
      <c r="D4584" s="8" t="s">
        <v>9326</v>
      </c>
      <c r="E4584" s="13">
        <v>0</v>
      </c>
      <c r="F4584" s="14">
        <v>0</v>
      </c>
    </row>
    <row r="4585" spans="1:6" x14ac:dyDescent="0.3">
      <c r="A4585" s="8">
        <v>4583</v>
      </c>
      <c r="B4585" s="8" t="s">
        <v>6022</v>
      </c>
      <c r="C4585" s="8" t="s">
        <v>9327</v>
      </c>
      <c r="D4585" s="8" t="s">
        <v>9328</v>
      </c>
      <c r="E4585" s="13">
        <v>0</v>
      </c>
      <c r="F4585" s="14">
        <v>0</v>
      </c>
    </row>
    <row r="4586" spans="1:6" x14ac:dyDescent="0.3">
      <c r="A4586" s="8">
        <v>4584</v>
      </c>
      <c r="B4586" s="8" t="s">
        <v>6022</v>
      </c>
      <c r="C4586" s="8" t="s">
        <v>9329</v>
      </c>
      <c r="D4586" s="8" t="s">
        <v>9330</v>
      </c>
      <c r="E4586" s="13">
        <v>0</v>
      </c>
      <c r="F4586" s="14">
        <v>0</v>
      </c>
    </row>
    <row r="4587" spans="1:6" x14ac:dyDescent="0.3">
      <c r="A4587" s="8">
        <v>4585</v>
      </c>
      <c r="B4587" s="8" t="s">
        <v>6029</v>
      </c>
      <c r="C4587" s="8" t="s">
        <v>9331</v>
      </c>
      <c r="D4587" s="8" t="s">
        <v>9332</v>
      </c>
      <c r="E4587" s="13">
        <v>0</v>
      </c>
      <c r="F4587" s="14">
        <v>0</v>
      </c>
    </row>
    <row r="4588" spans="1:6" x14ac:dyDescent="0.3">
      <c r="A4588" s="8">
        <v>4586</v>
      </c>
      <c r="B4588" s="8" t="s">
        <v>6029</v>
      </c>
      <c r="C4588" s="8" t="s">
        <v>9333</v>
      </c>
      <c r="D4588" s="8" t="s">
        <v>9334</v>
      </c>
      <c r="E4588" s="13">
        <v>0</v>
      </c>
      <c r="F4588" s="14">
        <v>0</v>
      </c>
    </row>
    <row r="4589" spans="1:6" x14ac:dyDescent="0.3">
      <c r="A4589" s="8">
        <v>4587</v>
      </c>
      <c r="B4589" s="8" t="s">
        <v>6516</v>
      </c>
      <c r="C4589" s="8" t="s">
        <v>9335</v>
      </c>
      <c r="D4589" s="8" t="s">
        <v>9336</v>
      </c>
      <c r="E4589" s="13">
        <v>0</v>
      </c>
      <c r="F4589" s="14">
        <v>1080000</v>
      </c>
    </row>
    <row r="4590" spans="1:6" x14ac:dyDescent="0.3">
      <c r="A4590" s="8">
        <v>4588</v>
      </c>
      <c r="B4590" s="8" t="s">
        <v>6516</v>
      </c>
      <c r="C4590" s="8" t="s">
        <v>9337</v>
      </c>
      <c r="D4590" s="8" t="s">
        <v>9338</v>
      </c>
      <c r="E4590" s="13">
        <v>0</v>
      </c>
      <c r="F4590" s="14">
        <v>1115000</v>
      </c>
    </row>
    <row r="4591" spans="1:6" x14ac:dyDescent="0.3">
      <c r="A4591" s="8">
        <v>4589</v>
      </c>
      <c r="B4591" s="8" t="s">
        <v>6516</v>
      </c>
      <c r="C4591" s="8" t="s">
        <v>9339</v>
      </c>
      <c r="D4591" s="8" t="s">
        <v>9340</v>
      </c>
      <c r="E4591" s="13">
        <v>997000</v>
      </c>
      <c r="F4591" s="14">
        <v>1994444</v>
      </c>
    </row>
    <row r="4592" spans="1:6" x14ac:dyDescent="0.3">
      <c r="A4592" s="8">
        <v>4590</v>
      </c>
      <c r="B4592" s="8" t="s">
        <v>6516</v>
      </c>
      <c r="C4592" s="8" t="s">
        <v>9341</v>
      </c>
      <c r="D4592" s="8" t="s">
        <v>9342</v>
      </c>
      <c r="E4592" s="13">
        <v>537000</v>
      </c>
      <c r="F4592" s="14">
        <v>1074074</v>
      </c>
    </row>
    <row r="4593" spans="1:6" x14ac:dyDescent="0.3">
      <c r="A4593" s="8">
        <v>4591</v>
      </c>
      <c r="B4593" s="8" t="s">
        <v>6516</v>
      </c>
      <c r="C4593" s="8" t="s">
        <v>9343</v>
      </c>
      <c r="D4593" s="8" t="s">
        <v>9344</v>
      </c>
      <c r="E4593" s="13">
        <v>0</v>
      </c>
      <c r="F4593" s="14">
        <v>1733000</v>
      </c>
    </row>
    <row r="4594" spans="1:6" x14ac:dyDescent="0.3">
      <c r="A4594" s="8">
        <v>4592</v>
      </c>
      <c r="B4594" s="8" t="s">
        <v>6516</v>
      </c>
      <c r="C4594" s="8" t="s">
        <v>9345</v>
      </c>
      <c r="D4594" s="8" t="s">
        <v>9346</v>
      </c>
      <c r="E4594" s="13">
        <v>0</v>
      </c>
      <c r="F4594" s="14">
        <v>0</v>
      </c>
    </row>
    <row r="4595" spans="1:6" x14ac:dyDescent="0.3">
      <c r="A4595" s="8">
        <v>4593</v>
      </c>
      <c r="B4595" s="8" t="s">
        <v>6516</v>
      </c>
      <c r="C4595" s="8" t="s">
        <v>9347</v>
      </c>
      <c r="D4595" s="8" t="s">
        <v>9348</v>
      </c>
      <c r="E4595" s="13">
        <v>0</v>
      </c>
      <c r="F4595" s="14">
        <v>0</v>
      </c>
    </row>
    <row r="4596" spans="1:6" x14ac:dyDescent="0.3">
      <c r="A4596" s="8">
        <v>4594</v>
      </c>
      <c r="B4596" s="8" t="s">
        <v>6516</v>
      </c>
      <c r="C4596" s="8" t="s">
        <v>9349</v>
      </c>
      <c r="D4596" s="8" t="s">
        <v>9350</v>
      </c>
      <c r="E4596" s="13">
        <v>0</v>
      </c>
      <c r="F4596" s="14">
        <v>0</v>
      </c>
    </row>
    <row r="4597" spans="1:6" x14ac:dyDescent="0.3">
      <c r="A4597" s="8">
        <v>4595</v>
      </c>
      <c r="B4597" s="8" t="s">
        <v>6516</v>
      </c>
      <c r="C4597" s="8" t="s">
        <v>9351</v>
      </c>
      <c r="D4597" s="8" t="s">
        <v>9352</v>
      </c>
      <c r="E4597" s="13">
        <v>0</v>
      </c>
      <c r="F4597" s="14">
        <v>0</v>
      </c>
    </row>
    <row r="4598" spans="1:6" x14ac:dyDescent="0.3">
      <c r="A4598" s="8">
        <v>4596</v>
      </c>
      <c r="B4598" s="8" t="s">
        <v>6516</v>
      </c>
      <c r="C4598" s="8" t="s">
        <v>9353</v>
      </c>
      <c r="D4598" s="8" t="s">
        <v>9354</v>
      </c>
      <c r="E4598" s="13">
        <v>0</v>
      </c>
      <c r="F4598" s="14">
        <v>0</v>
      </c>
    </row>
    <row r="4599" spans="1:6" x14ac:dyDescent="0.3">
      <c r="A4599" s="8">
        <v>4597</v>
      </c>
      <c r="B4599" s="8" t="s">
        <v>6516</v>
      </c>
      <c r="C4599" s="8" t="s">
        <v>9355</v>
      </c>
      <c r="D4599" s="8" t="s">
        <v>9356</v>
      </c>
      <c r="E4599" s="13">
        <v>0</v>
      </c>
      <c r="F4599" s="14">
        <v>1502000</v>
      </c>
    </row>
    <row r="4600" spans="1:6" x14ac:dyDescent="0.3">
      <c r="A4600" s="8">
        <v>4598</v>
      </c>
      <c r="B4600" s="8" t="s">
        <v>6516</v>
      </c>
      <c r="C4600" s="8" t="s">
        <v>9357</v>
      </c>
      <c r="D4600" s="8" t="s">
        <v>9358</v>
      </c>
      <c r="E4600" s="13">
        <v>997000</v>
      </c>
      <c r="F4600" s="14">
        <v>1994444</v>
      </c>
    </row>
    <row r="4601" spans="1:6" x14ac:dyDescent="0.3">
      <c r="A4601" s="8">
        <v>4599</v>
      </c>
      <c r="B4601" s="8" t="s">
        <v>6516</v>
      </c>
      <c r="C4601" s="8" t="s">
        <v>9359</v>
      </c>
      <c r="D4601" s="8" t="s">
        <v>9360</v>
      </c>
      <c r="E4601" s="13">
        <v>0</v>
      </c>
      <c r="F4601" s="14">
        <v>0</v>
      </c>
    </row>
    <row r="4602" spans="1:6" x14ac:dyDescent="0.3">
      <c r="A4602" s="8">
        <v>4600</v>
      </c>
      <c r="B4602" s="8" t="s">
        <v>6516</v>
      </c>
      <c r="C4602" s="8" t="s">
        <v>9361</v>
      </c>
      <c r="D4602" s="8" t="s">
        <v>9362</v>
      </c>
      <c r="E4602" s="13">
        <v>495000</v>
      </c>
      <c r="F4602" s="14">
        <v>989815</v>
      </c>
    </row>
    <row r="4603" spans="1:6" x14ac:dyDescent="0.3">
      <c r="A4603" s="8">
        <v>4601</v>
      </c>
      <c r="B4603" s="8" t="s">
        <v>6516</v>
      </c>
      <c r="C4603" s="8" t="s">
        <v>9363</v>
      </c>
      <c r="D4603" s="8" t="s">
        <v>9364</v>
      </c>
      <c r="E4603" s="13">
        <v>0</v>
      </c>
      <c r="F4603" s="14">
        <v>0</v>
      </c>
    </row>
    <row r="4604" spans="1:6" x14ac:dyDescent="0.3">
      <c r="A4604" s="8">
        <v>4602</v>
      </c>
      <c r="B4604" s="8" t="s">
        <v>6516</v>
      </c>
      <c r="C4604" s="8" t="s">
        <v>9365</v>
      </c>
      <c r="D4604" s="8" t="s">
        <v>9366</v>
      </c>
      <c r="E4604" s="13">
        <v>0</v>
      </c>
      <c r="F4604" s="14">
        <v>0</v>
      </c>
    </row>
    <row r="4605" spans="1:6" x14ac:dyDescent="0.3">
      <c r="A4605" s="8">
        <v>4603</v>
      </c>
      <c r="B4605" s="8" t="s">
        <v>6516</v>
      </c>
      <c r="C4605" s="8" t="s">
        <v>9367</v>
      </c>
      <c r="D4605" s="8" t="s">
        <v>9368</v>
      </c>
      <c r="E4605" s="13">
        <v>0</v>
      </c>
      <c r="F4605" s="14">
        <v>0</v>
      </c>
    </row>
    <row r="4606" spans="1:6" x14ac:dyDescent="0.3">
      <c r="A4606" s="8">
        <v>4604</v>
      </c>
      <c r="B4606" s="8" t="s">
        <v>6516</v>
      </c>
      <c r="C4606" s="8" t="s">
        <v>9369</v>
      </c>
      <c r="D4606" s="8" t="s">
        <v>9370</v>
      </c>
      <c r="E4606" s="13">
        <v>0</v>
      </c>
      <c r="F4606" s="14">
        <v>0</v>
      </c>
    </row>
    <row r="4607" spans="1:6" x14ac:dyDescent="0.3">
      <c r="A4607" s="8">
        <v>4605</v>
      </c>
      <c r="B4607" s="8" t="s">
        <v>7355</v>
      </c>
      <c r="C4607" s="8" t="s">
        <v>9371</v>
      </c>
      <c r="D4607" s="8" t="s">
        <v>9372</v>
      </c>
      <c r="E4607" s="13">
        <v>183000</v>
      </c>
      <c r="F4607" s="14">
        <v>330000</v>
      </c>
    </row>
    <row r="4608" spans="1:6" x14ac:dyDescent="0.3">
      <c r="A4608" s="8">
        <v>4606</v>
      </c>
      <c r="B4608" s="8" t="s">
        <v>7355</v>
      </c>
      <c r="C4608" s="8" t="s">
        <v>9373</v>
      </c>
      <c r="D4608" s="8" t="s">
        <v>9374</v>
      </c>
      <c r="E4608" s="13">
        <v>143000</v>
      </c>
      <c r="F4608" s="14">
        <v>286111</v>
      </c>
    </row>
    <row r="4609" spans="1:6" x14ac:dyDescent="0.3">
      <c r="A4609" s="8">
        <v>4607</v>
      </c>
      <c r="B4609" s="8" t="s">
        <v>7355</v>
      </c>
      <c r="C4609" s="8" t="s">
        <v>9375</v>
      </c>
      <c r="D4609" s="8" t="s">
        <v>9376</v>
      </c>
      <c r="E4609" s="13">
        <v>0</v>
      </c>
      <c r="F4609" s="14">
        <v>0</v>
      </c>
    </row>
    <row r="4610" spans="1:6" x14ac:dyDescent="0.3">
      <c r="A4610" s="8">
        <v>4608</v>
      </c>
      <c r="B4610" s="8" t="s">
        <v>7355</v>
      </c>
      <c r="C4610" s="8" t="s">
        <v>9377</v>
      </c>
      <c r="D4610" s="8" t="s">
        <v>9378</v>
      </c>
      <c r="E4610" s="13">
        <v>0</v>
      </c>
      <c r="F4610" s="14">
        <v>0</v>
      </c>
    </row>
    <row r="4611" spans="1:6" x14ac:dyDescent="0.3">
      <c r="A4611" s="8">
        <v>4609</v>
      </c>
      <c r="B4611" s="8" t="s">
        <v>7355</v>
      </c>
      <c r="C4611" s="8" t="s">
        <v>9379</v>
      </c>
      <c r="D4611" s="8" t="s">
        <v>9380</v>
      </c>
      <c r="E4611" s="13">
        <v>0</v>
      </c>
      <c r="F4611" s="14">
        <v>0</v>
      </c>
    </row>
    <row r="4612" spans="1:6" x14ac:dyDescent="0.3">
      <c r="A4612" s="8">
        <v>4610</v>
      </c>
      <c r="B4612" s="8" t="s">
        <v>7355</v>
      </c>
      <c r="C4612" s="8" t="s">
        <v>9381</v>
      </c>
      <c r="D4612" s="8" t="s">
        <v>9382</v>
      </c>
      <c r="E4612" s="13">
        <v>0</v>
      </c>
      <c r="F4612" s="14">
        <v>0</v>
      </c>
    </row>
    <row r="4613" spans="1:6" x14ac:dyDescent="0.3">
      <c r="A4613" s="8">
        <v>4611</v>
      </c>
      <c r="B4613" s="8" t="s">
        <v>7368</v>
      </c>
      <c r="C4613" s="8" t="s">
        <v>9383</v>
      </c>
      <c r="D4613" s="8" t="s">
        <v>9384</v>
      </c>
      <c r="E4613" s="13">
        <v>68600</v>
      </c>
      <c r="F4613" s="14">
        <v>137037</v>
      </c>
    </row>
    <row r="4614" spans="1:6" x14ac:dyDescent="0.3">
      <c r="A4614" s="8">
        <v>4612</v>
      </c>
      <c r="B4614" s="8" t="s">
        <v>7368</v>
      </c>
      <c r="C4614" s="8" t="s">
        <v>9385</v>
      </c>
      <c r="D4614" s="8" t="s">
        <v>9386</v>
      </c>
      <c r="E4614" s="13">
        <v>0</v>
      </c>
      <c r="F4614" s="14">
        <v>0</v>
      </c>
    </row>
    <row r="4615" spans="1:6" x14ac:dyDescent="0.3">
      <c r="A4615" s="8">
        <v>4613</v>
      </c>
      <c r="B4615" s="8" t="s">
        <v>7368</v>
      </c>
      <c r="C4615" s="8" t="s">
        <v>9387</v>
      </c>
      <c r="D4615" s="8" t="s">
        <v>9388</v>
      </c>
      <c r="E4615" s="13">
        <v>90500</v>
      </c>
      <c r="F4615" s="14">
        <v>181000</v>
      </c>
    </row>
    <row r="4616" spans="1:6" x14ac:dyDescent="0.3">
      <c r="A4616" s="8">
        <v>4614</v>
      </c>
      <c r="B4616" s="8" t="s">
        <v>7368</v>
      </c>
      <c r="C4616" s="8" t="s">
        <v>9389</v>
      </c>
      <c r="D4616" s="8" t="s">
        <v>9390</v>
      </c>
      <c r="E4616" s="13">
        <v>0</v>
      </c>
      <c r="F4616" s="14">
        <v>0</v>
      </c>
    </row>
    <row r="4617" spans="1:6" x14ac:dyDescent="0.3">
      <c r="A4617" s="8">
        <v>4615</v>
      </c>
      <c r="B4617" s="8" t="s">
        <v>7368</v>
      </c>
      <c r="C4617" s="8" t="s">
        <v>9391</v>
      </c>
      <c r="D4617" s="8" t="s">
        <v>9392</v>
      </c>
      <c r="E4617" s="13">
        <v>0</v>
      </c>
      <c r="F4617" s="14">
        <v>0</v>
      </c>
    </row>
    <row r="4618" spans="1:6" x14ac:dyDescent="0.3">
      <c r="A4618" s="8">
        <v>4616</v>
      </c>
      <c r="B4618" s="8" t="s">
        <v>6516</v>
      </c>
      <c r="C4618" s="8" t="s">
        <v>9393</v>
      </c>
      <c r="D4618" s="8" t="s">
        <v>9394</v>
      </c>
      <c r="E4618" s="13">
        <v>0</v>
      </c>
      <c r="F4618" s="14">
        <v>0</v>
      </c>
    </row>
    <row r="4619" spans="1:6" x14ac:dyDescent="0.3">
      <c r="A4619" s="8">
        <v>4617</v>
      </c>
      <c r="B4619" s="8" t="s">
        <v>6516</v>
      </c>
      <c r="C4619" s="8" t="s">
        <v>9395</v>
      </c>
      <c r="D4619" s="8" t="s">
        <v>9396</v>
      </c>
      <c r="E4619" s="13">
        <v>0</v>
      </c>
      <c r="F4619" s="14">
        <v>0</v>
      </c>
    </row>
    <row r="4620" spans="1:6" x14ac:dyDescent="0.3">
      <c r="A4620" s="8">
        <v>4618</v>
      </c>
      <c r="B4620" s="8" t="s">
        <v>6516</v>
      </c>
      <c r="C4620" s="8" t="s">
        <v>9397</v>
      </c>
      <c r="D4620" s="8" t="s">
        <v>9398</v>
      </c>
      <c r="E4620" s="13">
        <v>0</v>
      </c>
      <c r="F4620" s="14">
        <v>0</v>
      </c>
    </row>
    <row r="4621" spans="1:6" x14ac:dyDescent="0.3">
      <c r="A4621" s="8">
        <v>4619</v>
      </c>
      <c r="B4621" s="8" t="s">
        <v>6516</v>
      </c>
      <c r="C4621" s="8" t="s">
        <v>9399</v>
      </c>
      <c r="D4621" s="8" t="s">
        <v>9400</v>
      </c>
      <c r="E4621" s="13">
        <v>537000</v>
      </c>
      <c r="F4621" s="14">
        <v>1074074</v>
      </c>
    </row>
    <row r="4622" spans="1:6" x14ac:dyDescent="0.3">
      <c r="A4622" s="8">
        <v>4620</v>
      </c>
      <c r="B4622" s="8" t="s">
        <v>6516</v>
      </c>
      <c r="C4622" s="8" t="s">
        <v>9401</v>
      </c>
      <c r="D4622" s="8" t="s">
        <v>9402</v>
      </c>
      <c r="E4622" s="13">
        <v>0</v>
      </c>
      <c r="F4622" s="14">
        <v>0</v>
      </c>
    </row>
    <row r="4623" spans="1:6" x14ac:dyDescent="0.3">
      <c r="A4623" s="8">
        <v>4621</v>
      </c>
      <c r="B4623" s="8" t="s">
        <v>6516</v>
      </c>
      <c r="C4623" s="8" t="s">
        <v>9403</v>
      </c>
      <c r="D4623" s="8" t="s">
        <v>9404</v>
      </c>
      <c r="E4623" s="13">
        <v>0</v>
      </c>
      <c r="F4623" s="14">
        <v>0</v>
      </c>
    </row>
    <row r="4624" spans="1:6" x14ac:dyDescent="0.3">
      <c r="A4624" s="8">
        <v>4622</v>
      </c>
      <c r="B4624" s="8" t="s">
        <v>6516</v>
      </c>
      <c r="C4624" s="8" t="s">
        <v>9405</v>
      </c>
      <c r="D4624" s="8" t="s">
        <v>9406</v>
      </c>
      <c r="E4624" s="13">
        <v>537000</v>
      </c>
      <c r="F4624" s="14">
        <v>1074074</v>
      </c>
    </row>
    <row r="4625" spans="1:6" x14ac:dyDescent="0.3">
      <c r="A4625" s="8">
        <v>4623</v>
      </c>
      <c r="B4625" s="8" t="s">
        <v>6516</v>
      </c>
      <c r="C4625" s="8" t="s">
        <v>9407</v>
      </c>
      <c r="D4625" s="8" t="s">
        <v>9408</v>
      </c>
      <c r="E4625" s="13">
        <v>0</v>
      </c>
      <c r="F4625" s="14">
        <v>0</v>
      </c>
    </row>
    <row r="4626" spans="1:6" x14ac:dyDescent="0.3">
      <c r="A4626" s="8">
        <v>4624</v>
      </c>
      <c r="B4626" s="8" t="s">
        <v>6516</v>
      </c>
      <c r="C4626" s="8" t="s">
        <v>9409</v>
      </c>
      <c r="D4626" s="8" t="s">
        <v>9410</v>
      </c>
      <c r="E4626" s="13">
        <v>0</v>
      </c>
      <c r="F4626" s="14">
        <v>0</v>
      </c>
    </row>
    <row r="4627" spans="1:6" x14ac:dyDescent="0.3">
      <c r="A4627" s="8">
        <v>4625</v>
      </c>
      <c r="B4627" s="8" t="s">
        <v>6516</v>
      </c>
      <c r="C4627" s="8" t="s">
        <v>9411</v>
      </c>
      <c r="D4627" s="8" t="s">
        <v>9412</v>
      </c>
      <c r="E4627" s="13">
        <v>0</v>
      </c>
      <c r="F4627" s="14">
        <v>1212963</v>
      </c>
    </row>
    <row r="4628" spans="1:6" x14ac:dyDescent="0.3">
      <c r="A4628" s="8">
        <v>4626</v>
      </c>
      <c r="B4628" s="8" t="s">
        <v>6516</v>
      </c>
      <c r="C4628" s="8" t="s">
        <v>9413</v>
      </c>
      <c r="D4628" s="8" t="s">
        <v>9414</v>
      </c>
      <c r="E4628" s="13">
        <v>0</v>
      </c>
      <c r="F4628" s="14">
        <v>0</v>
      </c>
    </row>
    <row r="4629" spans="1:6" x14ac:dyDescent="0.3">
      <c r="A4629" s="8">
        <v>4627</v>
      </c>
      <c r="B4629" s="8" t="s">
        <v>6516</v>
      </c>
      <c r="C4629" s="8" t="s">
        <v>9415</v>
      </c>
      <c r="D4629" s="8" t="s">
        <v>9416</v>
      </c>
      <c r="E4629" s="13">
        <v>0</v>
      </c>
      <c r="F4629" s="14">
        <v>0</v>
      </c>
    </row>
    <row r="4630" spans="1:6" x14ac:dyDescent="0.3">
      <c r="A4630" s="8">
        <v>4628</v>
      </c>
      <c r="B4630" s="8" t="s">
        <v>6516</v>
      </c>
      <c r="C4630" s="8" t="s">
        <v>9417</v>
      </c>
      <c r="D4630" s="8" t="s">
        <v>9418</v>
      </c>
      <c r="E4630" s="13">
        <v>0</v>
      </c>
      <c r="F4630" s="14">
        <v>0</v>
      </c>
    </row>
    <row r="4631" spans="1:6" x14ac:dyDescent="0.3">
      <c r="A4631" s="8">
        <v>4629</v>
      </c>
      <c r="B4631" s="8" t="s">
        <v>6516</v>
      </c>
      <c r="C4631" s="8" t="s">
        <v>9419</v>
      </c>
      <c r="D4631" s="8" t="s">
        <v>9420</v>
      </c>
      <c r="E4631" s="13">
        <v>0</v>
      </c>
      <c r="F4631" s="14">
        <v>0</v>
      </c>
    </row>
    <row r="4632" spans="1:6" x14ac:dyDescent="0.3">
      <c r="A4632" s="8">
        <v>4630</v>
      </c>
      <c r="B4632" s="8" t="s">
        <v>6516</v>
      </c>
      <c r="C4632" s="8" t="s">
        <v>9421</v>
      </c>
      <c r="D4632" s="8" t="s">
        <v>9422</v>
      </c>
      <c r="E4632" s="13">
        <v>0</v>
      </c>
      <c r="F4632" s="14">
        <v>0</v>
      </c>
    </row>
    <row r="4633" spans="1:6" x14ac:dyDescent="0.3">
      <c r="A4633" s="8">
        <v>4631</v>
      </c>
      <c r="B4633" s="8" t="s">
        <v>6516</v>
      </c>
      <c r="C4633" s="8" t="s">
        <v>9423</v>
      </c>
      <c r="D4633" s="8" t="s">
        <v>9424</v>
      </c>
      <c r="E4633" s="13">
        <v>0</v>
      </c>
      <c r="F4633" s="14">
        <v>0</v>
      </c>
    </row>
    <row r="4634" spans="1:6" x14ac:dyDescent="0.3">
      <c r="A4634" s="8">
        <v>4632</v>
      </c>
      <c r="B4634" s="8" t="s">
        <v>7355</v>
      </c>
      <c r="C4634" s="8" t="s">
        <v>9425</v>
      </c>
      <c r="D4634" s="8" t="s">
        <v>9426</v>
      </c>
      <c r="E4634" s="13">
        <v>183000</v>
      </c>
      <c r="F4634" s="14">
        <v>330000</v>
      </c>
    </row>
    <row r="4635" spans="1:6" x14ac:dyDescent="0.3">
      <c r="A4635" s="8">
        <v>4633</v>
      </c>
      <c r="B4635" s="8" t="s">
        <v>7355</v>
      </c>
      <c r="C4635" s="8" t="s">
        <v>9427</v>
      </c>
      <c r="D4635" s="8" t="s">
        <v>9428</v>
      </c>
      <c r="E4635" s="13">
        <v>370000</v>
      </c>
      <c r="F4635" s="14">
        <v>637000</v>
      </c>
    </row>
    <row r="4636" spans="1:6" x14ac:dyDescent="0.3">
      <c r="A4636" s="8">
        <v>4634</v>
      </c>
      <c r="B4636" s="8" t="s">
        <v>7355</v>
      </c>
      <c r="C4636" s="8" t="s">
        <v>9429</v>
      </c>
      <c r="D4636" s="8" t="s">
        <v>9430</v>
      </c>
      <c r="E4636" s="13">
        <v>0</v>
      </c>
      <c r="F4636" s="14">
        <v>0</v>
      </c>
    </row>
    <row r="4637" spans="1:6" x14ac:dyDescent="0.3">
      <c r="A4637" s="8">
        <v>4635</v>
      </c>
      <c r="B4637" s="8" t="s">
        <v>7355</v>
      </c>
      <c r="C4637" s="8" t="s">
        <v>9431</v>
      </c>
      <c r="D4637" s="8" t="s">
        <v>9432</v>
      </c>
      <c r="E4637" s="13">
        <v>115000</v>
      </c>
      <c r="F4637" s="14">
        <v>230000</v>
      </c>
    </row>
    <row r="4638" spans="1:6" x14ac:dyDescent="0.3">
      <c r="A4638" s="8">
        <v>4636</v>
      </c>
      <c r="B4638" s="8" t="s">
        <v>7355</v>
      </c>
      <c r="C4638" s="8" t="s">
        <v>9433</v>
      </c>
      <c r="D4638" s="8" t="s">
        <v>9434</v>
      </c>
      <c r="E4638" s="13">
        <v>272000</v>
      </c>
      <c r="F4638" s="14">
        <v>544444</v>
      </c>
    </row>
    <row r="4639" spans="1:6" x14ac:dyDescent="0.3">
      <c r="A4639" s="8">
        <v>4637</v>
      </c>
      <c r="B4639" s="8" t="s">
        <v>7355</v>
      </c>
      <c r="C4639" s="8" t="s">
        <v>9435</v>
      </c>
      <c r="D4639" s="8" t="s">
        <v>9436</v>
      </c>
      <c r="E4639" s="13">
        <v>229000</v>
      </c>
      <c r="F4639" s="14">
        <v>458333</v>
      </c>
    </row>
    <row r="4640" spans="1:6" x14ac:dyDescent="0.3">
      <c r="A4640" s="8">
        <v>4638</v>
      </c>
      <c r="B4640" s="8" t="s">
        <v>7355</v>
      </c>
      <c r="C4640" s="8" t="s">
        <v>9437</v>
      </c>
      <c r="D4640" s="8" t="s">
        <v>9438</v>
      </c>
      <c r="E4640" s="13">
        <v>0</v>
      </c>
      <c r="F4640" s="14">
        <v>0</v>
      </c>
    </row>
    <row r="4641" spans="1:6" x14ac:dyDescent="0.3">
      <c r="A4641" s="8">
        <v>4639</v>
      </c>
      <c r="B4641" s="8" t="s">
        <v>7368</v>
      </c>
      <c r="C4641" s="8" t="s">
        <v>9439</v>
      </c>
      <c r="D4641" s="8" t="s">
        <v>9440</v>
      </c>
      <c r="E4641" s="13">
        <v>67200</v>
      </c>
      <c r="F4641" s="14">
        <v>115500</v>
      </c>
    </row>
    <row r="4642" spans="1:6" x14ac:dyDescent="0.3">
      <c r="A4642" s="8">
        <v>4640</v>
      </c>
      <c r="B4642" s="8" t="s">
        <v>7694</v>
      </c>
      <c r="C4642" s="8" t="s">
        <v>9441</v>
      </c>
      <c r="D4642" s="8" t="s">
        <v>9442</v>
      </c>
      <c r="E4642" s="13">
        <v>0</v>
      </c>
      <c r="F4642" s="14">
        <v>720000</v>
      </c>
    </row>
    <row r="4643" spans="1:6" x14ac:dyDescent="0.3">
      <c r="A4643" s="8">
        <v>4641</v>
      </c>
      <c r="B4643" s="8" t="s">
        <v>7694</v>
      </c>
      <c r="C4643" s="8" t="s">
        <v>9443</v>
      </c>
      <c r="D4643" s="8" t="s">
        <v>9444</v>
      </c>
      <c r="E4643" s="13">
        <v>0</v>
      </c>
      <c r="F4643" s="14">
        <v>0</v>
      </c>
    </row>
    <row r="4644" spans="1:6" x14ac:dyDescent="0.3">
      <c r="A4644" s="8">
        <v>4642</v>
      </c>
      <c r="B4644" s="8" t="s">
        <v>7694</v>
      </c>
      <c r="C4644" s="8" t="s">
        <v>9445</v>
      </c>
      <c r="D4644" s="8" t="s">
        <v>9446</v>
      </c>
      <c r="E4644" s="13">
        <v>285000</v>
      </c>
      <c r="F4644" s="14">
        <v>570370</v>
      </c>
    </row>
    <row r="4645" spans="1:6" x14ac:dyDescent="0.3">
      <c r="A4645" s="8">
        <v>4643</v>
      </c>
      <c r="B4645" s="8" t="s">
        <v>7694</v>
      </c>
      <c r="C4645" s="8" t="s">
        <v>9447</v>
      </c>
      <c r="D4645" s="8" t="s">
        <v>9448</v>
      </c>
      <c r="E4645" s="13">
        <v>0</v>
      </c>
      <c r="F4645" s="14">
        <v>0</v>
      </c>
    </row>
    <row r="4646" spans="1:6" x14ac:dyDescent="0.3">
      <c r="A4646" s="8">
        <v>4644</v>
      </c>
      <c r="B4646" s="8" t="s">
        <v>7694</v>
      </c>
      <c r="C4646" s="8" t="s">
        <v>9449</v>
      </c>
      <c r="D4646" s="8" t="s">
        <v>9450</v>
      </c>
      <c r="E4646" s="13">
        <v>0</v>
      </c>
      <c r="F4646" s="14">
        <v>106700000</v>
      </c>
    </row>
    <row r="4647" spans="1:6" x14ac:dyDescent="0.3">
      <c r="A4647" s="8">
        <v>4645</v>
      </c>
      <c r="B4647" s="8" t="s">
        <v>7694</v>
      </c>
      <c r="C4647" s="8" t="s">
        <v>9451</v>
      </c>
      <c r="D4647" s="8" t="s">
        <v>9452</v>
      </c>
      <c r="E4647" s="13">
        <v>0</v>
      </c>
      <c r="F4647" s="14">
        <v>141130000</v>
      </c>
    </row>
    <row r="4648" spans="1:6" x14ac:dyDescent="0.3">
      <c r="A4648" s="8">
        <v>4646</v>
      </c>
      <c r="B4648" s="8" t="s">
        <v>7694</v>
      </c>
      <c r="C4648" s="8" t="s">
        <v>9453</v>
      </c>
      <c r="D4648" s="8" t="s">
        <v>9454</v>
      </c>
      <c r="E4648" s="13">
        <v>0</v>
      </c>
      <c r="F4648" s="14">
        <v>0</v>
      </c>
    </row>
    <row r="4649" spans="1:6" x14ac:dyDescent="0.3">
      <c r="A4649" s="8">
        <v>4647</v>
      </c>
      <c r="B4649" s="8" t="s">
        <v>7694</v>
      </c>
      <c r="C4649" s="8" t="s">
        <v>9455</v>
      </c>
      <c r="D4649" s="8" t="s">
        <v>9456</v>
      </c>
      <c r="E4649" s="13">
        <v>0</v>
      </c>
      <c r="F4649" s="14">
        <v>211750000</v>
      </c>
    </row>
    <row r="4650" spans="1:6" x14ac:dyDescent="0.3">
      <c r="A4650" s="8">
        <v>4648</v>
      </c>
      <c r="B4650" s="8" t="s">
        <v>7694</v>
      </c>
      <c r="C4650" s="8" t="s">
        <v>9457</v>
      </c>
      <c r="D4650" s="8" t="s">
        <v>9458</v>
      </c>
      <c r="E4650" s="13">
        <v>0</v>
      </c>
      <c r="F4650" s="14">
        <v>98450000</v>
      </c>
    </row>
    <row r="4651" spans="1:6" x14ac:dyDescent="0.3">
      <c r="A4651" s="8">
        <v>4649</v>
      </c>
      <c r="B4651" s="8" t="s">
        <v>7694</v>
      </c>
      <c r="C4651" s="8" t="s">
        <v>9459</v>
      </c>
      <c r="D4651" s="8" t="s">
        <v>9460</v>
      </c>
      <c r="E4651" s="13">
        <v>0</v>
      </c>
      <c r="F4651" s="14">
        <v>688540000</v>
      </c>
    </row>
    <row r="4652" spans="1:6" x14ac:dyDescent="0.3">
      <c r="A4652" s="8">
        <v>4650</v>
      </c>
      <c r="B4652" s="8" t="s">
        <v>7694</v>
      </c>
      <c r="C4652" s="8" t="s">
        <v>9461</v>
      </c>
      <c r="D4652" s="8" t="s">
        <v>9462</v>
      </c>
      <c r="E4652" s="13">
        <v>0</v>
      </c>
      <c r="F4652" s="14">
        <v>64790000</v>
      </c>
    </row>
    <row r="4653" spans="1:6" x14ac:dyDescent="0.3">
      <c r="A4653" s="8">
        <v>4651</v>
      </c>
      <c r="B4653" s="8" t="s">
        <v>9463</v>
      </c>
      <c r="C4653" s="8" t="s">
        <v>9464</v>
      </c>
      <c r="D4653" s="8" t="s">
        <v>9465</v>
      </c>
      <c r="E4653" s="13">
        <v>9700</v>
      </c>
      <c r="F4653" s="14">
        <v>16667</v>
      </c>
    </row>
    <row r="4654" spans="1:6" x14ac:dyDescent="0.3">
      <c r="A4654" s="8">
        <v>4652</v>
      </c>
      <c r="B4654" s="8" t="s">
        <v>9463</v>
      </c>
      <c r="C4654" s="8" t="s">
        <v>9466</v>
      </c>
      <c r="D4654" s="8" t="s">
        <v>9467</v>
      </c>
      <c r="E4654" s="13">
        <v>0</v>
      </c>
      <c r="F4654" s="14">
        <v>40000</v>
      </c>
    </row>
    <row r="4655" spans="1:6" x14ac:dyDescent="0.3">
      <c r="A4655" s="8">
        <v>4653</v>
      </c>
      <c r="B4655" s="8" t="s">
        <v>9463</v>
      </c>
      <c r="C4655" s="8" t="s">
        <v>9468</v>
      </c>
      <c r="D4655" s="8" t="s">
        <v>9469</v>
      </c>
      <c r="E4655" s="13">
        <v>45000</v>
      </c>
      <c r="F4655" s="14">
        <v>89815</v>
      </c>
    </row>
    <row r="4656" spans="1:6" x14ac:dyDescent="0.3">
      <c r="A4656" s="8">
        <v>4654</v>
      </c>
      <c r="B4656" s="8" t="s">
        <v>9463</v>
      </c>
      <c r="C4656" s="8" t="s">
        <v>9470</v>
      </c>
      <c r="D4656" s="8" t="s">
        <v>9471</v>
      </c>
      <c r="E4656" s="13">
        <v>70000</v>
      </c>
      <c r="F4656" s="14">
        <v>139815</v>
      </c>
    </row>
    <row r="4657" spans="1:6" x14ac:dyDescent="0.3">
      <c r="A4657" s="8">
        <v>4655</v>
      </c>
      <c r="B4657" s="8" t="s">
        <v>9463</v>
      </c>
      <c r="C4657" s="8" t="s">
        <v>9472</v>
      </c>
      <c r="D4657" s="8" t="s">
        <v>9473</v>
      </c>
      <c r="E4657" s="13">
        <v>13000</v>
      </c>
      <c r="F4657" s="14">
        <v>25926</v>
      </c>
    </row>
    <row r="4658" spans="1:6" x14ac:dyDescent="0.3">
      <c r="A4658" s="8">
        <v>4656</v>
      </c>
      <c r="B4658" s="8" t="s">
        <v>9463</v>
      </c>
      <c r="C4658" s="8" t="s">
        <v>9474</v>
      </c>
      <c r="D4658" s="8" t="s">
        <v>9475</v>
      </c>
      <c r="E4658" s="13">
        <v>0</v>
      </c>
      <c r="F4658" s="14">
        <v>0</v>
      </c>
    </row>
    <row r="4659" spans="1:6" x14ac:dyDescent="0.3">
      <c r="A4659" s="8">
        <v>4657</v>
      </c>
      <c r="B4659" s="8" t="s">
        <v>9463</v>
      </c>
      <c r="C4659" s="8" t="s">
        <v>9476</v>
      </c>
      <c r="D4659" s="8" t="s">
        <v>9477</v>
      </c>
      <c r="E4659" s="13">
        <v>170000</v>
      </c>
      <c r="F4659" s="14">
        <v>339815</v>
      </c>
    </row>
    <row r="4660" spans="1:6" x14ac:dyDescent="0.3">
      <c r="A4660" s="8">
        <v>4658</v>
      </c>
      <c r="B4660" s="8" t="s">
        <v>9478</v>
      </c>
      <c r="C4660" s="8" t="s">
        <v>9479</v>
      </c>
      <c r="D4660" s="8" t="s">
        <v>9480</v>
      </c>
      <c r="E4660" s="13">
        <v>0</v>
      </c>
      <c r="F4660" s="14">
        <v>0</v>
      </c>
    </row>
    <row r="4661" spans="1:6" x14ac:dyDescent="0.3">
      <c r="A4661" s="8">
        <v>4659</v>
      </c>
      <c r="B4661" s="8" t="s">
        <v>9478</v>
      </c>
      <c r="C4661" s="8" t="s">
        <v>9481</v>
      </c>
      <c r="D4661" s="8" t="s">
        <v>9482</v>
      </c>
      <c r="E4661" s="13">
        <v>0</v>
      </c>
      <c r="F4661" s="14">
        <v>0</v>
      </c>
    </row>
    <row r="4662" spans="1:6" x14ac:dyDescent="0.3">
      <c r="A4662" s="8">
        <v>4660</v>
      </c>
      <c r="B4662" s="8" t="s">
        <v>9478</v>
      </c>
      <c r="C4662" s="8" t="s">
        <v>9483</v>
      </c>
      <c r="D4662" s="8" t="s">
        <v>9484</v>
      </c>
      <c r="E4662" s="13">
        <v>0</v>
      </c>
      <c r="F4662" s="14">
        <v>0</v>
      </c>
    </row>
    <row r="4663" spans="1:6" x14ac:dyDescent="0.3">
      <c r="A4663" s="8">
        <v>4661</v>
      </c>
      <c r="B4663" s="8" t="s">
        <v>9478</v>
      </c>
      <c r="C4663" s="8" t="s">
        <v>9485</v>
      </c>
      <c r="D4663" s="8" t="s">
        <v>9486</v>
      </c>
      <c r="E4663" s="13">
        <v>0</v>
      </c>
      <c r="F4663" s="14">
        <v>0</v>
      </c>
    </row>
    <row r="4664" spans="1:6" x14ac:dyDescent="0.3">
      <c r="A4664" s="8">
        <v>4662</v>
      </c>
      <c r="B4664" s="8" t="s">
        <v>9478</v>
      </c>
      <c r="C4664" s="8" t="s">
        <v>9487</v>
      </c>
      <c r="D4664" s="8" t="s">
        <v>9488</v>
      </c>
      <c r="E4664" s="13">
        <v>0</v>
      </c>
      <c r="F4664" s="14">
        <v>0</v>
      </c>
    </row>
    <row r="4665" spans="1:6" x14ac:dyDescent="0.3">
      <c r="A4665" s="8">
        <v>4663</v>
      </c>
      <c r="B4665" s="8" t="s">
        <v>9478</v>
      </c>
      <c r="C4665" s="8" t="s">
        <v>9489</v>
      </c>
      <c r="D4665" s="8" t="s">
        <v>9490</v>
      </c>
      <c r="E4665" s="13">
        <v>0</v>
      </c>
      <c r="F4665" s="14">
        <v>0</v>
      </c>
    </row>
    <row r="4666" spans="1:6" x14ac:dyDescent="0.3">
      <c r="A4666" s="8">
        <v>4664</v>
      </c>
      <c r="B4666" s="8" t="s">
        <v>9478</v>
      </c>
      <c r="C4666" s="8" t="s">
        <v>9491</v>
      </c>
      <c r="D4666" s="8" t="s">
        <v>9492</v>
      </c>
      <c r="E4666" s="13">
        <v>0</v>
      </c>
      <c r="F4666" s="14">
        <v>0</v>
      </c>
    </row>
    <row r="4667" spans="1:6" x14ac:dyDescent="0.3">
      <c r="A4667" s="8">
        <v>4665</v>
      </c>
      <c r="B4667" s="8" t="s">
        <v>2300</v>
      </c>
      <c r="C4667" s="8" t="s">
        <v>9493</v>
      </c>
      <c r="D4667" s="8" t="s">
        <v>9494</v>
      </c>
      <c r="E4667" s="13">
        <v>92000</v>
      </c>
      <c r="F4667" s="14">
        <v>183333</v>
      </c>
    </row>
    <row r="4668" spans="1:6" x14ac:dyDescent="0.3">
      <c r="A4668" s="8">
        <v>4666</v>
      </c>
      <c r="B4668" s="8" t="s">
        <v>2303</v>
      </c>
      <c r="C4668" s="8" t="s">
        <v>9495</v>
      </c>
      <c r="D4668" s="8" t="s">
        <v>9496</v>
      </c>
      <c r="E4668" s="13">
        <v>0</v>
      </c>
      <c r="F4668" s="14">
        <v>0</v>
      </c>
    </row>
    <row r="4669" spans="1:6" x14ac:dyDescent="0.3">
      <c r="A4669" s="8">
        <v>4667</v>
      </c>
      <c r="B4669" s="8" t="s">
        <v>2303</v>
      </c>
      <c r="C4669" s="8" t="s">
        <v>9497</v>
      </c>
      <c r="D4669" s="8" t="s">
        <v>9498</v>
      </c>
      <c r="E4669" s="13">
        <v>0</v>
      </c>
      <c r="F4669" s="14">
        <v>0</v>
      </c>
    </row>
    <row r="4670" spans="1:6" x14ac:dyDescent="0.3">
      <c r="A4670" s="8">
        <v>4668</v>
      </c>
      <c r="B4670" s="8" t="s">
        <v>2303</v>
      </c>
      <c r="C4670" s="8" t="s">
        <v>9499</v>
      </c>
      <c r="D4670" s="8" t="s">
        <v>9500</v>
      </c>
      <c r="E4670" s="13">
        <v>0</v>
      </c>
      <c r="F4670" s="14">
        <v>0</v>
      </c>
    </row>
    <row r="4671" spans="1:6" x14ac:dyDescent="0.3">
      <c r="A4671" s="8">
        <v>4669</v>
      </c>
      <c r="B4671" s="8" t="s">
        <v>2303</v>
      </c>
      <c r="C4671" s="8" t="s">
        <v>9501</v>
      </c>
      <c r="D4671" s="8" t="s">
        <v>9502</v>
      </c>
      <c r="E4671" s="13">
        <v>28000</v>
      </c>
      <c r="F4671" s="14">
        <v>48200</v>
      </c>
    </row>
    <row r="4672" spans="1:6" x14ac:dyDescent="0.3">
      <c r="A4672" s="8">
        <v>4670</v>
      </c>
      <c r="B4672" s="8" t="s">
        <v>2303</v>
      </c>
      <c r="C4672" s="8" t="s">
        <v>9503</v>
      </c>
      <c r="D4672" s="8" t="s">
        <v>9504</v>
      </c>
      <c r="E4672" s="13">
        <v>35000</v>
      </c>
      <c r="F4672" s="14">
        <v>60200</v>
      </c>
    </row>
    <row r="4673" spans="1:6" x14ac:dyDescent="0.3">
      <c r="A4673" s="8">
        <v>4671</v>
      </c>
      <c r="B4673" s="8" t="s">
        <v>2303</v>
      </c>
      <c r="C4673" s="8" t="s">
        <v>9505</v>
      </c>
      <c r="D4673" s="8" t="s">
        <v>9506</v>
      </c>
      <c r="E4673" s="13">
        <v>37900</v>
      </c>
      <c r="F4673" s="14">
        <v>75833</v>
      </c>
    </row>
    <row r="4674" spans="1:6" x14ac:dyDescent="0.3">
      <c r="A4674" s="8">
        <v>4672</v>
      </c>
      <c r="B4674" s="8" t="s">
        <v>2303</v>
      </c>
      <c r="C4674" s="8" t="s">
        <v>9507</v>
      </c>
      <c r="D4674" s="8" t="s">
        <v>9508</v>
      </c>
      <c r="E4674" s="13">
        <v>38000</v>
      </c>
      <c r="F4674" s="14">
        <v>76019</v>
      </c>
    </row>
    <row r="4675" spans="1:6" x14ac:dyDescent="0.3">
      <c r="A4675" s="8">
        <v>4673</v>
      </c>
      <c r="B4675" s="8" t="s">
        <v>2303</v>
      </c>
      <c r="C4675" s="8" t="s">
        <v>9509</v>
      </c>
      <c r="D4675" s="8" t="s">
        <v>9510</v>
      </c>
      <c r="E4675" s="13">
        <v>133000</v>
      </c>
      <c r="F4675" s="14">
        <v>265741</v>
      </c>
    </row>
    <row r="4676" spans="1:6" x14ac:dyDescent="0.3">
      <c r="A4676" s="8">
        <v>4674</v>
      </c>
      <c r="B4676" s="8" t="s">
        <v>2303</v>
      </c>
      <c r="C4676" s="8" t="s">
        <v>9511</v>
      </c>
      <c r="D4676" s="8" t="s">
        <v>9512</v>
      </c>
      <c r="E4676" s="13">
        <v>27460</v>
      </c>
      <c r="F4676" s="14">
        <v>47000</v>
      </c>
    </row>
    <row r="4677" spans="1:6" x14ac:dyDescent="0.3">
      <c r="A4677" s="8">
        <v>4675</v>
      </c>
      <c r="B4677" s="8" t="s">
        <v>2303</v>
      </c>
      <c r="C4677" s="8" t="s">
        <v>9513</v>
      </c>
      <c r="D4677" s="8" t="s">
        <v>9514</v>
      </c>
      <c r="E4677" s="13">
        <v>0</v>
      </c>
      <c r="F4677" s="14">
        <v>0</v>
      </c>
    </row>
    <row r="4678" spans="1:6" x14ac:dyDescent="0.3">
      <c r="A4678" s="8">
        <v>4676</v>
      </c>
      <c r="B4678" s="8" t="s">
        <v>2303</v>
      </c>
      <c r="C4678" s="8" t="s">
        <v>9515</v>
      </c>
      <c r="D4678" s="8" t="s">
        <v>9516</v>
      </c>
      <c r="E4678" s="13">
        <v>0</v>
      </c>
      <c r="F4678" s="14">
        <v>0</v>
      </c>
    </row>
    <row r="4679" spans="1:6" x14ac:dyDescent="0.3">
      <c r="A4679" s="8">
        <v>4677</v>
      </c>
      <c r="B4679" s="8" t="s">
        <v>2303</v>
      </c>
      <c r="C4679" s="8" t="s">
        <v>9517</v>
      </c>
      <c r="D4679" s="8" t="s">
        <v>9518</v>
      </c>
      <c r="E4679" s="13">
        <v>37600</v>
      </c>
      <c r="F4679" s="14">
        <v>75000</v>
      </c>
    </row>
    <row r="4680" spans="1:6" x14ac:dyDescent="0.3">
      <c r="A4680" s="8">
        <v>4678</v>
      </c>
      <c r="B4680" s="8" t="s">
        <v>2303</v>
      </c>
      <c r="C4680" s="8" t="s">
        <v>9519</v>
      </c>
      <c r="D4680" s="8" t="s">
        <v>9520</v>
      </c>
      <c r="E4680" s="13">
        <v>0</v>
      </c>
      <c r="F4680" s="14">
        <v>0</v>
      </c>
    </row>
    <row r="4681" spans="1:6" x14ac:dyDescent="0.3">
      <c r="A4681" s="8">
        <v>4679</v>
      </c>
      <c r="B4681" s="8" t="s">
        <v>2303</v>
      </c>
      <c r="C4681" s="8" t="s">
        <v>9521</v>
      </c>
      <c r="D4681" s="8" t="s">
        <v>9522</v>
      </c>
      <c r="E4681" s="13">
        <v>0</v>
      </c>
      <c r="F4681" s="14">
        <v>0</v>
      </c>
    </row>
    <row r="4682" spans="1:6" x14ac:dyDescent="0.3">
      <c r="A4682" s="8">
        <v>4680</v>
      </c>
      <c r="B4682" s="8" t="s">
        <v>2303</v>
      </c>
      <c r="C4682" s="8" t="s">
        <v>9523</v>
      </c>
      <c r="D4682" s="8" t="s">
        <v>9524</v>
      </c>
      <c r="E4682" s="13">
        <v>0</v>
      </c>
      <c r="F4682" s="14">
        <v>0</v>
      </c>
    </row>
    <row r="4683" spans="1:6" x14ac:dyDescent="0.3">
      <c r="A4683" s="8">
        <v>4681</v>
      </c>
      <c r="B4683" s="8" t="s">
        <v>2303</v>
      </c>
      <c r="C4683" s="8" t="s">
        <v>9525</v>
      </c>
      <c r="D4683" s="8" t="s">
        <v>9526</v>
      </c>
      <c r="E4683" s="13">
        <v>31000</v>
      </c>
      <c r="F4683" s="14">
        <v>62037</v>
      </c>
    </row>
    <row r="4684" spans="1:6" x14ac:dyDescent="0.3">
      <c r="A4684" s="8">
        <v>4682</v>
      </c>
      <c r="B4684" s="8" t="s">
        <v>2303</v>
      </c>
      <c r="C4684" s="8" t="s">
        <v>9527</v>
      </c>
      <c r="D4684" s="8" t="s">
        <v>9528</v>
      </c>
      <c r="E4684" s="13">
        <v>61300</v>
      </c>
      <c r="F4684" s="14">
        <v>122222</v>
      </c>
    </row>
    <row r="4685" spans="1:6" x14ac:dyDescent="0.3">
      <c r="A4685" s="8">
        <v>4683</v>
      </c>
      <c r="B4685" s="8" t="s">
        <v>2303</v>
      </c>
      <c r="C4685" s="8" t="s">
        <v>9529</v>
      </c>
      <c r="D4685" s="8" t="s">
        <v>9530</v>
      </c>
      <c r="E4685" s="13">
        <v>0</v>
      </c>
      <c r="F4685" s="14">
        <v>0</v>
      </c>
    </row>
    <row r="4686" spans="1:6" x14ac:dyDescent="0.3">
      <c r="A4686" s="8">
        <v>4684</v>
      </c>
      <c r="B4686" s="8" t="s">
        <v>2303</v>
      </c>
      <c r="C4686" s="8" t="s">
        <v>9531</v>
      </c>
      <c r="D4686" s="8" t="s">
        <v>9532</v>
      </c>
      <c r="E4686" s="13">
        <v>208000</v>
      </c>
      <c r="F4686" s="14">
        <v>415741</v>
      </c>
    </row>
    <row r="4687" spans="1:6" x14ac:dyDescent="0.3">
      <c r="A4687" s="8">
        <v>4685</v>
      </c>
      <c r="B4687" s="8" t="s">
        <v>2792</v>
      </c>
      <c r="C4687" s="8" t="s">
        <v>9533</v>
      </c>
      <c r="D4687" s="8" t="s">
        <v>9534</v>
      </c>
      <c r="E4687" s="13">
        <v>829800</v>
      </c>
      <c r="F4687" s="14">
        <v>1446000</v>
      </c>
    </row>
    <row r="4688" spans="1:6" x14ac:dyDescent="0.3">
      <c r="A4688" s="8">
        <v>4686</v>
      </c>
      <c r="B4688" s="8" t="s">
        <v>2792</v>
      </c>
      <c r="C4688" s="8" t="s">
        <v>9535</v>
      </c>
      <c r="D4688" s="8" t="s">
        <v>9536</v>
      </c>
      <c r="E4688" s="13">
        <v>0</v>
      </c>
      <c r="F4688" s="14">
        <v>0</v>
      </c>
    </row>
    <row r="4689" spans="1:6" x14ac:dyDescent="0.3">
      <c r="A4689" s="8">
        <v>4687</v>
      </c>
      <c r="B4689" s="8" t="s">
        <v>2792</v>
      </c>
      <c r="C4689" s="8" t="s">
        <v>9537</v>
      </c>
      <c r="D4689" s="8" t="s">
        <v>9538</v>
      </c>
      <c r="E4689" s="13">
        <v>0</v>
      </c>
      <c r="F4689" s="14">
        <v>8400000</v>
      </c>
    </row>
    <row r="4690" spans="1:6" x14ac:dyDescent="0.3">
      <c r="A4690" s="8">
        <v>4688</v>
      </c>
      <c r="B4690" s="8" t="s">
        <v>2792</v>
      </c>
      <c r="C4690" s="8" t="s">
        <v>9539</v>
      </c>
      <c r="D4690" s="8" t="s">
        <v>9540</v>
      </c>
      <c r="E4690" s="13">
        <v>3279000</v>
      </c>
      <c r="F4690" s="14">
        <v>6558333</v>
      </c>
    </row>
    <row r="4691" spans="1:6" x14ac:dyDescent="0.3">
      <c r="A4691" s="8">
        <v>4689</v>
      </c>
      <c r="B4691" s="8" t="s">
        <v>2792</v>
      </c>
      <c r="C4691" s="8" t="s">
        <v>9541</v>
      </c>
      <c r="D4691" s="8" t="s">
        <v>9542</v>
      </c>
      <c r="E4691" s="13">
        <v>1949000</v>
      </c>
      <c r="F4691" s="14">
        <v>3898148</v>
      </c>
    </row>
    <row r="4692" spans="1:6" x14ac:dyDescent="0.3">
      <c r="A4692" s="8">
        <v>4690</v>
      </c>
      <c r="B4692" s="8" t="s">
        <v>7694</v>
      </c>
      <c r="C4692" s="8" t="s">
        <v>9543</v>
      </c>
      <c r="D4692" s="8" t="s">
        <v>9544</v>
      </c>
      <c r="E4692" s="13">
        <v>0</v>
      </c>
      <c r="F4692" s="14">
        <v>2200000</v>
      </c>
    </row>
    <row r="4693" spans="1:6" x14ac:dyDescent="0.3">
      <c r="A4693" s="8">
        <v>4691</v>
      </c>
      <c r="B4693" s="8" t="s">
        <v>7694</v>
      </c>
      <c r="C4693" s="8" t="s">
        <v>9545</v>
      </c>
      <c r="D4693" s="8" t="s">
        <v>9546</v>
      </c>
      <c r="E4693" s="13">
        <v>0</v>
      </c>
      <c r="F4693" s="14">
        <v>0</v>
      </c>
    </row>
    <row r="4694" spans="1:6" x14ac:dyDescent="0.3">
      <c r="A4694" s="8">
        <v>4692</v>
      </c>
      <c r="B4694" s="8" t="s">
        <v>7694</v>
      </c>
      <c r="C4694" s="8" t="s">
        <v>9547</v>
      </c>
      <c r="D4694" s="8" t="s">
        <v>9548</v>
      </c>
      <c r="E4694" s="13">
        <v>119000</v>
      </c>
      <c r="F4694" s="14">
        <v>214000</v>
      </c>
    </row>
    <row r="4695" spans="1:6" x14ac:dyDescent="0.3">
      <c r="A4695" s="8">
        <v>4693</v>
      </c>
      <c r="B4695" s="8" t="s">
        <v>7694</v>
      </c>
      <c r="C4695" s="8" t="s">
        <v>9549</v>
      </c>
      <c r="D4695" s="8" t="s">
        <v>9550</v>
      </c>
      <c r="E4695" s="13">
        <v>0</v>
      </c>
      <c r="F4695" s="14">
        <v>0</v>
      </c>
    </row>
    <row r="4696" spans="1:6" x14ac:dyDescent="0.3">
      <c r="A4696" s="8">
        <v>4694</v>
      </c>
      <c r="B4696" s="8" t="s">
        <v>7694</v>
      </c>
      <c r="C4696" s="8" t="s">
        <v>9551</v>
      </c>
      <c r="D4696" s="8" t="s">
        <v>9552</v>
      </c>
      <c r="E4696" s="13">
        <v>0</v>
      </c>
      <c r="F4696" s="14">
        <v>2200000</v>
      </c>
    </row>
    <row r="4697" spans="1:6" x14ac:dyDescent="0.3">
      <c r="A4697" s="8">
        <v>4695</v>
      </c>
      <c r="B4697" s="8" t="s">
        <v>7694</v>
      </c>
      <c r="C4697" s="8" t="s">
        <v>9553</v>
      </c>
      <c r="D4697" s="8" t="s">
        <v>9554</v>
      </c>
      <c r="E4697" s="13">
        <v>107900</v>
      </c>
      <c r="F4697" s="14">
        <v>222222</v>
      </c>
    </row>
    <row r="4698" spans="1:6" x14ac:dyDescent="0.3">
      <c r="A4698" s="8">
        <v>4696</v>
      </c>
      <c r="B4698" s="8" t="s">
        <v>7694</v>
      </c>
      <c r="C4698" s="8" t="s">
        <v>9555</v>
      </c>
      <c r="D4698" s="8" t="s">
        <v>9556</v>
      </c>
      <c r="E4698" s="13">
        <v>0</v>
      </c>
      <c r="F4698" s="14">
        <v>437000</v>
      </c>
    </row>
    <row r="4699" spans="1:6" x14ac:dyDescent="0.3">
      <c r="A4699" s="8">
        <v>4697</v>
      </c>
      <c r="B4699" s="8" t="s">
        <v>7694</v>
      </c>
      <c r="C4699" s="8" t="s">
        <v>9557</v>
      </c>
      <c r="D4699" s="8" t="s">
        <v>9558</v>
      </c>
      <c r="E4699" s="13">
        <v>184000</v>
      </c>
      <c r="F4699" s="14">
        <v>368519</v>
      </c>
    </row>
    <row r="4700" spans="1:6" x14ac:dyDescent="0.3">
      <c r="A4700" s="8">
        <v>4698</v>
      </c>
      <c r="B4700" s="8" t="s">
        <v>7694</v>
      </c>
      <c r="C4700" s="8" t="s">
        <v>9559</v>
      </c>
      <c r="D4700" s="8" t="s">
        <v>9560</v>
      </c>
      <c r="E4700" s="13">
        <v>0</v>
      </c>
      <c r="F4700" s="14">
        <v>390909</v>
      </c>
    </row>
    <row r="4701" spans="1:6" x14ac:dyDescent="0.3">
      <c r="A4701" s="8">
        <v>4699</v>
      </c>
      <c r="B4701" s="8" t="s">
        <v>7694</v>
      </c>
      <c r="C4701" s="8" t="s">
        <v>9561</v>
      </c>
      <c r="D4701" s="8" t="s">
        <v>9562</v>
      </c>
      <c r="E4701" s="13">
        <v>0</v>
      </c>
      <c r="F4701" s="14">
        <v>660000</v>
      </c>
    </row>
    <row r="4702" spans="1:6" x14ac:dyDescent="0.3">
      <c r="A4702" s="8">
        <v>4700</v>
      </c>
      <c r="B4702" s="8" t="s">
        <v>7694</v>
      </c>
      <c r="C4702" s="8" t="s">
        <v>9563</v>
      </c>
      <c r="D4702" s="8" t="s">
        <v>9564</v>
      </c>
      <c r="E4702" s="13">
        <v>0</v>
      </c>
      <c r="F4702" s="14">
        <v>959091</v>
      </c>
    </row>
    <row r="4703" spans="1:6" x14ac:dyDescent="0.3">
      <c r="A4703" s="8">
        <v>4701</v>
      </c>
      <c r="B4703" s="8" t="s">
        <v>7694</v>
      </c>
      <c r="C4703" s="8" t="s">
        <v>9565</v>
      </c>
      <c r="D4703" s="8" t="s">
        <v>9566</v>
      </c>
      <c r="E4703" s="13">
        <v>290000</v>
      </c>
      <c r="F4703" s="14">
        <v>580000</v>
      </c>
    </row>
    <row r="4704" spans="1:6" x14ac:dyDescent="0.3">
      <c r="A4704" s="8">
        <v>4702</v>
      </c>
      <c r="B4704" s="8" t="s">
        <v>7694</v>
      </c>
      <c r="C4704" s="8" t="s">
        <v>9567</v>
      </c>
      <c r="D4704" s="8" t="s">
        <v>9568</v>
      </c>
      <c r="E4704" s="13">
        <v>0</v>
      </c>
      <c r="F4704" s="14">
        <v>1006364</v>
      </c>
    </row>
    <row r="4705" spans="1:6" x14ac:dyDescent="0.3">
      <c r="A4705" s="8">
        <v>4703</v>
      </c>
      <c r="B4705" s="8" t="s">
        <v>7694</v>
      </c>
      <c r="C4705" s="8" t="s">
        <v>9569</v>
      </c>
      <c r="D4705" s="8" t="s">
        <v>9570</v>
      </c>
      <c r="E4705" s="13">
        <v>148200</v>
      </c>
      <c r="F4705" s="14">
        <v>296296</v>
      </c>
    </row>
    <row r="4706" spans="1:6" x14ac:dyDescent="0.3">
      <c r="A4706" s="8">
        <v>4704</v>
      </c>
      <c r="B4706" s="8" t="s">
        <v>7694</v>
      </c>
      <c r="C4706" s="8" t="s">
        <v>9571</v>
      </c>
      <c r="D4706" s="8" t="s">
        <v>9572</v>
      </c>
      <c r="E4706" s="13">
        <v>0</v>
      </c>
      <c r="F4706" s="14">
        <v>0</v>
      </c>
    </row>
    <row r="4707" spans="1:6" x14ac:dyDescent="0.3">
      <c r="A4707" s="8">
        <v>4705</v>
      </c>
      <c r="B4707" s="8" t="s">
        <v>7694</v>
      </c>
      <c r="C4707" s="8" t="s">
        <v>9573</v>
      </c>
      <c r="D4707" s="8" t="s">
        <v>9574</v>
      </c>
      <c r="E4707" s="13">
        <v>0</v>
      </c>
      <c r="F4707" s="14">
        <v>0</v>
      </c>
    </row>
    <row r="4708" spans="1:6" x14ac:dyDescent="0.3">
      <c r="A4708" s="8">
        <v>4706</v>
      </c>
      <c r="B4708" s="8" t="s">
        <v>7694</v>
      </c>
      <c r="C4708" s="8" t="s">
        <v>9575</v>
      </c>
      <c r="D4708" s="8" t="s">
        <v>9576</v>
      </c>
      <c r="E4708" s="13">
        <v>364000</v>
      </c>
      <c r="F4708" s="14">
        <v>727778</v>
      </c>
    </row>
    <row r="4709" spans="1:6" x14ac:dyDescent="0.3">
      <c r="A4709" s="8">
        <v>4707</v>
      </c>
      <c r="B4709" s="8" t="s">
        <v>7694</v>
      </c>
      <c r="C4709" s="8" t="s">
        <v>9577</v>
      </c>
      <c r="D4709" s="8" t="s">
        <v>9578</v>
      </c>
      <c r="E4709" s="13">
        <v>342600</v>
      </c>
      <c r="F4709" s="14">
        <v>685455</v>
      </c>
    </row>
    <row r="4710" spans="1:6" x14ac:dyDescent="0.3">
      <c r="A4710" s="8">
        <v>4708</v>
      </c>
      <c r="B4710" s="8" t="s">
        <v>7694</v>
      </c>
      <c r="C4710" s="8" t="s">
        <v>9579</v>
      </c>
      <c r="D4710" s="8" t="s">
        <v>9580</v>
      </c>
      <c r="E4710" s="13">
        <v>0</v>
      </c>
      <c r="F4710" s="14">
        <v>528182</v>
      </c>
    </row>
    <row r="4711" spans="1:6" x14ac:dyDescent="0.3">
      <c r="A4711" s="8">
        <v>4709</v>
      </c>
      <c r="B4711" s="8" t="s">
        <v>7694</v>
      </c>
      <c r="C4711" s="8" t="s">
        <v>9581</v>
      </c>
      <c r="D4711" s="8" t="s">
        <v>9582</v>
      </c>
      <c r="E4711" s="13">
        <v>1800000</v>
      </c>
      <c r="F4711" s="14">
        <v>3600000</v>
      </c>
    </row>
    <row r="4712" spans="1:6" x14ac:dyDescent="0.3">
      <c r="A4712" s="8">
        <v>4710</v>
      </c>
      <c r="B4712" s="8" t="s">
        <v>7694</v>
      </c>
      <c r="C4712" s="8" t="s">
        <v>9583</v>
      </c>
      <c r="D4712" s="8" t="s">
        <v>9584</v>
      </c>
      <c r="E4712" s="13">
        <v>0</v>
      </c>
      <c r="F4712" s="14">
        <v>0</v>
      </c>
    </row>
    <row r="4713" spans="1:6" x14ac:dyDescent="0.3">
      <c r="A4713" s="8">
        <v>4711</v>
      </c>
      <c r="B4713" s="8" t="s">
        <v>7694</v>
      </c>
      <c r="C4713" s="8" t="s">
        <v>9585</v>
      </c>
      <c r="D4713" s="8" t="s">
        <v>9586</v>
      </c>
      <c r="E4713" s="13">
        <v>240000</v>
      </c>
      <c r="F4713" s="14">
        <v>480000</v>
      </c>
    </row>
    <row r="4714" spans="1:6" x14ac:dyDescent="0.3">
      <c r="A4714" s="8">
        <v>4712</v>
      </c>
      <c r="B4714" s="8" t="s">
        <v>7694</v>
      </c>
      <c r="C4714" s="8" t="s">
        <v>9587</v>
      </c>
      <c r="D4714" s="8" t="s">
        <v>9588</v>
      </c>
      <c r="E4714" s="13">
        <v>0</v>
      </c>
      <c r="F4714" s="14">
        <v>0</v>
      </c>
    </row>
    <row r="4715" spans="1:6" x14ac:dyDescent="0.3">
      <c r="A4715" s="8">
        <v>4713</v>
      </c>
      <c r="B4715" s="8" t="s">
        <v>7694</v>
      </c>
      <c r="C4715" s="8" t="s">
        <v>9589</v>
      </c>
      <c r="D4715" s="8" t="s">
        <v>9590</v>
      </c>
      <c r="E4715" s="13">
        <v>0</v>
      </c>
      <c r="F4715" s="14">
        <v>0</v>
      </c>
    </row>
    <row r="4716" spans="1:6" x14ac:dyDescent="0.3">
      <c r="A4716" s="8">
        <v>4714</v>
      </c>
      <c r="B4716" s="8" t="s">
        <v>4148</v>
      </c>
      <c r="C4716" s="8" t="s">
        <v>9591</v>
      </c>
      <c r="D4716" s="8" t="s">
        <v>9592</v>
      </c>
      <c r="E4716" s="13">
        <v>46296</v>
      </c>
      <c r="F4716" s="14">
        <v>46296</v>
      </c>
    </row>
    <row r="4717" spans="1:6" x14ac:dyDescent="0.3">
      <c r="A4717" s="8">
        <v>4715</v>
      </c>
      <c r="B4717" s="8" t="s">
        <v>4148</v>
      </c>
      <c r="C4717" s="8" t="s">
        <v>9593</v>
      </c>
      <c r="D4717" s="8" t="s">
        <v>9594</v>
      </c>
      <c r="E4717" s="13">
        <v>51300</v>
      </c>
      <c r="F4717" s="14">
        <v>112000</v>
      </c>
    </row>
    <row r="4718" spans="1:6" x14ac:dyDescent="0.3">
      <c r="A4718" s="8">
        <v>4716</v>
      </c>
      <c r="B4718" s="8" t="s">
        <v>4148</v>
      </c>
      <c r="C4718" s="8" t="s">
        <v>9595</v>
      </c>
      <c r="D4718" s="8" t="s">
        <v>9596</v>
      </c>
      <c r="E4718" s="13">
        <v>57800</v>
      </c>
      <c r="F4718" s="14">
        <v>126000</v>
      </c>
    </row>
    <row r="4719" spans="1:6" x14ac:dyDescent="0.3">
      <c r="A4719" s="8">
        <v>4717</v>
      </c>
      <c r="B4719" s="8" t="s">
        <v>4148</v>
      </c>
      <c r="C4719" s="8" t="s">
        <v>9597</v>
      </c>
      <c r="D4719" s="8" t="s">
        <v>9598</v>
      </c>
      <c r="E4719" s="13">
        <v>0</v>
      </c>
      <c r="F4719" s="14">
        <v>331000</v>
      </c>
    </row>
    <row r="4720" spans="1:6" x14ac:dyDescent="0.3">
      <c r="A4720" s="8">
        <v>4718</v>
      </c>
      <c r="B4720" s="8" t="s">
        <v>4148</v>
      </c>
      <c r="C4720" s="8" t="s">
        <v>9599</v>
      </c>
      <c r="D4720" s="8" t="s">
        <v>9600</v>
      </c>
      <c r="E4720" s="13">
        <v>70000</v>
      </c>
      <c r="F4720" s="14">
        <v>151852</v>
      </c>
    </row>
    <row r="4721" spans="1:6" x14ac:dyDescent="0.3">
      <c r="A4721" s="8">
        <v>4719</v>
      </c>
      <c r="B4721" s="8" t="s">
        <v>4148</v>
      </c>
      <c r="C4721" s="8" t="s">
        <v>9601</v>
      </c>
      <c r="D4721" s="8" t="s">
        <v>9602</v>
      </c>
      <c r="E4721" s="13">
        <v>0</v>
      </c>
      <c r="F4721" s="14">
        <v>191000</v>
      </c>
    </row>
    <row r="4722" spans="1:6" x14ac:dyDescent="0.3">
      <c r="A4722" s="8">
        <v>4720</v>
      </c>
      <c r="B4722" s="8" t="s">
        <v>4148</v>
      </c>
      <c r="C4722" s="8" t="s">
        <v>9603</v>
      </c>
      <c r="D4722" s="8" t="s">
        <v>9604</v>
      </c>
      <c r="E4722" s="13">
        <v>0</v>
      </c>
      <c r="F4722" s="14">
        <v>185000</v>
      </c>
    </row>
    <row r="4723" spans="1:6" x14ac:dyDescent="0.3">
      <c r="A4723" s="8">
        <v>4721</v>
      </c>
      <c r="B4723" s="8" t="s">
        <v>4148</v>
      </c>
      <c r="C4723" s="8" t="s">
        <v>9605</v>
      </c>
      <c r="D4723" s="8" t="s">
        <v>9606</v>
      </c>
      <c r="E4723" s="13">
        <v>42300</v>
      </c>
      <c r="F4723" s="14">
        <v>84630</v>
      </c>
    </row>
    <row r="4724" spans="1:6" x14ac:dyDescent="0.3">
      <c r="A4724" s="8">
        <v>4722</v>
      </c>
      <c r="B4724" s="8" t="s">
        <v>4148</v>
      </c>
      <c r="C4724" s="8" t="s">
        <v>9607</v>
      </c>
      <c r="D4724" s="8" t="s">
        <v>9608</v>
      </c>
      <c r="E4724" s="13">
        <v>0</v>
      </c>
      <c r="F4724" s="14">
        <v>0</v>
      </c>
    </row>
    <row r="4725" spans="1:6" x14ac:dyDescent="0.3">
      <c r="A4725" s="8">
        <v>4723</v>
      </c>
      <c r="B4725" s="8" t="s">
        <v>4148</v>
      </c>
      <c r="C4725" s="8" t="s">
        <v>9609</v>
      </c>
      <c r="D4725" s="8" t="s">
        <v>9610</v>
      </c>
      <c r="E4725" s="13">
        <v>83800</v>
      </c>
      <c r="F4725" s="14">
        <v>167593</v>
      </c>
    </row>
    <row r="4726" spans="1:6" x14ac:dyDescent="0.3">
      <c r="A4726" s="8">
        <v>4724</v>
      </c>
      <c r="B4726" s="8" t="s">
        <v>4148</v>
      </c>
      <c r="C4726" s="8" t="s">
        <v>9611</v>
      </c>
      <c r="D4726" s="8" t="s">
        <v>9612</v>
      </c>
      <c r="E4726" s="13">
        <v>83200</v>
      </c>
      <c r="F4726" s="14">
        <v>166667</v>
      </c>
    </row>
    <row r="4727" spans="1:6" x14ac:dyDescent="0.3">
      <c r="A4727" s="8">
        <v>4725</v>
      </c>
      <c r="B4727" s="8" t="s">
        <v>4148</v>
      </c>
      <c r="C4727" s="8" t="s">
        <v>9613</v>
      </c>
      <c r="D4727" s="8" t="s">
        <v>9614</v>
      </c>
      <c r="E4727" s="13">
        <v>94600</v>
      </c>
      <c r="F4727" s="14">
        <v>188889</v>
      </c>
    </row>
    <row r="4728" spans="1:6" x14ac:dyDescent="0.3">
      <c r="A4728" s="8">
        <v>4726</v>
      </c>
      <c r="B4728" s="8" t="s">
        <v>4148</v>
      </c>
      <c r="C4728" s="8" t="s">
        <v>9615</v>
      </c>
      <c r="D4728" s="8" t="s">
        <v>9616</v>
      </c>
      <c r="E4728" s="13">
        <v>76300</v>
      </c>
      <c r="F4728" s="14">
        <v>170370</v>
      </c>
    </row>
    <row r="4729" spans="1:6" x14ac:dyDescent="0.3">
      <c r="A4729" s="8">
        <v>4727</v>
      </c>
      <c r="B4729" s="8" t="s">
        <v>4148</v>
      </c>
      <c r="C4729" s="8" t="s">
        <v>9617</v>
      </c>
      <c r="D4729" s="8" t="s">
        <v>9618</v>
      </c>
      <c r="E4729" s="13">
        <v>250000</v>
      </c>
      <c r="F4729" s="14">
        <v>500000</v>
      </c>
    </row>
    <row r="4730" spans="1:6" x14ac:dyDescent="0.3">
      <c r="A4730" s="8">
        <v>4728</v>
      </c>
      <c r="B4730" s="8" t="s">
        <v>4148</v>
      </c>
      <c r="C4730" s="8" t="s">
        <v>9619</v>
      </c>
      <c r="D4730" s="8" t="s">
        <v>9620</v>
      </c>
      <c r="E4730" s="13">
        <v>0</v>
      </c>
      <c r="F4730" s="14">
        <v>0</v>
      </c>
    </row>
    <row r="4731" spans="1:6" x14ac:dyDescent="0.3">
      <c r="A4731" s="8">
        <v>4729</v>
      </c>
      <c r="B4731" s="8" t="s">
        <v>4148</v>
      </c>
      <c r="C4731" s="8" t="s">
        <v>9621</v>
      </c>
      <c r="D4731" s="8" t="s">
        <v>9622</v>
      </c>
      <c r="E4731" s="13">
        <v>61400</v>
      </c>
      <c r="F4731" s="14">
        <v>136111</v>
      </c>
    </row>
    <row r="4732" spans="1:6" x14ac:dyDescent="0.3">
      <c r="A4732" s="8">
        <v>4730</v>
      </c>
      <c r="B4732" s="8" t="s">
        <v>4148</v>
      </c>
      <c r="C4732" s="8" t="s">
        <v>9623</v>
      </c>
      <c r="D4732" s="8" t="s">
        <v>9624</v>
      </c>
      <c r="E4732" s="13">
        <v>70100</v>
      </c>
      <c r="F4732" s="14">
        <v>156481</v>
      </c>
    </row>
    <row r="4733" spans="1:6" x14ac:dyDescent="0.3">
      <c r="A4733" s="8">
        <v>4731</v>
      </c>
      <c r="B4733" s="8" t="s">
        <v>4148</v>
      </c>
      <c r="C4733" s="8" t="s">
        <v>9625</v>
      </c>
      <c r="D4733" s="8" t="s">
        <v>9626</v>
      </c>
      <c r="E4733" s="13">
        <v>70100</v>
      </c>
      <c r="F4733" s="14">
        <v>139815</v>
      </c>
    </row>
    <row r="4734" spans="1:6" x14ac:dyDescent="0.3">
      <c r="A4734" s="8">
        <v>4732</v>
      </c>
      <c r="B4734" s="8" t="s">
        <v>4148</v>
      </c>
      <c r="C4734" s="8" t="s">
        <v>9627</v>
      </c>
      <c r="D4734" s="8" t="s">
        <v>9628</v>
      </c>
      <c r="E4734" s="13">
        <v>87700</v>
      </c>
      <c r="F4734" s="14">
        <v>197222</v>
      </c>
    </row>
    <row r="4735" spans="1:6" x14ac:dyDescent="0.3">
      <c r="A4735" s="8">
        <v>4733</v>
      </c>
      <c r="B4735" s="8" t="s">
        <v>4148</v>
      </c>
      <c r="C4735" s="8" t="s">
        <v>9629</v>
      </c>
      <c r="D4735" s="8" t="s">
        <v>9630</v>
      </c>
      <c r="E4735" s="13">
        <v>76300</v>
      </c>
      <c r="F4735" s="14">
        <v>170370</v>
      </c>
    </row>
    <row r="4736" spans="1:6" x14ac:dyDescent="0.3">
      <c r="A4736" s="8">
        <v>4734</v>
      </c>
      <c r="B4736" s="8" t="s">
        <v>4148</v>
      </c>
      <c r="C4736" s="8" t="s">
        <v>9631</v>
      </c>
      <c r="D4736" s="8" t="s">
        <v>9632</v>
      </c>
      <c r="E4736" s="13">
        <v>0</v>
      </c>
      <c r="F4736" s="14">
        <v>0</v>
      </c>
    </row>
    <row r="4737" spans="1:6" x14ac:dyDescent="0.3">
      <c r="A4737" s="8">
        <v>4735</v>
      </c>
      <c r="B4737" s="8" t="s">
        <v>4148</v>
      </c>
      <c r="C4737" s="8" t="s">
        <v>9633</v>
      </c>
      <c r="D4737" s="8" t="s">
        <v>9634</v>
      </c>
      <c r="E4737" s="13">
        <v>165000</v>
      </c>
      <c r="F4737" s="14">
        <v>329630</v>
      </c>
    </row>
    <row r="4738" spans="1:6" x14ac:dyDescent="0.3">
      <c r="A4738" s="8">
        <v>4736</v>
      </c>
      <c r="B4738" s="8" t="s">
        <v>4148</v>
      </c>
      <c r="C4738" s="8" t="s">
        <v>9635</v>
      </c>
      <c r="D4738" s="8" t="s">
        <v>9636</v>
      </c>
      <c r="E4738" s="13">
        <v>171300</v>
      </c>
      <c r="F4738" s="14">
        <v>342593</v>
      </c>
    </row>
    <row r="4739" spans="1:6" x14ac:dyDescent="0.3">
      <c r="A4739" s="8">
        <v>4737</v>
      </c>
      <c r="B4739" s="8" t="s">
        <v>6516</v>
      </c>
      <c r="C4739" s="8" t="s">
        <v>9637</v>
      </c>
      <c r="D4739" s="8" t="s">
        <v>9638</v>
      </c>
      <c r="E4739" s="13">
        <v>0</v>
      </c>
      <c r="F4739" s="14">
        <v>0</v>
      </c>
    </row>
    <row r="4740" spans="1:6" x14ac:dyDescent="0.3">
      <c r="A4740" s="8">
        <v>4738</v>
      </c>
      <c r="B4740" s="8" t="s">
        <v>6516</v>
      </c>
      <c r="C4740" s="8" t="s">
        <v>9639</v>
      </c>
      <c r="D4740" s="8" t="s">
        <v>9640</v>
      </c>
      <c r="E4740" s="13">
        <v>0</v>
      </c>
      <c r="F4740" s="14">
        <v>0</v>
      </c>
    </row>
    <row r="4741" spans="1:6" x14ac:dyDescent="0.3">
      <c r="A4741" s="8">
        <v>4739</v>
      </c>
      <c r="B4741" s="8" t="s">
        <v>6516</v>
      </c>
      <c r="C4741" s="8" t="s">
        <v>9641</v>
      </c>
      <c r="D4741" s="8" t="s">
        <v>9642</v>
      </c>
      <c r="E4741" s="13">
        <v>0</v>
      </c>
      <c r="F4741" s="14">
        <v>0</v>
      </c>
    </row>
    <row r="4742" spans="1:6" x14ac:dyDescent="0.3">
      <c r="A4742" s="8">
        <v>4740</v>
      </c>
      <c r="B4742" s="8" t="s">
        <v>6516</v>
      </c>
      <c r="C4742" s="8" t="s">
        <v>9643</v>
      </c>
      <c r="D4742" s="8" t="s">
        <v>9644</v>
      </c>
      <c r="E4742" s="13">
        <v>0</v>
      </c>
      <c r="F4742" s="14">
        <v>0</v>
      </c>
    </row>
    <row r="4743" spans="1:6" x14ac:dyDescent="0.3">
      <c r="A4743" s="8">
        <v>4741</v>
      </c>
      <c r="B4743" s="8" t="s">
        <v>7355</v>
      </c>
      <c r="C4743" s="8" t="s">
        <v>9645</v>
      </c>
      <c r="D4743" s="8" t="s">
        <v>9646</v>
      </c>
      <c r="E4743" s="13">
        <v>0</v>
      </c>
      <c r="F4743" s="14">
        <v>0</v>
      </c>
    </row>
    <row r="4744" spans="1:6" x14ac:dyDescent="0.3">
      <c r="A4744" s="8">
        <v>4742</v>
      </c>
      <c r="B4744" s="8" t="s">
        <v>7355</v>
      </c>
      <c r="C4744" s="8" t="s">
        <v>9647</v>
      </c>
      <c r="D4744" s="8" t="s">
        <v>9648</v>
      </c>
      <c r="E4744" s="13">
        <v>149000</v>
      </c>
      <c r="F4744" s="14">
        <v>298148</v>
      </c>
    </row>
    <row r="4745" spans="1:6" x14ac:dyDescent="0.3">
      <c r="A4745" s="8">
        <v>4743</v>
      </c>
      <c r="B4745" s="8" t="s">
        <v>7355</v>
      </c>
      <c r="C4745" s="8" t="s">
        <v>9649</v>
      </c>
      <c r="D4745" s="8" t="s">
        <v>9650</v>
      </c>
      <c r="E4745" s="13">
        <v>0</v>
      </c>
      <c r="F4745" s="14">
        <v>0</v>
      </c>
    </row>
    <row r="4746" spans="1:6" x14ac:dyDescent="0.3">
      <c r="A4746" s="8">
        <v>4744</v>
      </c>
      <c r="B4746" s="8" t="s">
        <v>7355</v>
      </c>
      <c r="C4746" s="8" t="s">
        <v>9651</v>
      </c>
      <c r="D4746" s="8" t="s">
        <v>9652</v>
      </c>
      <c r="E4746" s="13">
        <v>108000</v>
      </c>
      <c r="F4746" s="14">
        <v>215741</v>
      </c>
    </row>
    <row r="4747" spans="1:6" x14ac:dyDescent="0.3">
      <c r="A4747" s="8">
        <v>4745</v>
      </c>
      <c r="B4747" s="8" t="s">
        <v>7355</v>
      </c>
      <c r="C4747" s="8" t="s">
        <v>9653</v>
      </c>
      <c r="D4747" s="8" t="s">
        <v>9654</v>
      </c>
      <c r="E4747" s="13">
        <v>650000</v>
      </c>
      <c r="F4747" s="14">
        <v>1030000</v>
      </c>
    </row>
    <row r="4748" spans="1:6" x14ac:dyDescent="0.3">
      <c r="A4748" s="8">
        <v>4746</v>
      </c>
      <c r="B4748" s="8" t="s">
        <v>7355</v>
      </c>
      <c r="C4748" s="8" t="s">
        <v>9655</v>
      </c>
      <c r="D4748" s="8" t="s">
        <v>9656</v>
      </c>
      <c r="E4748" s="13">
        <v>0</v>
      </c>
      <c r="F4748" s="14">
        <v>500000</v>
      </c>
    </row>
    <row r="4749" spans="1:6" x14ac:dyDescent="0.3">
      <c r="A4749" s="8">
        <v>4747</v>
      </c>
      <c r="B4749" s="8" t="s">
        <v>7368</v>
      </c>
      <c r="C4749" s="8" t="s">
        <v>9657</v>
      </c>
      <c r="D4749" s="8" t="s">
        <v>9658</v>
      </c>
      <c r="E4749" s="13">
        <v>68600</v>
      </c>
      <c r="F4749" s="14">
        <v>137037</v>
      </c>
    </row>
    <row r="4750" spans="1:6" x14ac:dyDescent="0.3">
      <c r="A4750" s="8">
        <v>4748</v>
      </c>
      <c r="B4750" s="8" t="s">
        <v>7368</v>
      </c>
      <c r="C4750" s="8" t="s">
        <v>9659</v>
      </c>
      <c r="D4750" s="8" t="s">
        <v>9660</v>
      </c>
      <c r="E4750" s="13">
        <v>0</v>
      </c>
      <c r="F4750" s="14">
        <v>0</v>
      </c>
    </row>
    <row r="4751" spans="1:6" x14ac:dyDescent="0.3">
      <c r="A4751" s="8">
        <v>4749</v>
      </c>
      <c r="B4751" s="8" t="s">
        <v>7368</v>
      </c>
      <c r="C4751" s="8" t="s">
        <v>9661</v>
      </c>
      <c r="D4751" s="8" t="s">
        <v>9662</v>
      </c>
      <c r="E4751" s="13">
        <v>44100</v>
      </c>
      <c r="F4751" s="14">
        <v>87963</v>
      </c>
    </row>
    <row r="4752" spans="1:6" x14ac:dyDescent="0.3">
      <c r="A4752" s="8">
        <v>4750</v>
      </c>
      <c r="B4752" s="8" t="s">
        <v>7368</v>
      </c>
      <c r="C4752" s="8" t="s">
        <v>9663</v>
      </c>
      <c r="D4752" s="8" t="s">
        <v>9664</v>
      </c>
      <c r="E4752" s="13">
        <v>0</v>
      </c>
      <c r="F4752" s="14">
        <v>0</v>
      </c>
    </row>
    <row r="4753" spans="1:6" x14ac:dyDescent="0.3">
      <c r="A4753" s="8">
        <v>4751</v>
      </c>
      <c r="B4753" s="8" t="s">
        <v>7368</v>
      </c>
      <c r="C4753" s="8" t="s">
        <v>9665</v>
      </c>
      <c r="D4753" s="8" t="s">
        <v>9666</v>
      </c>
      <c r="E4753" s="13">
        <v>46600</v>
      </c>
      <c r="F4753" s="14">
        <v>84000</v>
      </c>
    </row>
    <row r="4754" spans="1:6" x14ac:dyDescent="0.3">
      <c r="A4754" s="8">
        <v>4752</v>
      </c>
      <c r="B4754" s="8" t="s">
        <v>7368</v>
      </c>
      <c r="C4754" s="8" t="s">
        <v>9667</v>
      </c>
      <c r="D4754" s="8" t="s">
        <v>9668</v>
      </c>
      <c r="E4754" s="13">
        <v>51200</v>
      </c>
      <c r="F4754" s="14">
        <v>107407</v>
      </c>
    </row>
    <row r="4755" spans="1:6" x14ac:dyDescent="0.3">
      <c r="A4755" s="8">
        <v>4753</v>
      </c>
      <c r="B4755" s="8" t="s">
        <v>7368</v>
      </c>
      <c r="C4755" s="8" t="s">
        <v>9669</v>
      </c>
      <c r="D4755" s="8" t="s">
        <v>9670</v>
      </c>
      <c r="E4755" s="13">
        <v>0</v>
      </c>
      <c r="F4755" s="14">
        <v>0</v>
      </c>
    </row>
    <row r="4756" spans="1:6" x14ac:dyDescent="0.3">
      <c r="A4756" s="8">
        <v>4754</v>
      </c>
      <c r="B4756" s="8" t="s">
        <v>7368</v>
      </c>
      <c r="C4756" s="8" t="s">
        <v>9671</v>
      </c>
      <c r="D4756" s="8" t="s">
        <v>9672</v>
      </c>
      <c r="E4756" s="13">
        <v>0</v>
      </c>
      <c r="F4756" s="14">
        <v>0</v>
      </c>
    </row>
    <row r="4757" spans="1:6" x14ac:dyDescent="0.3">
      <c r="A4757" s="8">
        <v>4755</v>
      </c>
      <c r="B4757" s="8" t="s">
        <v>7368</v>
      </c>
      <c r="C4757" s="8" t="s">
        <v>9673</v>
      </c>
      <c r="D4757" s="8" t="s">
        <v>9674</v>
      </c>
      <c r="E4757" s="13">
        <v>0</v>
      </c>
      <c r="F4757" s="14">
        <v>0</v>
      </c>
    </row>
    <row r="4758" spans="1:6" x14ac:dyDescent="0.3">
      <c r="A4758" s="8">
        <v>4756</v>
      </c>
      <c r="B4758" s="8" t="s">
        <v>7368</v>
      </c>
      <c r="C4758" s="8" t="s">
        <v>9675</v>
      </c>
      <c r="D4758" s="8" t="s">
        <v>9676</v>
      </c>
      <c r="E4758" s="13">
        <v>0</v>
      </c>
      <c r="F4758" s="14">
        <v>0</v>
      </c>
    </row>
    <row r="4759" spans="1:6" x14ac:dyDescent="0.3">
      <c r="A4759" s="8">
        <v>4757</v>
      </c>
      <c r="B4759" s="8" t="s">
        <v>7681</v>
      </c>
      <c r="C4759" s="8" t="s">
        <v>9677</v>
      </c>
      <c r="D4759" s="8" t="s">
        <v>9678</v>
      </c>
      <c r="E4759" s="13">
        <v>0</v>
      </c>
      <c r="F4759" s="14">
        <v>0</v>
      </c>
    </row>
    <row r="4760" spans="1:6" x14ac:dyDescent="0.3">
      <c r="A4760" s="8">
        <v>4758</v>
      </c>
      <c r="B4760" s="8" t="s">
        <v>7681</v>
      </c>
      <c r="C4760" s="8" t="s">
        <v>9679</v>
      </c>
      <c r="D4760" s="8" t="s">
        <v>9680</v>
      </c>
      <c r="E4760" s="13">
        <v>636000</v>
      </c>
      <c r="F4760" s="14">
        <v>1272000</v>
      </c>
    </row>
    <row r="4761" spans="1:6" x14ac:dyDescent="0.3">
      <c r="A4761" s="8">
        <v>4759</v>
      </c>
      <c r="B4761" s="8" t="s">
        <v>7681</v>
      </c>
      <c r="C4761" s="8" t="s">
        <v>9681</v>
      </c>
      <c r="D4761" s="8" t="s">
        <v>9682</v>
      </c>
      <c r="E4761" s="13">
        <v>0</v>
      </c>
      <c r="F4761" s="14">
        <v>0</v>
      </c>
    </row>
    <row r="4762" spans="1:6" x14ac:dyDescent="0.3">
      <c r="A4762" s="8">
        <v>4760</v>
      </c>
      <c r="B4762" s="8" t="s">
        <v>7681</v>
      </c>
      <c r="C4762" s="8" t="s">
        <v>9683</v>
      </c>
      <c r="D4762" s="8" t="s">
        <v>9684</v>
      </c>
      <c r="E4762" s="13">
        <v>0</v>
      </c>
      <c r="F4762" s="14">
        <v>0</v>
      </c>
    </row>
    <row r="4763" spans="1:6" x14ac:dyDescent="0.3">
      <c r="A4763" s="8">
        <v>4761</v>
      </c>
      <c r="B4763" s="8" t="s">
        <v>7681</v>
      </c>
      <c r="C4763" s="8" t="s">
        <v>9685</v>
      </c>
      <c r="D4763" s="8" t="s">
        <v>9686</v>
      </c>
      <c r="E4763" s="13">
        <v>0</v>
      </c>
      <c r="F4763" s="14">
        <v>0</v>
      </c>
    </row>
    <row r="4764" spans="1:6" x14ac:dyDescent="0.3">
      <c r="A4764" s="8">
        <v>4762</v>
      </c>
      <c r="B4764" s="8" t="s">
        <v>4148</v>
      </c>
      <c r="C4764" s="8" t="s">
        <v>9687</v>
      </c>
      <c r="D4764" s="8" t="s">
        <v>9688</v>
      </c>
      <c r="E4764" s="13">
        <v>115000</v>
      </c>
      <c r="F4764" s="14">
        <v>229630</v>
      </c>
    </row>
    <row r="4765" spans="1:6" x14ac:dyDescent="0.3">
      <c r="A4765" s="8">
        <v>4763</v>
      </c>
      <c r="B4765" s="8" t="s">
        <v>4148</v>
      </c>
      <c r="C4765" s="8" t="s">
        <v>9689</v>
      </c>
      <c r="D4765" s="8" t="s">
        <v>9690</v>
      </c>
      <c r="E4765" s="13">
        <v>83200</v>
      </c>
      <c r="F4765" s="14">
        <v>166667</v>
      </c>
    </row>
    <row r="4766" spans="1:6" x14ac:dyDescent="0.3">
      <c r="A4766" s="8">
        <v>4764</v>
      </c>
      <c r="B4766" s="8" t="s">
        <v>4148</v>
      </c>
      <c r="C4766" s="8" t="s">
        <v>9691</v>
      </c>
      <c r="D4766" s="8" t="s">
        <v>9692</v>
      </c>
      <c r="E4766" s="13">
        <v>94600</v>
      </c>
      <c r="F4766" s="14">
        <v>188889</v>
      </c>
    </row>
    <row r="4767" spans="1:6" x14ac:dyDescent="0.3">
      <c r="A4767" s="8">
        <v>4765</v>
      </c>
      <c r="B4767" s="8" t="s">
        <v>4148</v>
      </c>
      <c r="C4767" s="8" t="s">
        <v>9693</v>
      </c>
      <c r="D4767" s="8" t="s">
        <v>9694</v>
      </c>
      <c r="E4767" s="13">
        <v>0</v>
      </c>
      <c r="F4767" s="14">
        <v>0</v>
      </c>
    </row>
    <row r="4768" spans="1:6" x14ac:dyDescent="0.3">
      <c r="A4768" s="8">
        <v>4766</v>
      </c>
      <c r="B4768" s="8" t="s">
        <v>4148</v>
      </c>
      <c r="C4768" s="8" t="s">
        <v>9695</v>
      </c>
      <c r="D4768" s="8" t="s">
        <v>9696</v>
      </c>
      <c r="E4768" s="13">
        <v>0</v>
      </c>
      <c r="F4768" s="14">
        <v>0</v>
      </c>
    </row>
    <row r="4769" spans="1:6" x14ac:dyDescent="0.3">
      <c r="A4769" s="8">
        <v>4767</v>
      </c>
      <c r="B4769" s="8" t="s">
        <v>6022</v>
      </c>
      <c r="C4769" s="8" t="s">
        <v>9697</v>
      </c>
      <c r="D4769" s="8" t="s">
        <v>9698</v>
      </c>
      <c r="E4769" s="13">
        <v>0</v>
      </c>
      <c r="F4769" s="14">
        <v>0</v>
      </c>
    </row>
    <row r="4770" spans="1:6" x14ac:dyDescent="0.3">
      <c r="A4770" s="8">
        <v>4768</v>
      </c>
      <c r="B4770" s="8" t="s">
        <v>6029</v>
      </c>
      <c r="C4770" s="8" t="s">
        <v>9699</v>
      </c>
      <c r="D4770" s="8" t="s">
        <v>9700</v>
      </c>
      <c r="E4770" s="13">
        <v>121000</v>
      </c>
      <c r="F4770" s="14">
        <v>241667</v>
      </c>
    </row>
    <row r="4771" spans="1:6" x14ac:dyDescent="0.3">
      <c r="A4771" s="8">
        <v>4769</v>
      </c>
      <c r="B4771" s="8" t="s">
        <v>6022</v>
      </c>
      <c r="C4771" s="8" t="s">
        <v>9701</v>
      </c>
      <c r="D4771" s="8" t="s">
        <v>9702</v>
      </c>
      <c r="E4771" s="13">
        <v>191000</v>
      </c>
      <c r="F4771" s="14">
        <v>382407</v>
      </c>
    </row>
    <row r="4772" spans="1:6" x14ac:dyDescent="0.3">
      <c r="A4772" s="8">
        <v>4770</v>
      </c>
      <c r="B4772" s="8" t="s">
        <v>6022</v>
      </c>
      <c r="C4772" s="8" t="s">
        <v>9703</v>
      </c>
      <c r="D4772" s="8" t="s">
        <v>9704</v>
      </c>
      <c r="E4772" s="13">
        <v>150000</v>
      </c>
      <c r="F4772" s="14">
        <v>250000</v>
      </c>
    </row>
    <row r="4773" spans="1:6" x14ac:dyDescent="0.3">
      <c r="A4773" s="8">
        <v>4771</v>
      </c>
      <c r="B4773" s="8" t="s">
        <v>6022</v>
      </c>
      <c r="C4773" s="8" t="s">
        <v>9705</v>
      </c>
      <c r="D4773" s="8" t="s">
        <v>9706</v>
      </c>
      <c r="E4773" s="13">
        <v>0</v>
      </c>
      <c r="F4773" s="14">
        <v>0</v>
      </c>
    </row>
    <row r="4774" spans="1:6" x14ac:dyDescent="0.3">
      <c r="A4774" s="8">
        <v>4772</v>
      </c>
      <c r="B4774" s="8" t="s">
        <v>6022</v>
      </c>
      <c r="C4774" s="8" t="s">
        <v>9707</v>
      </c>
      <c r="D4774" s="8" t="s">
        <v>9708</v>
      </c>
      <c r="E4774" s="13">
        <v>121000</v>
      </c>
      <c r="F4774" s="14">
        <v>241667</v>
      </c>
    </row>
    <row r="4775" spans="1:6" x14ac:dyDescent="0.3">
      <c r="A4775" s="8">
        <v>4773</v>
      </c>
      <c r="B4775" s="8" t="s">
        <v>6022</v>
      </c>
      <c r="C4775" s="8" t="s">
        <v>9709</v>
      </c>
      <c r="D4775" s="8" t="s">
        <v>9710</v>
      </c>
      <c r="E4775" s="13">
        <v>70000</v>
      </c>
      <c r="F4775" s="14">
        <v>110000</v>
      </c>
    </row>
    <row r="4776" spans="1:6" x14ac:dyDescent="0.3">
      <c r="A4776" s="8">
        <v>4774</v>
      </c>
      <c r="B4776" s="8" t="s">
        <v>6029</v>
      </c>
      <c r="C4776" s="8" t="s">
        <v>9711</v>
      </c>
      <c r="D4776" s="8" t="s">
        <v>9712</v>
      </c>
      <c r="E4776" s="13">
        <v>172000</v>
      </c>
      <c r="F4776" s="14">
        <v>344444</v>
      </c>
    </row>
    <row r="4777" spans="1:6" x14ac:dyDescent="0.3">
      <c r="A4777" s="8">
        <v>4775</v>
      </c>
      <c r="B4777" s="8" t="s">
        <v>6029</v>
      </c>
      <c r="C4777" s="8" t="s">
        <v>9713</v>
      </c>
      <c r="D4777" s="8" t="s">
        <v>9714</v>
      </c>
      <c r="E4777" s="13">
        <v>178000</v>
      </c>
      <c r="F4777" s="14">
        <v>355556</v>
      </c>
    </row>
    <row r="4778" spans="1:6" x14ac:dyDescent="0.3">
      <c r="A4778" s="8">
        <v>4776</v>
      </c>
      <c r="B4778" s="8" t="s">
        <v>6029</v>
      </c>
      <c r="C4778" s="8" t="s">
        <v>9715</v>
      </c>
      <c r="D4778" s="8" t="s">
        <v>9716</v>
      </c>
      <c r="E4778" s="13">
        <v>165000</v>
      </c>
      <c r="F4778" s="14">
        <v>329630</v>
      </c>
    </row>
    <row r="4779" spans="1:6" x14ac:dyDescent="0.3">
      <c r="A4779" s="8">
        <v>4777</v>
      </c>
      <c r="B4779" s="8" t="s">
        <v>6029</v>
      </c>
      <c r="C4779" s="8" t="s">
        <v>9717</v>
      </c>
      <c r="D4779" s="8" t="s">
        <v>9718</v>
      </c>
      <c r="E4779" s="13">
        <v>121000</v>
      </c>
      <c r="F4779" s="14">
        <v>241667</v>
      </c>
    </row>
    <row r="4780" spans="1:6" x14ac:dyDescent="0.3">
      <c r="A4780" s="8">
        <v>4778</v>
      </c>
      <c r="B4780" s="8" t="s">
        <v>6029</v>
      </c>
      <c r="C4780" s="8" t="s">
        <v>9719</v>
      </c>
      <c r="D4780" s="8" t="s">
        <v>9720</v>
      </c>
      <c r="E4780" s="13">
        <v>121000</v>
      </c>
      <c r="F4780" s="14">
        <v>241667</v>
      </c>
    </row>
    <row r="4781" spans="1:6" x14ac:dyDescent="0.3">
      <c r="A4781" s="8">
        <v>4779</v>
      </c>
      <c r="B4781" s="8" t="s">
        <v>6029</v>
      </c>
      <c r="C4781" s="8" t="s">
        <v>9721</v>
      </c>
      <c r="D4781" s="8" t="s">
        <v>9722</v>
      </c>
      <c r="E4781" s="13">
        <v>200000</v>
      </c>
      <c r="F4781" s="14">
        <v>400000</v>
      </c>
    </row>
    <row r="4782" spans="1:6" x14ac:dyDescent="0.3">
      <c r="A4782" s="8">
        <v>4780</v>
      </c>
      <c r="B4782" s="8" t="s">
        <v>6022</v>
      </c>
      <c r="C4782" s="8" t="s">
        <v>9723</v>
      </c>
      <c r="D4782" s="8" t="s">
        <v>9724</v>
      </c>
      <c r="E4782" s="13">
        <v>0</v>
      </c>
      <c r="F4782" s="14">
        <v>0</v>
      </c>
    </row>
    <row r="4783" spans="1:6" x14ac:dyDescent="0.3">
      <c r="A4783" s="8">
        <v>4781</v>
      </c>
      <c r="B4783" s="8" t="s">
        <v>6022</v>
      </c>
      <c r="C4783" s="8" t="s">
        <v>9725</v>
      </c>
      <c r="D4783" s="8" t="s">
        <v>9726</v>
      </c>
      <c r="E4783" s="13">
        <v>177000</v>
      </c>
      <c r="F4783" s="14">
        <v>353704</v>
      </c>
    </row>
    <row r="4784" spans="1:6" x14ac:dyDescent="0.3">
      <c r="A4784" s="8">
        <v>4782</v>
      </c>
      <c r="B4784" s="8" t="s">
        <v>6022</v>
      </c>
      <c r="C4784" s="8" t="s">
        <v>9727</v>
      </c>
      <c r="D4784" s="8" t="s">
        <v>9728</v>
      </c>
      <c r="E4784" s="13">
        <v>220000</v>
      </c>
      <c r="F4784" s="14">
        <v>439815</v>
      </c>
    </row>
    <row r="4785" spans="1:6" x14ac:dyDescent="0.3">
      <c r="A4785" s="8">
        <v>4783</v>
      </c>
      <c r="B4785" s="8" t="s">
        <v>6029</v>
      </c>
      <c r="C4785" s="8" t="s">
        <v>9729</v>
      </c>
      <c r="D4785" s="8" t="s">
        <v>9730</v>
      </c>
      <c r="E4785" s="13">
        <v>172000</v>
      </c>
      <c r="F4785" s="14">
        <v>344444</v>
      </c>
    </row>
    <row r="4786" spans="1:6" x14ac:dyDescent="0.3">
      <c r="A4786" s="8">
        <v>4784</v>
      </c>
      <c r="B4786" s="8" t="s">
        <v>6022</v>
      </c>
      <c r="C4786" s="8" t="s">
        <v>9731</v>
      </c>
      <c r="D4786" s="8" t="s">
        <v>9732</v>
      </c>
      <c r="E4786" s="13">
        <v>0</v>
      </c>
      <c r="F4786" s="14">
        <v>0</v>
      </c>
    </row>
    <row r="4787" spans="1:6" x14ac:dyDescent="0.3">
      <c r="A4787" s="8">
        <v>4785</v>
      </c>
      <c r="B4787" s="8" t="s">
        <v>6029</v>
      </c>
      <c r="C4787" s="8" t="s">
        <v>9733</v>
      </c>
      <c r="D4787" s="8" t="s">
        <v>9734</v>
      </c>
      <c r="E4787" s="13">
        <v>0</v>
      </c>
      <c r="F4787" s="14">
        <v>0</v>
      </c>
    </row>
    <row r="4788" spans="1:6" x14ac:dyDescent="0.3">
      <c r="A4788" s="8">
        <v>4786</v>
      </c>
      <c r="B4788" s="8" t="s">
        <v>2792</v>
      </c>
      <c r="C4788" s="8" t="s">
        <v>9735</v>
      </c>
      <c r="D4788" s="8" t="s">
        <v>9736</v>
      </c>
      <c r="E4788" s="13">
        <v>210000</v>
      </c>
      <c r="F4788" s="14">
        <v>420370</v>
      </c>
    </row>
    <row r="4789" spans="1:6" x14ac:dyDescent="0.3">
      <c r="A4789" s="8">
        <v>4787</v>
      </c>
      <c r="B4789" s="8" t="s">
        <v>2792</v>
      </c>
      <c r="C4789" s="8" t="s">
        <v>9737</v>
      </c>
      <c r="D4789" s="8" t="s">
        <v>9738</v>
      </c>
      <c r="E4789" s="13">
        <v>0</v>
      </c>
      <c r="F4789" s="14">
        <v>1400000</v>
      </c>
    </row>
    <row r="4790" spans="1:6" x14ac:dyDescent="0.3">
      <c r="A4790" s="8">
        <v>4788</v>
      </c>
      <c r="B4790" s="8" t="s">
        <v>2792</v>
      </c>
      <c r="C4790" s="8" t="s">
        <v>9739</v>
      </c>
      <c r="D4790" s="8" t="s">
        <v>9740</v>
      </c>
      <c r="E4790" s="13">
        <v>0</v>
      </c>
      <c r="F4790" s="14">
        <v>6500000</v>
      </c>
    </row>
    <row r="4791" spans="1:6" x14ac:dyDescent="0.3">
      <c r="A4791" s="8">
        <v>4789</v>
      </c>
      <c r="B4791" s="8" t="s">
        <v>2792</v>
      </c>
      <c r="C4791" s="8" t="s">
        <v>9741</v>
      </c>
      <c r="D4791" s="8" t="s">
        <v>9742</v>
      </c>
      <c r="E4791" s="13">
        <v>0</v>
      </c>
      <c r="F4791" s="14">
        <v>0</v>
      </c>
    </row>
    <row r="4792" spans="1:6" x14ac:dyDescent="0.3">
      <c r="A4792" s="8">
        <v>4790</v>
      </c>
      <c r="B4792" s="8" t="s">
        <v>2792</v>
      </c>
      <c r="C4792" s="8" t="s">
        <v>9743</v>
      </c>
      <c r="D4792" s="8" t="s">
        <v>9744</v>
      </c>
      <c r="E4792" s="13">
        <v>0</v>
      </c>
      <c r="F4792" s="14">
        <v>0</v>
      </c>
    </row>
    <row r="4793" spans="1:6" x14ac:dyDescent="0.3">
      <c r="A4793" s="8">
        <v>4791</v>
      </c>
      <c r="B4793" s="8" t="s">
        <v>2792</v>
      </c>
      <c r="C4793" s="8" t="s">
        <v>9745</v>
      </c>
      <c r="D4793" s="8" t="s">
        <v>9746</v>
      </c>
      <c r="E4793" s="13">
        <v>0</v>
      </c>
      <c r="F4793" s="14">
        <v>0</v>
      </c>
    </row>
    <row r="4794" spans="1:6" x14ac:dyDescent="0.3">
      <c r="A4794" s="8">
        <v>4792</v>
      </c>
      <c r="B4794" s="8" t="s">
        <v>2792</v>
      </c>
      <c r="C4794" s="8" t="s">
        <v>9747</v>
      </c>
      <c r="D4794" s="8" t="s">
        <v>9748</v>
      </c>
      <c r="E4794" s="13">
        <v>0</v>
      </c>
      <c r="F4794" s="14">
        <v>0</v>
      </c>
    </row>
    <row r="4795" spans="1:6" x14ac:dyDescent="0.3">
      <c r="A4795" s="8">
        <v>4793</v>
      </c>
      <c r="B4795" s="8" t="s">
        <v>2792</v>
      </c>
      <c r="C4795" s="8" t="s">
        <v>9749</v>
      </c>
      <c r="D4795" s="8" t="s">
        <v>9750</v>
      </c>
      <c r="E4795" s="13">
        <v>0</v>
      </c>
      <c r="F4795" s="14">
        <v>0</v>
      </c>
    </row>
    <row r="4796" spans="1:6" x14ac:dyDescent="0.3">
      <c r="A4796" s="8">
        <v>4794</v>
      </c>
      <c r="B4796" s="8" t="s">
        <v>2792</v>
      </c>
      <c r="C4796" s="8" t="s">
        <v>9751</v>
      </c>
      <c r="D4796" s="8" t="s">
        <v>9752</v>
      </c>
      <c r="E4796" s="13">
        <v>213000</v>
      </c>
      <c r="F4796" s="14">
        <v>425926</v>
      </c>
    </row>
    <row r="4797" spans="1:6" x14ac:dyDescent="0.3">
      <c r="A4797" s="8">
        <v>4795</v>
      </c>
      <c r="B4797" s="8" t="s">
        <v>2792</v>
      </c>
      <c r="C4797" s="8" t="s">
        <v>9753</v>
      </c>
      <c r="D4797" s="8" t="s">
        <v>9754</v>
      </c>
      <c r="E4797" s="13">
        <v>0</v>
      </c>
      <c r="F4797" s="14">
        <v>0</v>
      </c>
    </row>
    <row r="4798" spans="1:6" x14ac:dyDescent="0.3">
      <c r="A4798" s="8">
        <v>4796</v>
      </c>
      <c r="B4798" s="8" t="s">
        <v>2792</v>
      </c>
      <c r="C4798" s="8" t="s">
        <v>9755</v>
      </c>
      <c r="D4798" s="8" t="s">
        <v>9756</v>
      </c>
      <c r="E4798" s="13">
        <v>0</v>
      </c>
      <c r="F4798" s="14">
        <v>0</v>
      </c>
    </row>
    <row r="4799" spans="1:6" x14ac:dyDescent="0.3">
      <c r="A4799" s="8">
        <v>4797</v>
      </c>
      <c r="B4799" s="8" t="s">
        <v>2792</v>
      </c>
      <c r="C4799" s="8" t="s">
        <v>9757</v>
      </c>
      <c r="D4799" s="8" t="s">
        <v>9758</v>
      </c>
      <c r="E4799" s="13">
        <v>0</v>
      </c>
      <c r="F4799" s="14">
        <v>0</v>
      </c>
    </row>
    <row r="4800" spans="1:6" x14ac:dyDescent="0.3">
      <c r="A4800" s="8">
        <v>4798</v>
      </c>
      <c r="B4800" s="8" t="s">
        <v>2792</v>
      </c>
      <c r="C4800" s="8" t="s">
        <v>9759</v>
      </c>
      <c r="D4800" s="8" t="s">
        <v>9760</v>
      </c>
      <c r="E4800" s="13">
        <v>0</v>
      </c>
      <c r="F4800" s="14">
        <v>0</v>
      </c>
    </row>
    <row r="4801" spans="1:6" x14ac:dyDescent="0.3">
      <c r="A4801" s="8">
        <v>4799</v>
      </c>
      <c r="B4801" s="8" t="s">
        <v>2792</v>
      </c>
      <c r="C4801" s="8" t="s">
        <v>9761</v>
      </c>
      <c r="D4801" s="8" t="s">
        <v>9762</v>
      </c>
      <c r="E4801" s="13">
        <v>2980000</v>
      </c>
      <c r="F4801" s="14">
        <v>5960185</v>
      </c>
    </row>
    <row r="4802" spans="1:6" x14ac:dyDescent="0.3">
      <c r="A4802" s="8">
        <v>4800</v>
      </c>
      <c r="B4802" s="8" t="s">
        <v>2792</v>
      </c>
      <c r="C4802" s="8" t="s">
        <v>9763</v>
      </c>
      <c r="D4802" s="8" t="s">
        <v>9764</v>
      </c>
      <c r="E4802" s="13">
        <v>0</v>
      </c>
      <c r="F4802" s="14">
        <v>0</v>
      </c>
    </row>
    <row r="4803" spans="1:6" x14ac:dyDescent="0.3">
      <c r="A4803" s="8">
        <v>4801</v>
      </c>
      <c r="B4803" s="8" t="s">
        <v>2792</v>
      </c>
      <c r="C4803" s="8" t="s">
        <v>9765</v>
      </c>
      <c r="D4803" s="8" t="s">
        <v>9766</v>
      </c>
      <c r="E4803" s="13">
        <v>1210000</v>
      </c>
      <c r="F4803" s="14">
        <v>2420370</v>
      </c>
    </row>
    <row r="4804" spans="1:6" x14ac:dyDescent="0.3">
      <c r="A4804" s="8">
        <v>4802</v>
      </c>
      <c r="B4804" s="8" t="s">
        <v>2792</v>
      </c>
      <c r="C4804" s="8" t="s">
        <v>9767</v>
      </c>
      <c r="D4804" s="8" t="s">
        <v>9768</v>
      </c>
      <c r="E4804" s="13">
        <v>0</v>
      </c>
      <c r="F4804" s="14">
        <v>5600000</v>
      </c>
    </row>
    <row r="4805" spans="1:6" x14ac:dyDescent="0.3">
      <c r="A4805" s="8">
        <v>4803</v>
      </c>
      <c r="B4805" s="8" t="s">
        <v>2792</v>
      </c>
      <c r="C4805" s="8" t="s">
        <v>9769</v>
      </c>
      <c r="D4805" s="8" t="s">
        <v>9770</v>
      </c>
      <c r="E4805" s="13">
        <v>0</v>
      </c>
      <c r="F4805" s="14">
        <v>0</v>
      </c>
    </row>
    <row r="4806" spans="1:6" x14ac:dyDescent="0.3">
      <c r="A4806" s="8">
        <v>4804</v>
      </c>
      <c r="B4806" s="8" t="s">
        <v>2792</v>
      </c>
      <c r="C4806" s="8" t="s">
        <v>9771</v>
      </c>
      <c r="D4806" s="8" t="s">
        <v>9772</v>
      </c>
      <c r="E4806" s="13">
        <v>0</v>
      </c>
      <c r="F4806" s="14">
        <v>0</v>
      </c>
    </row>
    <row r="4807" spans="1:6" x14ac:dyDescent="0.3">
      <c r="A4807" s="8">
        <v>4805</v>
      </c>
      <c r="B4807" s="8" t="s">
        <v>2792</v>
      </c>
      <c r="C4807" s="8" t="s">
        <v>9773</v>
      </c>
      <c r="D4807" s="8" t="s">
        <v>9774</v>
      </c>
      <c r="E4807" s="13">
        <v>1082000</v>
      </c>
      <c r="F4807" s="14">
        <v>2163889</v>
      </c>
    </row>
    <row r="4808" spans="1:6" x14ac:dyDescent="0.3">
      <c r="A4808" s="8">
        <v>4806</v>
      </c>
      <c r="B4808" s="8" t="s">
        <v>2792</v>
      </c>
      <c r="C4808" s="8" t="s">
        <v>9775</v>
      </c>
      <c r="D4808" s="8" t="s">
        <v>9776</v>
      </c>
      <c r="E4808" s="13">
        <v>716000</v>
      </c>
      <c r="F4808" s="14">
        <v>1432407</v>
      </c>
    </row>
    <row r="4809" spans="1:6" x14ac:dyDescent="0.3">
      <c r="A4809" s="8">
        <v>4807</v>
      </c>
      <c r="B4809" s="8" t="s">
        <v>2792</v>
      </c>
      <c r="C4809" s="8" t="s">
        <v>9777</v>
      </c>
      <c r="D4809" s="8" t="s">
        <v>9778</v>
      </c>
      <c r="E4809" s="13">
        <v>0</v>
      </c>
      <c r="F4809" s="14">
        <v>0</v>
      </c>
    </row>
    <row r="4810" spans="1:6" x14ac:dyDescent="0.3">
      <c r="A4810" s="8">
        <v>4808</v>
      </c>
      <c r="B4810" s="8" t="s">
        <v>2792</v>
      </c>
      <c r="C4810" s="8" t="s">
        <v>9779</v>
      </c>
      <c r="D4810" s="8" t="s">
        <v>9780</v>
      </c>
      <c r="E4810" s="13">
        <v>0</v>
      </c>
      <c r="F4810" s="14">
        <v>0</v>
      </c>
    </row>
    <row r="4811" spans="1:6" x14ac:dyDescent="0.3">
      <c r="A4811" s="8">
        <v>4809</v>
      </c>
      <c r="B4811" s="8" t="s">
        <v>7368</v>
      </c>
      <c r="C4811" s="8" t="s">
        <v>9781</v>
      </c>
      <c r="D4811" s="8" t="s">
        <v>9782</v>
      </c>
      <c r="E4811" s="13">
        <v>0</v>
      </c>
      <c r="F4811" s="14">
        <v>0</v>
      </c>
    </row>
    <row r="4812" spans="1:6" x14ac:dyDescent="0.3">
      <c r="A4812" s="8">
        <v>4810</v>
      </c>
      <c r="B4812" s="8" t="s">
        <v>7681</v>
      </c>
      <c r="C4812" s="8" t="s">
        <v>9783</v>
      </c>
      <c r="D4812" s="8" t="s">
        <v>9784</v>
      </c>
      <c r="E4812" s="13">
        <v>0</v>
      </c>
      <c r="F4812" s="14">
        <v>0</v>
      </c>
    </row>
    <row r="4813" spans="1:6" x14ac:dyDescent="0.3">
      <c r="A4813" s="8">
        <v>4811</v>
      </c>
      <c r="B4813" s="8" t="s">
        <v>7681</v>
      </c>
      <c r="C4813" s="8" t="s">
        <v>9785</v>
      </c>
      <c r="D4813" s="8" t="s">
        <v>9786</v>
      </c>
      <c r="E4813" s="13">
        <v>0</v>
      </c>
      <c r="F4813" s="14">
        <v>0</v>
      </c>
    </row>
    <row r="4814" spans="1:6" x14ac:dyDescent="0.3">
      <c r="A4814" s="8">
        <v>4812</v>
      </c>
      <c r="B4814" s="8" t="s">
        <v>7681</v>
      </c>
      <c r="C4814" s="8" t="s">
        <v>9787</v>
      </c>
      <c r="D4814" s="8" t="s">
        <v>9788</v>
      </c>
      <c r="E4814" s="13">
        <v>0</v>
      </c>
      <c r="F4814" s="14">
        <v>0</v>
      </c>
    </row>
    <row r="4815" spans="1:6" x14ac:dyDescent="0.3">
      <c r="A4815" s="8">
        <v>4813</v>
      </c>
      <c r="B4815" s="8" t="s">
        <v>7681</v>
      </c>
      <c r="C4815" s="8" t="s">
        <v>9789</v>
      </c>
      <c r="D4815" s="8" t="s">
        <v>9790</v>
      </c>
      <c r="E4815" s="13">
        <v>0</v>
      </c>
      <c r="F4815" s="14">
        <v>0</v>
      </c>
    </row>
    <row r="4816" spans="1:6" x14ac:dyDescent="0.3">
      <c r="A4816" s="8">
        <v>4814</v>
      </c>
      <c r="B4816" s="8" t="s">
        <v>7681</v>
      </c>
      <c r="C4816" s="8" t="s">
        <v>9791</v>
      </c>
      <c r="D4816" s="8" t="s">
        <v>9792</v>
      </c>
      <c r="E4816" s="13">
        <v>0</v>
      </c>
      <c r="F4816" s="14">
        <v>0</v>
      </c>
    </row>
    <row r="4817" spans="1:6" x14ac:dyDescent="0.3">
      <c r="A4817" s="8">
        <v>4815</v>
      </c>
      <c r="B4817" s="8" t="s">
        <v>7681</v>
      </c>
      <c r="C4817" s="8" t="s">
        <v>9793</v>
      </c>
      <c r="D4817" s="8" t="s">
        <v>9794</v>
      </c>
      <c r="E4817" s="13">
        <v>885000</v>
      </c>
      <c r="F4817" s="14">
        <v>1770000</v>
      </c>
    </row>
    <row r="4818" spans="1:6" x14ac:dyDescent="0.3">
      <c r="A4818" s="8">
        <v>4816</v>
      </c>
      <c r="B4818" s="8" t="s">
        <v>7681</v>
      </c>
      <c r="C4818" s="8" t="s">
        <v>9795</v>
      </c>
      <c r="D4818" s="8" t="s">
        <v>9796</v>
      </c>
      <c r="E4818" s="13">
        <v>631000</v>
      </c>
      <c r="F4818" s="14">
        <v>1262000</v>
      </c>
    </row>
    <row r="4819" spans="1:6" x14ac:dyDescent="0.3">
      <c r="A4819" s="8">
        <v>4817</v>
      </c>
      <c r="B4819" s="8" t="s">
        <v>7681</v>
      </c>
      <c r="C4819" s="8" t="s">
        <v>9797</v>
      </c>
      <c r="D4819" s="8" t="s">
        <v>9798</v>
      </c>
      <c r="E4819" s="13">
        <v>604000</v>
      </c>
      <c r="F4819" s="14">
        <v>1208333</v>
      </c>
    </row>
    <row r="4820" spans="1:6" x14ac:dyDescent="0.3">
      <c r="A4820" s="8">
        <v>4818</v>
      </c>
      <c r="B4820" s="8" t="s">
        <v>7681</v>
      </c>
      <c r="C4820" s="8" t="s">
        <v>9799</v>
      </c>
      <c r="D4820" s="8" t="s">
        <v>9800</v>
      </c>
      <c r="E4820" s="13">
        <v>0</v>
      </c>
      <c r="F4820" s="14">
        <v>0</v>
      </c>
    </row>
    <row r="4821" spans="1:6" x14ac:dyDescent="0.3">
      <c r="A4821" s="8">
        <v>4819</v>
      </c>
      <c r="B4821" s="8" t="s">
        <v>7681</v>
      </c>
      <c r="C4821" s="8" t="s">
        <v>9801</v>
      </c>
      <c r="D4821" s="8" t="s">
        <v>9802</v>
      </c>
      <c r="E4821" s="13">
        <v>0</v>
      </c>
      <c r="F4821" s="14">
        <v>0</v>
      </c>
    </row>
    <row r="4822" spans="1:6" x14ac:dyDescent="0.3">
      <c r="A4822" s="8">
        <v>4820</v>
      </c>
      <c r="B4822" s="8" t="s">
        <v>7681</v>
      </c>
      <c r="C4822" s="8" t="s">
        <v>9803</v>
      </c>
      <c r="D4822" s="8" t="s">
        <v>9804</v>
      </c>
      <c r="E4822" s="13">
        <v>0</v>
      </c>
      <c r="F4822" s="14">
        <v>0</v>
      </c>
    </row>
    <row r="4823" spans="1:6" x14ac:dyDescent="0.3">
      <c r="A4823" s="8">
        <v>4821</v>
      </c>
      <c r="B4823" s="8" t="s">
        <v>7694</v>
      </c>
      <c r="C4823" s="8" t="s">
        <v>9805</v>
      </c>
      <c r="D4823" s="8" t="s">
        <v>9806</v>
      </c>
      <c r="E4823" s="13">
        <v>185000</v>
      </c>
      <c r="F4823" s="14">
        <v>334259</v>
      </c>
    </row>
    <row r="4824" spans="1:6" x14ac:dyDescent="0.3">
      <c r="A4824" s="8">
        <v>4822</v>
      </c>
      <c r="B4824" s="8" t="s">
        <v>7694</v>
      </c>
      <c r="C4824" s="8" t="s">
        <v>9807</v>
      </c>
      <c r="D4824" s="8" t="s">
        <v>9808</v>
      </c>
      <c r="E4824" s="13">
        <v>560000</v>
      </c>
      <c r="F4824" s="14">
        <v>1120000</v>
      </c>
    </row>
    <row r="4825" spans="1:6" x14ac:dyDescent="0.3">
      <c r="A4825" s="8">
        <v>4823</v>
      </c>
      <c r="B4825" s="8" t="s">
        <v>7694</v>
      </c>
      <c r="C4825" s="8" t="s">
        <v>9809</v>
      </c>
      <c r="D4825" s="8" t="s">
        <v>9810</v>
      </c>
      <c r="E4825" s="13">
        <v>108000</v>
      </c>
      <c r="F4825" s="14">
        <v>194444</v>
      </c>
    </row>
    <row r="4826" spans="1:6" x14ac:dyDescent="0.3">
      <c r="A4826" s="8">
        <v>4824</v>
      </c>
      <c r="B4826" s="8" t="s">
        <v>7694</v>
      </c>
      <c r="C4826" s="8" t="s">
        <v>9811</v>
      </c>
      <c r="D4826" s="8" t="s">
        <v>9812</v>
      </c>
      <c r="E4826" s="13">
        <v>0</v>
      </c>
      <c r="F4826" s="14">
        <v>0</v>
      </c>
    </row>
    <row r="4827" spans="1:6" x14ac:dyDescent="0.3">
      <c r="A4827" s="8">
        <v>4825</v>
      </c>
      <c r="B4827" s="8" t="s">
        <v>7694</v>
      </c>
      <c r="C4827" s="8" t="s">
        <v>9813</v>
      </c>
      <c r="D4827" s="8" t="s">
        <v>9814</v>
      </c>
      <c r="E4827" s="13">
        <v>133000</v>
      </c>
      <c r="F4827" s="14">
        <v>265741</v>
      </c>
    </row>
    <row r="4828" spans="1:6" x14ac:dyDescent="0.3">
      <c r="A4828" s="8">
        <v>4826</v>
      </c>
      <c r="B4828" s="8" t="s">
        <v>7694</v>
      </c>
      <c r="C4828" s="8" t="s">
        <v>9815</v>
      </c>
      <c r="D4828" s="8" t="s">
        <v>9816</v>
      </c>
      <c r="E4828" s="13">
        <v>0</v>
      </c>
      <c r="F4828" s="14">
        <v>1175455</v>
      </c>
    </row>
    <row r="4829" spans="1:6" x14ac:dyDescent="0.3">
      <c r="A4829" s="8">
        <v>4827</v>
      </c>
      <c r="B4829" s="8" t="s">
        <v>7694</v>
      </c>
      <c r="C4829" s="8" t="s">
        <v>9817</v>
      </c>
      <c r="D4829" s="8" t="s">
        <v>9818</v>
      </c>
      <c r="E4829" s="13">
        <v>0</v>
      </c>
      <c r="F4829" s="14">
        <v>959091</v>
      </c>
    </row>
    <row r="4830" spans="1:6" x14ac:dyDescent="0.3">
      <c r="A4830" s="8">
        <v>4828</v>
      </c>
      <c r="B4830" s="8" t="s">
        <v>7694</v>
      </c>
      <c r="C4830" s="8" t="s">
        <v>9819</v>
      </c>
      <c r="D4830" s="8" t="s">
        <v>9820</v>
      </c>
      <c r="E4830" s="13">
        <v>0</v>
      </c>
      <c r="F4830" s="14">
        <v>0</v>
      </c>
    </row>
    <row r="4831" spans="1:6" x14ac:dyDescent="0.3">
      <c r="A4831" s="8">
        <v>4829</v>
      </c>
      <c r="B4831" s="8" t="s">
        <v>7694</v>
      </c>
      <c r="C4831" s="8" t="s">
        <v>9821</v>
      </c>
      <c r="D4831" s="8" t="s">
        <v>9822</v>
      </c>
      <c r="E4831" s="13">
        <v>202000</v>
      </c>
      <c r="F4831" s="14">
        <v>403704</v>
      </c>
    </row>
    <row r="4832" spans="1:6" x14ac:dyDescent="0.3">
      <c r="A4832" s="8">
        <v>4830</v>
      </c>
      <c r="B4832" s="8" t="s">
        <v>7694</v>
      </c>
      <c r="C4832" s="8" t="s">
        <v>9823</v>
      </c>
      <c r="D4832" s="8" t="s">
        <v>9824</v>
      </c>
      <c r="E4832" s="13">
        <v>0</v>
      </c>
      <c r="F4832" s="14">
        <v>0</v>
      </c>
    </row>
    <row r="4833" spans="1:6" x14ac:dyDescent="0.3">
      <c r="A4833" s="8">
        <v>4831</v>
      </c>
      <c r="B4833" s="8" t="s">
        <v>7694</v>
      </c>
      <c r="C4833" s="8" t="s">
        <v>9825</v>
      </c>
      <c r="D4833" s="8" t="s">
        <v>9826</v>
      </c>
      <c r="E4833" s="13">
        <v>0</v>
      </c>
      <c r="F4833" s="14">
        <v>600000</v>
      </c>
    </row>
    <row r="4834" spans="1:6" x14ac:dyDescent="0.3">
      <c r="A4834" s="8">
        <v>4832</v>
      </c>
      <c r="B4834" s="8" t="s">
        <v>7694</v>
      </c>
      <c r="C4834" s="8" t="s">
        <v>9827</v>
      </c>
      <c r="D4834" s="8" t="s">
        <v>9828</v>
      </c>
      <c r="E4834" s="13">
        <v>0</v>
      </c>
      <c r="F4834" s="14">
        <v>0</v>
      </c>
    </row>
    <row r="4835" spans="1:6" x14ac:dyDescent="0.3">
      <c r="A4835" s="8">
        <v>4833</v>
      </c>
      <c r="B4835" s="8" t="s">
        <v>7694</v>
      </c>
      <c r="C4835" s="8" t="s">
        <v>9829</v>
      </c>
      <c r="D4835" s="8" t="s">
        <v>9830</v>
      </c>
      <c r="E4835" s="13">
        <v>0</v>
      </c>
      <c r="F4835" s="14">
        <v>0</v>
      </c>
    </row>
    <row r="4836" spans="1:6" x14ac:dyDescent="0.3">
      <c r="A4836" s="8">
        <v>4834</v>
      </c>
      <c r="B4836" s="8" t="s">
        <v>6516</v>
      </c>
      <c r="C4836" s="8" t="s">
        <v>9831</v>
      </c>
      <c r="D4836" s="8" t="s">
        <v>9832</v>
      </c>
      <c r="E4836" s="13">
        <v>0</v>
      </c>
      <c r="F4836" s="14">
        <v>0</v>
      </c>
    </row>
    <row r="4837" spans="1:6" x14ac:dyDescent="0.3">
      <c r="A4837" s="8">
        <v>4835</v>
      </c>
      <c r="B4837" s="8" t="s">
        <v>6516</v>
      </c>
      <c r="C4837" s="8" t="s">
        <v>9833</v>
      </c>
      <c r="D4837" s="8" t="s">
        <v>9834</v>
      </c>
      <c r="E4837" s="13">
        <v>481000</v>
      </c>
      <c r="F4837" s="14">
        <v>962037</v>
      </c>
    </row>
    <row r="4838" spans="1:6" x14ac:dyDescent="0.3">
      <c r="A4838" s="8">
        <v>4836</v>
      </c>
      <c r="B4838" s="8" t="s">
        <v>6516</v>
      </c>
      <c r="C4838" s="8" t="s">
        <v>9835</v>
      </c>
      <c r="D4838" s="8" t="s">
        <v>9836</v>
      </c>
      <c r="E4838" s="13">
        <v>0</v>
      </c>
      <c r="F4838" s="14">
        <v>0</v>
      </c>
    </row>
    <row r="4839" spans="1:6" x14ac:dyDescent="0.3">
      <c r="A4839" s="8">
        <v>4837</v>
      </c>
      <c r="B4839" s="8" t="s">
        <v>6516</v>
      </c>
      <c r="C4839" s="8" t="s">
        <v>9837</v>
      </c>
      <c r="D4839" s="8" t="s">
        <v>9838</v>
      </c>
      <c r="E4839" s="13">
        <v>0</v>
      </c>
      <c r="F4839" s="14">
        <v>0</v>
      </c>
    </row>
    <row r="4840" spans="1:6" x14ac:dyDescent="0.3">
      <c r="A4840" s="8">
        <v>4838</v>
      </c>
      <c r="B4840" s="8" t="s">
        <v>6516</v>
      </c>
      <c r="C4840" s="8" t="s">
        <v>9839</v>
      </c>
      <c r="D4840" s="8" t="s">
        <v>9840</v>
      </c>
      <c r="E4840" s="13">
        <v>0</v>
      </c>
      <c r="F4840" s="14">
        <v>0</v>
      </c>
    </row>
    <row r="4841" spans="1:6" x14ac:dyDescent="0.3">
      <c r="A4841" s="8">
        <v>4839</v>
      </c>
      <c r="B4841" s="8" t="s">
        <v>6516</v>
      </c>
      <c r="C4841" s="8" t="s">
        <v>9841</v>
      </c>
      <c r="D4841" s="8" t="s">
        <v>9842</v>
      </c>
      <c r="E4841" s="13">
        <v>0</v>
      </c>
      <c r="F4841" s="14">
        <v>0</v>
      </c>
    </row>
    <row r="4842" spans="1:6" x14ac:dyDescent="0.3">
      <c r="A4842" s="8">
        <v>4840</v>
      </c>
      <c r="B4842" s="8" t="s">
        <v>6516</v>
      </c>
      <c r="C4842" s="8" t="s">
        <v>9843</v>
      </c>
      <c r="D4842" s="8" t="s">
        <v>9844</v>
      </c>
      <c r="E4842" s="13">
        <v>0</v>
      </c>
      <c r="F4842" s="14">
        <v>0</v>
      </c>
    </row>
    <row r="4843" spans="1:6" x14ac:dyDescent="0.3">
      <c r="A4843" s="8">
        <v>4841</v>
      </c>
      <c r="B4843" s="8" t="s">
        <v>6516</v>
      </c>
      <c r="C4843" s="8" t="s">
        <v>9845</v>
      </c>
      <c r="D4843" s="8" t="s">
        <v>9846</v>
      </c>
      <c r="E4843" s="13">
        <v>0</v>
      </c>
      <c r="F4843" s="14">
        <v>0</v>
      </c>
    </row>
    <row r="4844" spans="1:6" x14ac:dyDescent="0.3">
      <c r="A4844" s="8">
        <v>4842</v>
      </c>
      <c r="B4844" s="8" t="s">
        <v>6516</v>
      </c>
      <c r="C4844" s="8" t="s">
        <v>9847</v>
      </c>
      <c r="D4844" s="8" t="s">
        <v>9848</v>
      </c>
      <c r="E4844" s="13">
        <v>0</v>
      </c>
      <c r="F4844" s="14">
        <v>1501852</v>
      </c>
    </row>
    <row r="4845" spans="1:6" x14ac:dyDescent="0.3">
      <c r="A4845" s="8">
        <v>4843</v>
      </c>
      <c r="B4845" s="8" t="s">
        <v>6516</v>
      </c>
      <c r="C4845" s="8" t="s">
        <v>9849</v>
      </c>
      <c r="D4845" s="8" t="s">
        <v>9850</v>
      </c>
      <c r="E4845" s="13">
        <v>0</v>
      </c>
      <c r="F4845" s="14">
        <v>0</v>
      </c>
    </row>
    <row r="4846" spans="1:6" x14ac:dyDescent="0.3">
      <c r="A4846" s="8">
        <v>4844</v>
      </c>
      <c r="B4846" s="8" t="s">
        <v>6516</v>
      </c>
      <c r="C4846" s="8" t="s">
        <v>9851</v>
      </c>
      <c r="D4846" s="8" t="s">
        <v>9852</v>
      </c>
      <c r="E4846" s="13">
        <v>0</v>
      </c>
      <c r="F4846" s="14">
        <v>0</v>
      </c>
    </row>
    <row r="4847" spans="1:6" x14ac:dyDescent="0.3">
      <c r="A4847" s="8">
        <v>4845</v>
      </c>
      <c r="B4847" s="8" t="s">
        <v>6516</v>
      </c>
      <c r="C4847" s="8" t="s">
        <v>9853</v>
      </c>
      <c r="D4847" s="8" t="s">
        <v>9854</v>
      </c>
      <c r="E4847" s="13">
        <v>0</v>
      </c>
      <c r="F4847" s="14">
        <v>0</v>
      </c>
    </row>
    <row r="4848" spans="1:6" x14ac:dyDescent="0.3">
      <c r="A4848" s="8">
        <v>4846</v>
      </c>
      <c r="B4848" s="8" t="s">
        <v>6516</v>
      </c>
      <c r="C4848" s="8" t="s">
        <v>9855</v>
      </c>
      <c r="D4848" s="8" t="s">
        <v>9856</v>
      </c>
      <c r="E4848" s="13">
        <v>0</v>
      </c>
      <c r="F4848" s="14">
        <v>0</v>
      </c>
    </row>
    <row r="4849" spans="1:6" x14ac:dyDescent="0.3">
      <c r="A4849" s="8">
        <v>4847</v>
      </c>
      <c r="B4849" s="8" t="s">
        <v>6516</v>
      </c>
      <c r="C4849" s="8" t="s">
        <v>9857</v>
      </c>
      <c r="D4849" s="8" t="s">
        <v>9858</v>
      </c>
      <c r="E4849" s="13">
        <v>0</v>
      </c>
      <c r="F4849" s="14">
        <v>0</v>
      </c>
    </row>
    <row r="4850" spans="1:6" x14ac:dyDescent="0.3">
      <c r="A4850" s="8">
        <v>4848</v>
      </c>
      <c r="B4850" s="8" t="s">
        <v>6516</v>
      </c>
      <c r="C4850" s="8" t="s">
        <v>9859</v>
      </c>
      <c r="D4850" s="8" t="s">
        <v>9860</v>
      </c>
      <c r="E4850" s="13">
        <v>0</v>
      </c>
      <c r="F4850" s="14">
        <v>0</v>
      </c>
    </row>
    <row r="4851" spans="1:6" x14ac:dyDescent="0.3">
      <c r="A4851" s="8">
        <v>4849</v>
      </c>
      <c r="B4851" s="8" t="s">
        <v>6516</v>
      </c>
      <c r="C4851" s="8" t="s">
        <v>9861</v>
      </c>
      <c r="D4851" s="8" t="s">
        <v>9862</v>
      </c>
      <c r="E4851" s="13">
        <v>0</v>
      </c>
      <c r="F4851" s="14">
        <v>0</v>
      </c>
    </row>
    <row r="4852" spans="1:6" x14ac:dyDescent="0.3">
      <c r="A4852" s="8">
        <v>4850</v>
      </c>
      <c r="B4852" s="8" t="s">
        <v>6516</v>
      </c>
      <c r="C4852" s="8" t="s">
        <v>9863</v>
      </c>
      <c r="D4852" s="8" t="s">
        <v>9864</v>
      </c>
      <c r="E4852" s="13">
        <v>0</v>
      </c>
      <c r="F4852" s="14">
        <v>1501852</v>
      </c>
    </row>
    <row r="4853" spans="1:6" x14ac:dyDescent="0.3">
      <c r="A4853" s="8">
        <v>4851</v>
      </c>
      <c r="B4853" s="8" t="s">
        <v>6516</v>
      </c>
      <c r="C4853" s="8" t="s">
        <v>9865</v>
      </c>
      <c r="D4853" s="8" t="s">
        <v>9866</v>
      </c>
      <c r="E4853" s="13">
        <v>0</v>
      </c>
      <c r="F4853" s="14">
        <v>0</v>
      </c>
    </row>
    <row r="4854" spans="1:6" x14ac:dyDescent="0.3">
      <c r="A4854" s="8">
        <v>4852</v>
      </c>
      <c r="B4854" s="8" t="s">
        <v>6516</v>
      </c>
      <c r="C4854" s="8" t="s">
        <v>9867</v>
      </c>
      <c r="D4854" s="8" t="s">
        <v>9868</v>
      </c>
      <c r="E4854" s="13">
        <v>0</v>
      </c>
      <c r="F4854" s="14">
        <v>0</v>
      </c>
    </row>
    <row r="4855" spans="1:6" x14ac:dyDescent="0.3">
      <c r="A4855" s="8">
        <v>4853</v>
      </c>
      <c r="B4855" s="8" t="s">
        <v>6516</v>
      </c>
      <c r="C4855" s="8" t="s">
        <v>9869</v>
      </c>
      <c r="D4855" s="8" t="s">
        <v>9870</v>
      </c>
      <c r="E4855" s="13">
        <v>0</v>
      </c>
      <c r="F4855" s="14">
        <v>0</v>
      </c>
    </row>
    <row r="4856" spans="1:6" x14ac:dyDescent="0.3">
      <c r="A4856" s="8">
        <v>4854</v>
      </c>
      <c r="B4856" s="8" t="s">
        <v>6516</v>
      </c>
      <c r="C4856" s="8" t="s">
        <v>9871</v>
      </c>
      <c r="D4856" s="8" t="s">
        <v>9872</v>
      </c>
      <c r="E4856" s="13">
        <v>0</v>
      </c>
      <c r="F4856" s="14">
        <v>0</v>
      </c>
    </row>
    <row r="4857" spans="1:6" x14ac:dyDescent="0.3">
      <c r="A4857" s="8">
        <v>4855</v>
      </c>
      <c r="B4857" s="8" t="s">
        <v>6516</v>
      </c>
      <c r="C4857" s="8" t="s">
        <v>9873</v>
      </c>
      <c r="D4857" s="8" t="s">
        <v>9874</v>
      </c>
      <c r="E4857" s="13">
        <v>0</v>
      </c>
      <c r="F4857" s="14">
        <v>0</v>
      </c>
    </row>
    <row r="4858" spans="1:6" x14ac:dyDescent="0.3">
      <c r="A4858" s="8">
        <v>4856</v>
      </c>
      <c r="B4858" s="8" t="s">
        <v>7355</v>
      </c>
      <c r="C4858" s="8" t="s">
        <v>9875</v>
      </c>
      <c r="D4858" s="8" t="s">
        <v>9876</v>
      </c>
      <c r="E4858" s="13">
        <v>293000</v>
      </c>
      <c r="F4858" s="14">
        <v>526000</v>
      </c>
    </row>
    <row r="4859" spans="1:6" x14ac:dyDescent="0.3">
      <c r="A4859" s="8">
        <v>4857</v>
      </c>
      <c r="B4859" s="8" t="s">
        <v>6516</v>
      </c>
      <c r="C4859" s="8" t="s">
        <v>9877</v>
      </c>
      <c r="D4859" s="8" t="s">
        <v>9878</v>
      </c>
      <c r="E4859" s="13">
        <v>0</v>
      </c>
      <c r="F4859" s="14">
        <v>0</v>
      </c>
    </row>
    <row r="4860" spans="1:6" x14ac:dyDescent="0.3">
      <c r="A4860" s="8">
        <v>4858</v>
      </c>
      <c r="B4860" s="8" t="s">
        <v>6516</v>
      </c>
      <c r="C4860" s="8" t="s">
        <v>9879</v>
      </c>
      <c r="D4860" s="8" t="s">
        <v>9880</v>
      </c>
      <c r="E4860" s="13">
        <v>481000</v>
      </c>
      <c r="F4860" s="14">
        <v>962037</v>
      </c>
    </row>
    <row r="4861" spans="1:6" x14ac:dyDescent="0.3">
      <c r="A4861" s="8">
        <v>4859</v>
      </c>
      <c r="B4861" s="8" t="s">
        <v>6516</v>
      </c>
      <c r="C4861" s="8" t="s">
        <v>9881</v>
      </c>
      <c r="D4861" s="8" t="s">
        <v>9882</v>
      </c>
      <c r="E4861" s="13">
        <v>0</v>
      </c>
      <c r="F4861" s="14">
        <v>0</v>
      </c>
    </row>
    <row r="4862" spans="1:6" x14ac:dyDescent="0.3">
      <c r="A4862" s="8">
        <v>4860</v>
      </c>
      <c r="B4862" s="8" t="s">
        <v>6516</v>
      </c>
      <c r="C4862" s="8" t="s">
        <v>9883</v>
      </c>
      <c r="D4862" s="8" t="s">
        <v>9884</v>
      </c>
      <c r="E4862" s="13">
        <v>0</v>
      </c>
      <c r="F4862" s="14">
        <v>0</v>
      </c>
    </row>
    <row r="4863" spans="1:6" x14ac:dyDescent="0.3">
      <c r="A4863" s="8">
        <v>4861</v>
      </c>
      <c r="B4863" s="8" t="s">
        <v>6516</v>
      </c>
      <c r="C4863" s="8" t="s">
        <v>9885</v>
      </c>
      <c r="D4863" s="8" t="s">
        <v>9886</v>
      </c>
      <c r="E4863" s="13">
        <v>0</v>
      </c>
      <c r="F4863" s="14">
        <v>0</v>
      </c>
    </row>
    <row r="4864" spans="1:6" x14ac:dyDescent="0.3">
      <c r="A4864" s="8">
        <v>4862</v>
      </c>
      <c r="B4864" s="8" t="s">
        <v>6516</v>
      </c>
      <c r="C4864" s="8" t="s">
        <v>9887</v>
      </c>
      <c r="D4864" s="8" t="s">
        <v>9888</v>
      </c>
      <c r="E4864" s="13">
        <v>0</v>
      </c>
      <c r="F4864" s="14">
        <v>0</v>
      </c>
    </row>
    <row r="4865" spans="1:6" x14ac:dyDescent="0.3">
      <c r="A4865" s="8">
        <v>4863</v>
      </c>
      <c r="B4865" s="8" t="s">
        <v>6516</v>
      </c>
      <c r="C4865" s="8" t="s">
        <v>9889</v>
      </c>
      <c r="D4865" s="8" t="s">
        <v>9890</v>
      </c>
      <c r="E4865" s="13">
        <v>245000</v>
      </c>
      <c r="F4865" s="14">
        <v>489815</v>
      </c>
    </row>
    <row r="4866" spans="1:6" x14ac:dyDescent="0.3">
      <c r="A4866" s="8">
        <v>4864</v>
      </c>
      <c r="B4866" s="8" t="s">
        <v>6516</v>
      </c>
      <c r="C4866" s="8" t="s">
        <v>9891</v>
      </c>
      <c r="D4866" s="8" t="s">
        <v>9892</v>
      </c>
      <c r="E4866" s="13">
        <v>0</v>
      </c>
      <c r="F4866" s="14">
        <v>0</v>
      </c>
    </row>
    <row r="4867" spans="1:6" x14ac:dyDescent="0.3">
      <c r="A4867" s="8">
        <v>4865</v>
      </c>
      <c r="B4867" s="8" t="s">
        <v>6516</v>
      </c>
      <c r="C4867" s="8" t="s">
        <v>9893</v>
      </c>
      <c r="D4867" s="8" t="s">
        <v>9894</v>
      </c>
      <c r="E4867" s="13">
        <v>0</v>
      </c>
      <c r="F4867" s="14">
        <v>0</v>
      </c>
    </row>
    <row r="4868" spans="1:6" x14ac:dyDescent="0.3">
      <c r="A4868" s="8">
        <v>4866</v>
      </c>
      <c r="B4868" s="8" t="s">
        <v>6516</v>
      </c>
      <c r="C4868" s="8" t="s">
        <v>9895</v>
      </c>
      <c r="D4868" s="8" t="s">
        <v>9896</v>
      </c>
      <c r="E4868" s="13">
        <v>0</v>
      </c>
      <c r="F4868" s="14">
        <v>0</v>
      </c>
    </row>
    <row r="4869" spans="1:6" x14ac:dyDescent="0.3">
      <c r="A4869" s="8">
        <v>4867</v>
      </c>
      <c r="B4869" s="8" t="s">
        <v>6516</v>
      </c>
      <c r="C4869" s="8" t="s">
        <v>9897</v>
      </c>
      <c r="D4869" s="8" t="s">
        <v>9898</v>
      </c>
      <c r="E4869" s="13">
        <v>0</v>
      </c>
      <c r="F4869" s="14">
        <v>0</v>
      </c>
    </row>
    <row r="4870" spans="1:6" x14ac:dyDescent="0.3">
      <c r="A4870" s="8">
        <v>4868</v>
      </c>
      <c r="B4870" s="8" t="s">
        <v>6516</v>
      </c>
      <c r="C4870" s="8" t="s">
        <v>9899</v>
      </c>
      <c r="D4870" s="8" t="s">
        <v>9900</v>
      </c>
      <c r="E4870" s="13">
        <v>0</v>
      </c>
      <c r="F4870" s="14">
        <v>0</v>
      </c>
    </row>
    <row r="4871" spans="1:6" x14ac:dyDescent="0.3">
      <c r="A4871" s="8">
        <v>4869</v>
      </c>
      <c r="B4871" s="8" t="s">
        <v>6516</v>
      </c>
      <c r="C4871" s="8" t="s">
        <v>9901</v>
      </c>
      <c r="D4871" s="8" t="s">
        <v>9902</v>
      </c>
      <c r="E4871" s="13">
        <v>0</v>
      </c>
      <c r="F4871" s="14">
        <v>0</v>
      </c>
    </row>
    <row r="4872" spans="1:6" x14ac:dyDescent="0.3">
      <c r="A4872" s="8">
        <v>4870</v>
      </c>
      <c r="B4872" s="8" t="s">
        <v>7355</v>
      </c>
      <c r="C4872" s="8" t="s">
        <v>9903</v>
      </c>
      <c r="D4872" s="8" t="s">
        <v>9904</v>
      </c>
      <c r="E4872" s="13">
        <v>376000</v>
      </c>
      <c r="F4872" s="14">
        <v>646000</v>
      </c>
    </row>
    <row r="4873" spans="1:6" x14ac:dyDescent="0.3">
      <c r="A4873" s="8">
        <v>4871</v>
      </c>
      <c r="B4873" s="8" t="s">
        <v>7355</v>
      </c>
      <c r="C4873" s="8" t="s">
        <v>9905</v>
      </c>
      <c r="D4873" s="8" t="s">
        <v>9906</v>
      </c>
      <c r="E4873" s="13">
        <v>0</v>
      </c>
      <c r="F4873" s="14">
        <v>0</v>
      </c>
    </row>
    <row r="4874" spans="1:6" x14ac:dyDescent="0.3">
      <c r="A4874" s="8">
        <v>4872</v>
      </c>
      <c r="B4874" s="8" t="s">
        <v>7355</v>
      </c>
      <c r="C4874" s="8" t="s">
        <v>9907</v>
      </c>
      <c r="D4874" s="8" t="s">
        <v>9908</v>
      </c>
      <c r="E4874" s="13">
        <v>348000</v>
      </c>
      <c r="F4874" s="14">
        <v>696296</v>
      </c>
    </row>
    <row r="4875" spans="1:6" x14ac:dyDescent="0.3">
      <c r="A4875" s="8">
        <v>4873</v>
      </c>
      <c r="B4875" s="8" t="s">
        <v>7355</v>
      </c>
      <c r="C4875" s="8" t="s">
        <v>9909</v>
      </c>
      <c r="D4875" s="8" t="s">
        <v>9910</v>
      </c>
      <c r="E4875" s="13">
        <v>267000</v>
      </c>
      <c r="F4875" s="14">
        <v>534259</v>
      </c>
    </row>
    <row r="4876" spans="1:6" x14ac:dyDescent="0.3">
      <c r="A4876" s="8">
        <v>4874</v>
      </c>
      <c r="B4876" s="8" t="s">
        <v>7355</v>
      </c>
      <c r="C4876" s="8" t="s">
        <v>9911</v>
      </c>
      <c r="D4876" s="8" t="s">
        <v>9912</v>
      </c>
      <c r="E4876" s="13">
        <v>0</v>
      </c>
      <c r="F4876" s="14">
        <v>0</v>
      </c>
    </row>
    <row r="4877" spans="1:6" x14ac:dyDescent="0.3">
      <c r="A4877" s="8">
        <v>4875</v>
      </c>
      <c r="B4877" s="8" t="s">
        <v>7368</v>
      </c>
      <c r="C4877" s="8" t="s">
        <v>9913</v>
      </c>
      <c r="D4877" s="8" t="s">
        <v>9914</v>
      </c>
      <c r="E4877" s="13">
        <v>72200</v>
      </c>
      <c r="F4877" s="14">
        <v>145000</v>
      </c>
    </row>
    <row r="4878" spans="1:6" x14ac:dyDescent="0.3">
      <c r="A4878" s="8">
        <v>4876</v>
      </c>
      <c r="B4878" s="8" t="s">
        <v>7368</v>
      </c>
      <c r="C4878" s="8" t="s">
        <v>9915</v>
      </c>
      <c r="D4878" s="8" t="s">
        <v>9916</v>
      </c>
      <c r="E4878" s="13">
        <v>90500</v>
      </c>
      <c r="F4878" s="14">
        <v>181000</v>
      </c>
    </row>
    <row r="4879" spans="1:6" x14ac:dyDescent="0.3">
      <c r="A4879" s="8">
        <v>4877</v>
      </c>
      <c r="B4879" s="8" t="s">
        <v>7368</v>
      </c>
      <c r="C4879" s="8" t="s">
        <v>9917</v>
      </c>
      <c r="D4879" s="8" t="s">
        <v>9918</v>
      </c>
      <c r="E4879" s="13">
        <v>62000</v>
      </c>
      <c r="F4879" s="14">
        <v>124000</v>
      </c>
    </row>
    <row r="4880" spans="1:6" x14ac:dyDescent="0.3">
      <c r="A4880" s="8">
        <v>4878</v>
      </c>
      <c r="B4880" s="8" t="s">
        <v>7368</v>
      </c>
      <c r="C4880" s="8" t="s">
        <v>9919</v>
      </c>
      <c r="D4880" s="8" t="s">
        <v>9920</v>
      </c>
      <c r="E4880" s="13">
        <v>72000</v>
      </c>
      <c r="F4880" s="14">
        <v>144444</v>
      </c>
    </row>
    <row r="4881" spans="1:6" x14ac:dyDescent="0.3">
      <c r="A4881" s="8">
        <v>4879</v>
      </c>
      <c r="B4881" s="8" t="s">
        <v>7368</v>
      </c>
      <c r="C4881" s="8" t="s">
        <v>9921</v>
      </c>
      <c r="D4881" s="8" t="s">
        <v>9922</v>
      </c>
      <c r="E4881" s="13">
        <v>0</v>
      </c>
      <c r="F4881" s="14">
        <v>0</v>
      </c>
    </row>
    <row r="4882" spans="1:6" x14ac:dyDescent="0.3">
      <c r="A4882" s="8">
        <v>4880</v>
      </c>
      <c r="B4882" s="8" t="s">
        <v>7368</v>
      </c>
      <c r="C4882" s="8" t="s">
        <v>9923</v>
      </c>
      <c r="D4882" s="8" t="s">
        <v>9924</v>
      </c>
      <c r="E4882" s="13">
        <v>0</v>
      </c>
      <c r="F4882" s="14">
        <v>0</v>
      </c>
    </row>
    <row r="4883" spans="1:6" x14ac:dyDescent="0.3">
      <c r="A4883" s="8">
        <v>4881</v>
      </c>
      <c r="B4883" s="8" t="s">
        <v>6516</v>
      </c>
      <c r="C4883" s="8" t="s">
        <v>9925</v>
      </c>
      <c r="D4883" s="8" t="s">
        <v>9926</v>
      </c>
      <c r="E4883" s="13">
        <v>0</v>
      </c>
      <c r="F4883" s="14">
        <v>0</v>
      </c>
    </row>
    <row r="4884" spans="1:6" x14ac:dyDescent="0.3">
      <c r="A4884" s="8">
        <v>4882</v>
      </c>
      <c r="B4884" s="8" t="s">
        <v>6516</v>
      </c>
      <c r="C4884" s="8" t="s">
        <v>9927</v>
      </c>
      <c r="D4884" s="8" t="s">
        <v>9928</v>
      </c>
      <c r="E4884" s="13">
        <v>481000</v>
      </c>
      <c r="F4884" s="14">
        <v>962037</v>
      </c>
    </row>
    <row r="4885" spans="1:6" x14ac:dyDescent="0.3">
      <c r="A4885" s="8">
        <v>4883</v>
      </c>
      <c r="B4885" s="8" t="s">
        <v>6516</v>
      </c>
      <c r="C4885" s="8" t="s">
        <v>9929</v>
      </c>
      <c r="D4885" s="8" t="s">
        <v>9930</v>
      </c>
      <c r="E4885" s="13">
        <v>0</v>
      </c>
      <c r="F4885" s="14">
        <v>0</v>
      </c>
    </row>
    <row r="4886" spans="1:6" x14ac:dyDescent="0.3">
      <c r="A4886" s="8">
        <v>4884</v>
      </c>
      <c r="B4886" s="8" t="s">
        <v>6516</v>
      </c>
      <c r="C4886" s="8" t="s">
        <v>9931</v>
      </c>
      <c r="D4886" s="8" t="s">
        <v>9932</v>
      </c>
      <c r="E4886" s="13">
        <v>0</v>
      </c>
      <c r="F4886" s="14">
        <v>0</v>
      </c>
    </row>
    <row r="4887" spans="1:6" x14ac:dyDescent="0.3">
      <c r="A4887" s="8">
        <v>4885</v>
      </c>
      <c r="B4887" s="8" t="s">
        <v>6516</v>
      </c>
      <c r="C4887" s="8" t="s">
        <v>9933</v>
      </c>
      <c r="D4887" s="8" t="s">
        <v>9934</v>
      </c>
      <c r="E4887" s="13">
        <v>0</v>
      </c>
      <c r="F4887" s="14">
        <v>0</v>
      </c>
    </row>
    <row r="4888" spans="1:6" x14ac:dyDescent="0.3">
      <c r="A4888" s="8">
        <v>4886</v>
      </c>
      <c r="B4888" s="8" t="s">
        <v>6516</v>
      </c>
      <c r="C4888" s="8" t="s">
        <v>9935</v>
      </c>
      <c r="D4888" s="8" t="s">
        <v>9936</v>
      </c>
      <c r="E4888" s="13">
        <v>0</v>
      </c>
      <c r="F4888" s="14">
        <v>0</v>
      </c>
    </row>
    <row r="4889" spans="1:6" x14ac:dyDescent="0.3">
      <c r="A4889" s="8">
        <v>4887</v>
      </c>
      <c r="B4889" s="8" t="s">
        <v>6516</v>
      </c>
      <c r="C4889" s="8" t="s">
        <v>9937</v>
      </c>
      <c r="D4889" s="8" t="s">
        <v>9938</v>
      </c>
      <c r="E4889" s="13">
        <v>0</v>
      </c>
      <c r="F4889" s="14">
        <v>0</v>
      </c>
    </row>
    <row r="4890" spans="1:6" x14ac:dyDescent="0.3">
      <c r="A4890" s="8">
        <v>4888</v>
      </c>
      <c r="B4890" s="8" t="s">
        <v>7355</v>
      </c>
      <c r="C4890" s="8" t="s">
        <v>9939</v>
      </c>
      <c r="D4890" s="8" t="s">
        <v>9940</v>
      </c>
      <c r="E4890" s="13">
        <v>136000</v>
      </c>
      <c r="F4890" s="14">
        <v>272000</v>
      </c>
    </row>
    <row r="4891" spans="1:6" x14ac:dyDescent="0.3">
      <c r="A4891" s="8">
        <v>4889</v>
      </c>
      <c r="B4891" s="8" t="s">
        <v>7355</v>
      </c>
      <c r="C4891" s="8" t="s">
        <v>9941</v>
      </c>
      <c r="D4891" s="8" t="s">
        <v>9942</v>
      </c>
      <c r="E4891" s="13">
        <v>191000</v>
      </c>
      <c r="F4891" s="14">
        <v>382407</v>
      </c>
    </row>
    <row r="4892" spans="1:6" x14ac:dyDescent="0.3">
      <c r="A4892" s="8">
        <v>4890</v>
      </c>
      <c r="B4892" s="8" t="s">
        <v>7355</v>
      </c>
      <c r="C4892" s="8" t="s">
        <v>9943</v>
      </c>
      <c r="D4892" s="8" t="s">
        <v>9944</v>
      </c>
      <c r="E4892" s="13">
        <v>0</v>
      </c>
      <c r="F4892" s="14">
        <v>0</v>
      </c>
    </row>
    <row r="4893" spans="1:6" x14ac:dyDescent="0.3">
      <c r="A4893" s="8">
        <v>4891</v>
      </c>
      <c r="B4893" s="8" t="s">
        <v>7355</v>
      </c>
      <c r="C4893" s="8" t="s">
        <v>9945</v>
      </c>
      <c r="D4893" s="8" t="s">
        <v>9946</v>
      </c>
      <c r="E4893" s="13">
        <v>0</v>
      </c>
      <c r="F4893" s="14">
        <v>0</v>
      </c>
    </row>
    <row r="4894" spans="1:6" x14ac:dyDescent="0.3">
      <c r="A4894" s="8">
        <v>4892</v>
      </c>
      <c r="B4894" s="8" t="s">
        <v>7368</v>
      </c>
      <c r="C4894" s="8" t="s">
        <v>9947</v>
      </c>
      <c r="D4894" s="8" t="s">
        <v>9948</v>
      </c>
      <c r="E4894" s="13">
        <v>35400</v>
      </c>
      <c r="F4894" s="14">
        <v>70833</v>
      </c>
    </row>
    <row r="4895" spans="1:6" x14ac:dyDescent="0.3">
      <c r="A4895" s="8">
        <v>4893</v>
      </c>
      <c r="B4895" s="8" t="s">
        <v>7368</v>
      </c>
      <c r="C4895" s="8" t="s">
        <v>9949</v>
      </c>
      <c r="D4895" s="8" t="s">
        <v>9950</v>
      </c>
      <c r="E4895" s="13">
        <v>82400</v>
      </c>
      <c r="F4895" s="14">
        <v>165000</v>
      </c>
    </row>
    <row r="4896" spans="1:6" x14ac:dyDescent="0.3">
      <c r="A4896" s="8">
        <v>4894</v>
      </c>
      <c r="B4896" s="8" t="s">
        <v>7368</v>
      </c>
      <c r="C4896" s="8" t="s">
        <v>9951</v>
      </c>
      <c r="D4896" s="8" t="s">
        <v>9952</v>
      </c>
      <c r="E4896" s="13">
        <v>0</v>
      </c>
      <c r="F4896" s="14">
        <v>0</v>
      </c>
    </row>
    <row r="4897" spans="1:6" x14ac:dyDescent="0.3">
      <c r="A4897" s="8">
        <v>4895</v>
      </c>
      <c r="B4897" s="8" t="s">
        <v>7368</v>
      </c>
      <c r="C4897" s="8" t="s">
        <v>9953</v>
      </c>
      <c r="D4897" s="8" t="s">
        <v>9954</v>
      </c>
      <c r="E4897" s="13">
        <v>0</v>
      </c>
      <c r="F4897" s="14">
        <v>204000</v>
      </c>
    </row>
    <row r="4898" spans="1:6" x14ac:dyDescent="0.3">
      <c r="A4898" s="8">
        <v>4896</v>
      </c>
      <c r="B4898" s="8" t="s">
        <v>7368</v>
      </c>
      <c r="C4898" s="8" t="s">
        <v>9955</v>
      </c>
      <c r="D4898" s="8" t="s">
        <v>9956</v>
      </c>
      <c r="E4898" s="13">
        <v>105000</v>
      </c>
      <c r="F4898" s="14">
        <v>210185</v>
      </c>
    </row>
    <row r="4899" spans="1:6" x14ac:dyDescent="0.3">
      <c r="A4899" s="8">
        <v>4897</v>
      </c>
      <c r="B4899" s="8" t="s">
        <v>7368</v>
      </c>
      <c r="C4899" s="8" t="s">
        <v>9957</v>
      </c>
      <c r="D4899" s="8" t="s">
        <v>9958</v>
      </c>
      <c r="E4899" s="13">
        <v>42000</v>
      </c>
      <c r="F4899" s="14">
        <v>83981</v>
      </c>
    </row>
    <row r="4900" spans="1:6" x14ac:dyDescent="0.3">
      <c r="A4900" s="8">
        <v>4898</v>
      </c>
      <c r="B4900" s="8" t="s">
        <v>7368</v>
      </c>
      <c r="C4900" s="8" t="s">
        <v>9959</v>
      </c>
      <c r="D4900" s="8" t="s">
        <v>9960</v>
      </c>
      <c r="E4900" s="13">
        <v>0</v>
      </c>
      <c r="F4900" s="14">
        <v>0</v>
      </c>
    </row>
    <row r="4901" spans="1:6" x14ac:dyDescent="0.3">
      <c r="A4901" s="8">
        <v>4899</v>
      </c>
      <c r="B4901" s="8" t="s">
        <v>7681</v>
      </c>
      <c r="C4901" s="8" t="s">
        <v>9961</v>
      </c>
      <c r="D4901" s="8" t="s">
        <v>9962</v>
      </c>
      <c r="E4901" s="13">
        <v>0</v>
      </c>
      <c r="F4901" s="14">
        <v>0</v>
      </c>
    </row>
    <row r="4902" spans="1:6" x14ac:dyDescent="0.3">
      <c r="A4902" s="8">
        <v>4900</v>
      </c>
      <c r="B4902" s="8" t="s">
        <v>7694</v>
      </c>
      <c r="C4902" s="8" t="s">
        <v>9963</v>
      </c>
      <c r="D4902" s="8" t="s">
        <v>9964</v>
      </c>
      <c r="E4902" s="13">
        <v>226800</v>
      </c>
      <c r="F4902" s="14">
        <v>504000</v>
      </c>
    </row>
    <row r="4903" spans="1:6" x14ac:dyDescent="0.3">
      <c r="A4903" s="8">
        <v>4901</v>
      </c>
      <c r="B4903" s="8" t="s">
        <v>7694</v>
      </c>
      <c r="C4903" s="8" t="s">
        <v>9965</v>
      </c>
      <c r="D4903" s="8" t="s">
        <v>9966</v>
      </c>
      <c r="E4903" s="13">
        <v>148500</v>
      </c>
      <c r="F4903" s="14">
        <v>297000</v>
      </c>
    </row>
    <row r="4904" spans="1:6" x14ac:dyDescent="0.3">
      <c r="A4904" s="8">
        <v>4902</v>
      </c>
      <c r="B4904" s="8" t="s">
        <v>7694</v>
      </c>
      <c r="C4904" s="8" t="s">
        <v>9967</v>
      </c>
      <c r="D4904" s="8" t="s">
        <v>9968</v>
      </c>
      <c r="E4904" s="13">
        <v>0</v>
      </c>
      <c r="F4904" s="14">
        <v>2200000</v>
      </c>
    </row>
    <row r="4905" spans="1:6" x14ac:dyDescent="0.3">
      <c r="A4905" s="8">
        <v>4903</v>
      </c>
      <c r="B4905" s="8" t="s">
        <v>7694</v>
      </c>
      <c r="C4905" s="8" t="s">
        <v>9969</v>
      </c>
      <c r="D4905" s="8" t="s">
        <v>9970</v>
      </c>
      <c r="E4905" s="13">
        <v>635000</v>
      </c>
      <c r="F4905" s="14">
        <v>1150926</v>
      </c>
    </row>
    <row r="4906" spans="1:6" x14ac:dyDescent="0.3">
      <c r="A4906" s="8">
        <v>4904</v>
      </c>
      <c r="B4906" s="8" t="s">
        <v>7694</v>
      </c>
      <c r="C4906" s="8" t="s">
        <v>9971</v>
      </c>
      <c r="D4906" s="8" t="s">
        <v>9972</v>
      </c>
      <c r="E4906" s="13">
        <v>750000</v>
      </c>
      <c r="F4906" s="14">
        <v>1500000</v>
      </c>
    </row>
    <row r="4907" spans="1:6" x14ac:dyDescent="0.3">
      <c r="A4907" s="8">
        <v>4905</v>
      </c>
      <c r="B4907" s="8" t="s">
        <v>7694</v>
      </c>
      <c r="C4907" s="8" t="s">
        <v>9973</v>
      </c>
      <c r="D4907" s="8" t="s">
        <v>9974</v>
      </c>
      <c r="E4907" s="13">
        <v>0</v>
      </c>
      <c r="F4907" s="14">
        <v>0</v>
      </c>
    </row>
    <row r="4908" spans="1:6" x14ac:dyDescent="0.3">
      <c r="A4908" s="8">
        <v>4906</v>
      </c>
      <c r="B4908" s="8" t="s">
        <v>7694</v>
      </c>
      <c r="C4908" s="8" t="s">
        <v>9975</v>
      </c>
      <c r="D4908" s="8" t="s">
        <v>9976</v>
      </c>
      <c r="E4908" s="13">
        <v>0</v>
      </c>
      <c r="F4908" s="14">
        <v>0</v>
      </c>
    </row>
    <row r="4909" spans="1:6" x14ac:dyDescent="0.3">
      <c r="A4909" s="8">
        <v>4907</v>
      </c>
      <c r="B4909" s="8" t="s">
        <v>7694</v>
      </c>
      <c r="C4909" s="8" t="s">
        <v>9977</v>
      </c>
      <c r="D4909" s="8" t="s">
        <v>9978</v>
      </c>
      <c r="E4909" s="13">
        <v>0</v>
      </c>
      <c r="F4909" s="14">
        <v>79750000</v>
      </c>
    </row>
    <row r="4910" spans="1:6" x14ac:dyDescent="0.3">
      <c r="A4910" s="8">
        <v>4908</v>
      </c>
      <c r="B4910" s="8" t="s">
        <v>7694</v>
      </c>
      <c r="C4910" s="8" t="s">
        <v>9979</v>
      </c>
      <c r="D4910" s="8" t="s">
        <v>9980</v>
      </c>
      <c r="E4910" s="13">
        <v>0</v>
      </c>
      <c r="F4910" s="14">
        <v>183150000</v>
      </c>
    </row>
    <row r="4911" spans="1:6" x14ac:dyDescent="0.3">
      <c r="A4911" s="8">
        <v>4909</v>
      </c>
      <c r="B4911" s="8" t="s">
        <v>7694</v>
      </c>
      <c r="C4911" s="8" t="s">
        <v>9981</v>
      </c>
      <c r="D4911" s="8" t="s">
        <v>9982</v>
      </c>
      <c r="E4911" s="13">
        <v>0</v>
      </c>
      <c r="F4911" s="14">
        <v>180400000</v>
      </c>
    </row>
    <row r="4912" spans="1:6" x14ac:dyDescent="0.3">
      <c r="A4912" s="8">
        <v>4910</v>
      </c>
      <c r="B4912" s="8" t="s">
        <v>7694</v>
      </c>
      <c r="C4912" s="8" t="s">
        <v>9983</v>
      </c>
      <c r="D4912" s="8" t="s">
        <v>9984</v>
      </c>
      <c r="E4912" s="13">
        <v>0</v>
      </c>
      <c r="F4912" s="14">
        <v>0</v>
      </c>
    </row>
    <row r="4913" spans="1:6" x14ac:dyDescent="0.3">
      <c r="A4913" s="8">
        <v>4911</v>
      </c>
      <c r="B4913" s="8" t="s">
        <v>7694</v>
      </c>
      <c r="C4913" s="8" t="s">
        <v>9985</v>
      </c>
      <c r="D4913" s="8" t="s">
        <v>9986</v>
      </c>
      <c r="E4913" s="13">
        <v>0</v>
      </c>
      <c r="F4913" s="14">
        <v>0</v>
      </c>
    </row>
    <row r="4914" spans="1:6" x14ac:dyDescent="0.3">
      <c r="A4914" s="8">
        <v>4912</v>
      </c>
      <c r="B4914" s="8" t="s">
        <v>7694</v>
      </c>
      <c r="C4914" s="8" t="s">
        <v>9987</v>
      </c>
      <c r="D4914" s="8" t="s">
        <v>9988</v>
      </c>
      <c r="E4914" s="13">
        <v>0</v>
      </c>
      <c r="F4914" s="14">
        <v>242890000</v>
      </c>
    </row>
    <row r="4915" spans="1:6" x14ac:dyDescent="0.3">
      <c r="A4915" s="8">
        <v>4913</v>
      </c>
      <c r="B4915" s="8" t="s">
        <v>7694</v>
      </c>
      <c r="C4915" s="8" t="s">
        <v>9989</v>
      </c>
      <c r="D4915" s="8" t="s">
        <v>9990</v>
      </c>
      <c r="E4915" s="13">
        <v>0</v>
      </c>
      <c r="F4915" s="14">
        <v>77550000</v>
      </c>
    </row>
    <row r="4916" spans="1:6" x14ac:dyDescent="0.3">
      <c r="A4916" s="8">
        <v>4914</v>
      </c>
      <c r="B4916" s="8" t="s">
        <v>7694</v>
      </c>
      <c r="C4916" s="8" t="s">
        <v>9991</v>
      </c>
      <c r="D4916" s="8" t="s">
        <v>9992</v>
      </c>
      <c r="E4916" s="13">
        <v>0</v>
      </c>
      <c r="F4916" s="14">
        <v>79750000</v>
      </c>
    </row>
    <row r="4917" spans="1:6" x14ac:dyDescent="0.3">
      <c r="A4917" s="8">
        <v>4915</v>
      </c>
      <c r="B4917" s="8" t="s">
        <v>7694</v>
      </c>
      <c r="C4917" s="8" t="s">
        <v>9993</v>
      </c>
      <c r="D4917" s="8" t="s">
        <v>9994</v>
      </c>
      <c r="E4917" s="13">
        <v>0</v>
      </c>
      <c r="F4917" s="14">
        <v>326470000</v>
      </c>
    </row>
    <row r="4918" spans="1:6" x14ac:dyDescent="0.3">
      <c r="A4918" s="8">
        <v>4916</v>
      </c>
      <c r="B4918" s="8" t="s">
        <v>9463</v>
      </c>
      <c r="C4918" s="8" t="s">
        <v>9995</v>
      </c>
      <c r="D4918" s="8" t="s">
        <v>9996</v>
      </c>
      <c r="E4918" s="13">
        <v>0</v>
      </c>
      <c r="F4918" s="14">
        <v>54000</v>
      </c>
    </row>
    <row r="4919" spans="1:6" x14ac:dyDescent="0.3">
      <c r="A4919" s="8">
        <v>4917</v>
      </c>
      <c r="B4919" s="8" t="s">
        <v>9463</v>
      </c>
      <c r="C4919" s="8" t="s">
        <v>9997</v>
      </c>
      <c r="D4919" s="8" t="s">
        <v>9998</v>
      </c>
      <c r="E4919" s="13">
        <v>0</v>
      </c>
      <c r="F4919" s="14">
        <v>0</v>
      </c>
    </row>
    <row r="4920" spans="1:6" x14ac:dyDescent="0.3">
      <c r="A4920" s="8">
        <v>4918</v>
      </c>
      <c r="B4920" s="8" t="s">
        <v>9463</v>
      </c>
      <c r="C4920" s="8" t="s">
        <v>9999</v>
      </c>
      <c r="D4920" s="8" t="s">
        <v>10000</v>
      </c>
      <c r="E4920" s="13">
        <v>0</v>
      </c>
      <c r="F4920" s="14">
        <v>0</v>
      </c>
    </row>
    <row r="4921" spans="1:6" x14ac:dyDescent="0.3">
      <c r="A4921" s="8">
        <v>4919</v>
      </c>
      <c r="B4921" s="8" t="s">
        <v>9463</v>
      </c>
      <c r="C4921" s="8" t="s">
        <v>10001</v>
      </c>
      <c r="D4921" s="8" t="s">
        <v>10002</v>
      </c>
      <c r="E4921" s="13">
        <v>80000</v>
      </c>
      <c r="F4921" s="14">
        <v>160185</v>
      </c>
    </row>
    <row r="4922" spans="1:6" x14ac:dyDescent="0.3">
      <c r="A4922" s="8">
        <v>4920</v>
      </c>
      <c r="B4922" s="8" t="s">
        <v>9463</v>
      </c>
      <c r="C4922" s="8" t="s">
        <v>10003</v>
      </c>
      <c r="D4922" s="8" t="s">
        <v>10004</v>
      </c>
      <c r="E4922" s="13">
        <v>0</v>
      </c>
      <c r="F4922" s="14">
        <v>0</v>
      </c>
    </row>
    <row r="4923" spans="1:6" x14ac:dyDescent="0.3">
      <c r="A4923" s="8">
        <v>4921</v>
      </c>
      <c r="B4923" s="8" t="s">
        <v>9478</v>
      </c>
      <c r="C4923" s="8" t="s">
        <v>10005</v>
      </c>
      <c r="D4923" s="8" t="s">
        <v>36</v>
      </c>
      <c r="E4923" s="13">
        <v>115000</v>
      </c>
      <c r="F4923" s="14">
        <v>229630</v>
      </c>
    </row>
    <row r="4924" spans="1:6" x14ac:dyDescent="0.3">
      <c r="A4924" s="8">
        <v>4922</v>
      </c>
      <c r="B4924" s="8" t="s">
        <v>9478</v>
      </c>
      <c r="C4924" s="8" t="s">
        <v>10006</v>
      </c>
      <c r="D4924" s="8" t="s">
        <v>10007</v>
      </c>
      <c r="E4924" s="13">
        <v>0</v>
      </c>
      <c r="F4924" s="14">
        <v>0</v>
      </c>
    </row>
    <row r="4925" spans="1:6" x14ac:dyDescent="0.3">
      <c r="A4925" s="8">
        <v>4923</v>
      </c>
      <c r="B4925" s="8" t="s">
        <v>9478</v>
      </c>
      <c r="C4925" s="8" t="s">
        <v>10008</v>
      </c>
      <c r="D4925" s="8" t="s">
        <v>10009</v>
      </c>
      <c r="E4925" s="13">
        <v>0</v>
      </c>
      <c r="F4925" s="14">
        <v>0</v>
      </c>
    </row>
    <row r="4926" spans="1:6" x14ac:dyDescent="0.3">
      <c r="A4926" s="8">
        <v>4924</v>
      </c>
      <c r="B4926" s="8" t="s">
        <v>9478</v>
      </c>
      <c r="C4926" s="8" t="s">
        <v>10010</v>
      </c>
      <c r="D4926" s="8" t="s">
        <v>10011</v>
      </c>
      <c r="E4926" s="13">
        <v>0</v>
      </c>
      <c r="F4926" s="14">
        <v>0</v>
      </c>
    </row>
    <row r="4927" spans="1:6" x14ac:dyDescent="0.3">
      <c r="A4927" s="8">
        <v>4925</v>
      </c>
      <c r="B4927" s="8" t="s">
        <v>9478</v>
      </c>
      <c r="C4927" s="8" t="s">
        <v>10012</v>
      </c>
      <c r="D4927" s="8" t="s">
        <v>71</v>
      </c>
      <c r="E4927" s="13">
        <v>230000</v>
      </c>
      <c r="F4927" s="14">
        <v>429630</v>
      </c>
    </row>
    <row r="4928" spans="1:6" x14ac:dyDescent="0.3">
      <c r="A4928" s="8">
        <v>4926</v>
      </c>
      <c r="B4928" s="8" t="s">
        <v>9478</v>
      </c>
      <c r="C4928" s="8" t="s">
        <v>10013</v>
      </c>
      <c r="D4928" s="8" t="s">
        <v>10014</v>
      </c>
      <c r="E4928" s="13">
        <v>0</v>
      </c>
      <c r="F4928" s="14">
        <v>0</v>
      </c>
    </row>
    <row r="4929" spans="1:6" x14ac:dyDescent="0.3">
      <c r="A4929" s="8">
        <v>4927</v>
      </c>
      <c r="B4929" s="8" t="s">
        <v>9478</v>
      </c>
      <c r="C4929" s="8" t="s">
        <v>10015</v>
      </c>
      <c r="D4929" s="8" t="s">
        <v>10016</v>
      </c>
      <c r="E4929" s="13">
        <v>0</v>
      </c>
      <c r="F4929" s="14">
        <v>0</v>
      </c>
    </row>
    <row r="4930" spans="1:6" x14ac:dyDescent="0.3">
      <c r="A4930" s="8">
        <v>4928</v>
      </c>
      <c r="B4930" s="8" t="s">
        <v>9478</v>
      </c>
      <c r="C4930" s="8" t="s">
        <v>10017</v>
      </c>
      <c r="D4930" s="8" t="s">
        <v>10018</v>
      </c>
      <c r="E4930" s="13">
        <v>0</v>
      </c>
      <c r="F4930" s="14">
        <v>0</v>
      </c>
    </row>
    <row r="4931" spans="1:6" x14ac:dyDescent="0.3">
      <c r="A4931" s="8">
        <v>4929</v>
      </c>
      <c r="B4931" s="8" t="s">
        <v>9478</v>
      </c>
      <c r="C4931" s="8" t="s">
        <v>10019</v>
      </c>
      <c r="D4931" s="8" t="s">
        <v>10020</v>
      </c>
      <c r="E4931" s="13">
        <v>0</v>
      </c>
      <c r="F4931" s="14">
        <v>0</v>
      </c>
    </row>
    <row r="4932" spans="1:6" x14ac:dyDescent="0.3">
      <c r="A4932" s="8">
        <v>4930</v>
      </c>
      <c r="B4932" s="8" t="s">
        <v>7681</v>
      </c>
      <c r="C4932" s="8" t="s">
        <v>10021</v>
      </c>
      <c r="D4932" s="8" t="s">
        <v>10022</v>
      </c>
      <c r="E4932" s="13">
        <v>0</v>
      </c>
      <c r="F4932" s="14">
        <v>0</v>
      </c>
    </row>
    <row r="4933" spans="1:6" x14ac:dyDescent="0.3">
      <c r="A4933" s="8">
        <v>4931</v>
      </c>
      <c r="B4933" s="8" t="s">
        <v>7681</v>
      </c>
      <c r="C4933" s="8" t="s">
        <v>10023</v>
      </c>
      <c r="D4933" s="8" t="s">
        <v>10024</v>
      </c>
      <c r="E4933" s="13">
        <v>0</v>
      </c>
      <c r="F4933" s="14">
        <v>0</v>
      </c>
    </row>
    <row r="4934" spans="1:6" x14ac:dyDescent="0.3">
      <c r="A4934" s="8">
        <v>4932</v>
      </c>
      <c r="B4934" s="8" t="s">
        <v>7681</v>
      </c>
      <c r="C4934" s="8" t="s">
        <v>10025</v>
      </c>
      <c r="D4934" s="8" t="s">
        <v>10026</v>
      </c>
      <c r="E4934" s="13">
        <v>0</v>
      </c>
      <c r="F4934" s="14">
        <v>0</v>
      </c>
    </row>
    <row r="4935" spans="1:6" x14ac:dyDescent="0.3">
      <c r="A4935" s="8">
        <v>4933</v>
      </c>
      <c r="B4935" s="8" t="s">
        <v>7681</v>
      </c>
      <c r="C4935" s="8" t="s">
        <v>10027</v>
      </c>
      <c r="D4935" s="8" t="s">
        <v>10028</v>
      </c>
      <c r="E4935" s="13">
        <v>0</v>
      </c>
      <c r="F4935" s="14">
        <v>0</v>
      </c>
    </row>
    <row r="4936" spans="1:6" x14ac:dyDescent="0.3">
      <c r="A4936" s="8">
        <v>4934</v>
      </c>
      <c r="B4936" s="8" t="s">
        <v>7681</v>
      </c>
      <c r="C4936" s="8" t="s">
        <v>10029</v>
      </c>
      <c r="D4936" s="8" t="s">
        <v>10030</v>
      </c>
      <c r="E4936" s="13">
        <v>636000</v>
      </c>
      <c r="F4936" s="14">
        <v>1272000</v>
      </c>
    </row>
    <row r="4937" spans="1:6" x14ac:dyDescent="0.3">
      <c r="A4937" s="8">
        <v>4935</v>
      </c>
      <c r="B4937" s="8" t="s">
        <v>7681</v>
      </c>
      <c r="C4937" s="8" t="s">
        <v>10031</v>
      </c>
      <c r="D4937" s="8" t="s">
        <v>10032</v>
      </c>
      <c r="E4937" s="13">
        <v>0</v>
      </c>
      <c r="F4937" s="14">
        <v>0</v>
      </c>
    </row>
    <row r="4938" spans="1:6" x14ac:dyDescent="0.3">
      <c r="A4938" s="8">
        <v>4936</v>
      </c>
      <c r="B4938" s="8" t="s">
        <v>7681</v>
      </c>
      <c r="C4938" s="8" t="s">
        <v>10033</v>
      </c>
      <c r="D4938" s="8" t="s">
        <v>10034</v>
      </c>
      <c r="E4938" s="13">
        <v>842000</v>
      </c>
      <c r="F4938" s="14">
        <v>1683333</v>
      </c>
    </row>
    <row r="4939" spans="1:6" x14ac:dyDescent="0.3">
      <c r="A4939" s="8">
        <v>4937</v>
      </c>
      <c r="B4939" s="8" t="s">
        <v>7681</v>
      </c>
      <c r="C4939" s="8" t="s">
        <v>10035</v>
      </c>
      <c r="D4939" s="8" t="s">
        <v>10036</v>
      </c>
      <c r="E4939" s="13">
        <v>0</v>
      </c>
      <c r="F4939" s="14">
        <v>0</v>
      </c>
    </row>
    <row r="4940" spans="1:6" x14ac:dyDescent="0.3">
      <c r="A4940" s="8">
        <v>4938</v>
      </c>
      <c r="B4940" s="8" t="s">
        <v>7681</v>
      </c>
      <c r="C4940" s="8" t="s">
        <v>10037</v>
      </c>
      <c r="D4940" s="8" t="s">
        <v>10038</v>
      </c>
      <c r="E4940" s="13">
        <v>0</v>
      </c>
      <c r="F4940" s="14">
        <v>315000</v>
      </c>
    </row>
    <row r="4941" spans="1:6" x14ac:dyDescent="0.3">
      <c r="A4941" s="8">
        <v>4939</v>
      </c>
      <c r="B4941" s="8" t="s">
        <v>7681</v>
      </c>
      <c r="C4941" s="8" t="s">
        <v>10039</v>
      </c>
      <c r="D4941" s="8" t="s">
        <v>10040</v>
      </c>
      <c r="E4941" s="13">
        <v>0</v>
      </c>
      <c r="F4941" s="14">
        <v>0</v>
      </c>
    </row>
    <row r="4942" spans="1:6" x14ac:dyDescent="0.3">
      <c r="A4942" s="8">
        <v>4940</v>
      </c>
      <c r="B4942" s="8" t="s">
        <v>7694</v>
      </c>
      <c r="C4942" s="8" t="s">
        <v>10041</v>
      </c>
      <c r="D4942" s="8" t="s">
        <v>10042</v>
      </c>
      <c r="E4942" s="13">
        <v>117000</v>
      </c>
      <c r="F4942" s="14">
        <v>234259</v>
      </c>
    </row>
    <row r="4943" spans="1:6" x14ac:dyDescent="0.3">
      <c r="A4943" s="8">
        <v>4941</v>
      </c>
      <c r="B4943" s="8" t="s">
        <v>7694</v>
      </c>
      <c r="C4943" s="8" t="s">
        <v>10043</v>
      </c>
      <c r="D4943" s="8" t="s">
        <v>10044</v>
      </c>
      <c r="E4943" s="13">
        <v>233100</v>
      </c>
      <c r="F4943" s="14">
        <v>468000</v>
      </c>
    </row>
    <row r="4944" spans="1:6" x14ac:dyDescent="0.3">
      <c r="A4944" s="8">
        <v>4942</v>
      </c>
      <c r="B4944" s="8" t="s">
        <v>7694</v>
      </c>
      <c r="C4944" s="8" t="s">
        <v>10045</v>
      </c>
      <c r="D4944" s="8" t="s">
        <v>10046</v>
      </c>
      <c r="E4944" s="13">
        <v>108000</v>
      </c>
      <c r="F4944" s="14">
        <v>216000</v>
      </c>
    </row>
    <row r="4945" spans="1:6" x14ac:dyDescent="0.3">
      <c r="A4945" s="8">
        <v>4943</v>
      </c>
      <c r="B4945" s="8" t="s">
        <v>7694</v>
      </c>
      <c r="C4945" s="8" t="s">
        <v>10047</v>
      </c>
      <c r="D4945" s="8" t="s">
        <v>10048</v>
      </c>
      <c r="E4945" s="13">
        <v>0</v>
      </c>
      <c r="F4945" s="14">
        <v>383636</v>
      </c>
    </row>
    <row r="4946" spans="1:6" x14ac:dyDescent="0.3">
      <c r="A4946" s="8">
        <v>4944</v>
      </c>
      <c r="B4946" s="8" t="s">
        <v>7694</v>
      </c>
      <c r="C4946" s="8" t="s">
        <v>10049</v>
      </c>
      <c r="D4946" s="8" t="s">
        <v>10050</v>
      </c>
      <c r="E4946" s="13">
        <v>0</v>
      </c>
      <c r="F4946" s="14">
        <v>2200000</v>
      </c>
    </row>
    <row r="4947" spans="1:6" x14ac:dyDescent="0.3">
      <c r="A4947" s="8">
        <v>4945</v>
      </c>
      <c r="B4947" s="8" t="s">
        <v>7694</v>
      </c>
      <c r="C4947" s="8" t="s">
        <v>10051</v>
      </c>
      <c r="D4947" s="8" t="s">
        <v>10052</v>
      </c>
      <c r="E4947" s="13">
        <v>240000</v>
      </c>
      <c r="F4947" s="14">
        <v>435185</v>
      </c>
    </row>
    <row r="4948" spans="1:6" x14ac:dyDescent="0.3">
      <c r="A4948" s="8">
        <v>4946</v>
      </c>
      <c r="B4948" s="8" t="s">
        <v>7694</v>
      </c>
      <c r="C4948" s="8" t="s">
        <v>10053</v>
      </c>
      <c r="D4948" s="8" t="s">
        <v>10054</v>
      </c>
      <c r="E4948" s="13">
        <v>81000</v>
      </c>
      <c r="F4948" s="14">
        <v>146296</v>
      </c>
    </row>
    <row r="4949" spans="1:6" x14ac:dyDescent="0.3">
      <c r="A4949" s="8">
        <v>4947</v>
      </c>
      <c r="B4949" s="8" t="s">
        <v>7694</v>
      </c>
      <c r="C4949" s="8" t="s">
        <v>10055</v>
      </c>
      <c r="D4949" s="8" t="s">
        <v>10056</v>
      </c>
      <c r="E4949" s="13">
        <v>0</v>
      </c>
      <c r="F4949" s="14">
        <v>0</v>
      </c>
    </row>
    <row r="4950" spans="1:6" x14ac:dyDescent="0.3">
      <c r="A4950" s="8">
        <v>4948</v>
      </c>
      <c r="B4950" s="8" t="s">
        <v>7694</v>
      </c>
      <c r="C4950" s="8" t="s">
        <v>10057</v>
      </c>
      <c r="D4950" s="8" t="s">
        <v>10058</v>
      </c>
      <c r="E4950" s="13">
        <v>142400</v>
      </c>
      <c r="F4950" s="14">
        <v>256000</v>
      </c>
    </row>
    <row r="4951" spans="1:6" x14ac:dyDescent="0.3">
      <c r="A4951" s="8">
        <v>4949</v>
      </c>
      <c r="B4951" s="8" t="s">
        <v>7694</v>
      </c>
      <c r="C4951" s="8" t="s">
        <v>10059</v>
      </c>
      <c r="D4951" s="8" t="s">
        <v>10060</v>
      </c>
      <c r="E4951" s="13">
        <v>0</v>
      </c>
      <c r="F4951" s="14">
        <v>0</v>
      </c>
    </row>
    <row r="4952" spans="1:6" x14ac:dyDescent="0.3">
      <c r="A4952" s="8">
        <v>4950</v>
      </c>
      <c r="B4952" s="8" t="s">
        <v>7694</v>
      </c>
      <c r="C4952" s="8" t="s">
        <v>10061</v>
      </c>
      <c r="D4952" s="8" t="s">
        <v>10062</v>
      </c>
      <c r="E4952" s="13">
        <v>44000</v>
      </c>
      <c r="F4952" s="14">
        <v>87963</v>
      </c>
    </row>
    <row r="4953" spans="1:6" x14ac:dyDescent="0.3">
      <c r="A4953" s="8">
        <v>4951</v>
      </c>
      <c r="B4953" s="8" t="s">
        <v>7694</v>
      </c>
      <c r="C4953" s="8" t="s">
        <v>10063</v>
      </c>
      <c r="D4953" s="8" t="s">
        <v>10064</v>
      </c>
      <c r="E4953" s="13">
        <v>207000</v>
      </c>
      <c r="F4953" s="14">
        <v>413889</v>
      </c>
    </row>
    <row r="4954" spans="1:6" x14ac:dyDescent="0.3">
      <c r="A4954" s="8">
        <v>4952</v>
      </c>
      <c r="B4954" s="8" t="s">
        <v>7694</v>
      </c>
      <c r="C4954" s="8" t="s">
        <v>10065</v>
      </c>
      <c r="D4954" s="8" t="s">
        <v>10066</v>
      </c>
      <c r="E4954" s="13">
        <v>190000</v>
      </c>
      <c r="F4954" s="14">
        <v>379630</v>
      </c>
    </row>
    <row r="4955" spans="1:6" x14ac:dyDescent="0.3">
      <c r="A4955" s="8">
        <v>4953</v>
      </c>
      <c r="B4955" s="8" t="s">
        <v>7694</v>
      </c>
      <c r="C4955" s="8" t="s">
        <v>10067</v>
      </c>
      <c r="D4955" s="8" t="s">
        <v>10068</v>
      </c>
      <c r="E4955" s="13">
        <v>0</v>
      </c>
      <c r="F4955" s="14">
        <v>297273</v>
      </c>
    </row>
    <row r="4956" spans="1:6" x14ac:dyDescent="0.3">
      <c r="A4956" s="8">
        <v>4954</v>
      </c>
      <c r="B4956" s="8" t="s">
        <v>7694</v>
      </c>
      <c r="C4956" s="8" t="s">
        <v>10069</v>
      </c>
      <c r="D4956" s="8" t="s">
        <v>10070</v>
      </c>
      <c r="E4956" s="13">
        <v>0</v>
      </c>
      <c r="F4956" s="14">
        <v>0</v>
      </c>
    </row>
    <row r="4957" spans="1:6" x14ac:dyDescent="0.3">
      <c r="A4957" s="8">
        <v>4955</v>
      </c>
      <c r="B4957" s="8" t="s">
        <v>7694</v>
      </c>
      <c r="C4957" s="8" t="s">
        <v>10071</v>
      </c>
      <c r="D4957" s="8" t="s">
        <v>10072</v>
      </c>
      <c r="E4957" s="13">
        <v>0</v>
      </c>
      <c r="F4957" s="14">
        <v>6600000</v>
      </c>
    </row>
    <row r="4958" spans="1:6" x14ac:dyDescent="0.3">
      <c r="A4958" s="8">
        <v>4956</v>
      </c>
      <c r="B4958" s="8" t="s">
        <v>7694</v>
      </c>
      <c r="C4958" s="8" t="s">
        <v>10073</v>
      </c>
      <c r="D4958" s="8" t="s">
        <v>10074</v>
      </c>
      <c r="E4958" s="13">
        <v>0</v>
      </c>
      <c r="F4958" s="14">
        <v>0</v>
      </c>
    </row>
    <row r="4959" spans="1:6" x14ac:dyDescent="0.3">
      <c r="A4959" s="8">
        <v>4957</v>
      </c>
      <c r="B4959" s="8" t="s">
        <v>7694</v>
      </c>
      <c r="C4959" s="8" t="s">
        <v>10075</v>
      </c>
      <c r="D4959" s="8" t="s">
        <v>10076</v>
      </c>
      <c r="E4959" s="13">
        <v>0</v>
      </c>
      <c r="F4959" s="14">
        <v>0</v>
      </c>
    </row>
    <row r="4960" spans="1:6" x14ac:dyDescent="0.3">
      <c r="A4960" s="8">
        <v>4958</v>
      </c>
      <c r="B4960" s="8" t="s">
        <v>7694</v>
      </c>
      <c r="C4960" s="8" t="s">
        <v>10077</v>
      </c>
      <c r="D4960" s="8" t="s">
        <v>10078</v>
      </c>
      <c r="E4960" s="13">
        <v>0</v>
      </c>
      <c r="F4960" s="14">
        <v>0</v>
      </c>
    </row>
    <row r="4961" spans="1:6" x14ac:dyDescent="0.3">
      <c r="A4961" s="8">
        <v>4959</v>
      </c>
      <c r="B4961" s="8" t="s">
        <v>7694</v>
      </c>
      <c r="C4961" s="8" t="s">
        <v>10079</v>
      </c>
      <c r="D4961" s="8" t="s">
        <v>10080</v>
      </c>
      <c r="E4961" s="13">
        <v>0</v>
      </c>
      <c r="F4961" s="14">
        <v>0</v>
      </c>
    </row>
    <row r="4962" spans="1:6" x14ac:dyDescent="0.3">
      <c r="A4962" s="8">
        <v>4960</v>
      </c>
      <c r="B4962" s="8" t="s">
        <v>7694</v>
      </c>
      <c r="C4962" s="8" t="s">
        <v>10081</v>
      </c>
      <c r="D4962" s="8" t="s">
        <v>10082</v>
      </c>
      <c r="E4962" s="13">
        <v>0</v>
      </c>
      <c r="F4962" s="14">
        <v>0</v>
      </c>
    </row>
    <row r="4963" spans="1:6" x14ac:dyDescent="0.3">
      <c r="A4963" s="8">
        <v>4961</v>
      </c>
      <c r="B4963" s="8" t="s">
        <v>7694</v>
      </c>
      <c r="C4963" s="8" t="s">
        <v>10083</v>
      </c>
      <c r="D4963" s="8" t="s">
        <v>10084</v>
      </c>
      <c r="E4963" s="13">
        <v>190000</v>
      </c>
      <c r="F4963" s="14">
        <v>379630</v>
      </c>
    </row>
    <row r="4964" spans="1:6" x14ac:dyDescent="0.3">
      <c r="A4964" s="8">
        <v>4962</v>
      </c>
      <c r="B4964" s="8" t="s">
        <v>7694</v>
      </c>
      <c r="C4964" s="8" t="s">
        <v>10085</v>
      </c>
      <c r="D4964" s="8" t="s">
        <v>10086</v>
      </c>
      <c r="E4964" s="13">
        <v>0</v>
      </c>
      <c r="F4964" s="14">
        <v>778182</v>
      </c>
    </row>
    <row r="4965" spans="1:6" x14ac:dyDescent="0.3">
      <c r="A4965" s="8">
        <v>4963</v>
      </c>
      <c r="B4965" s="8" t="s">
        <v>7694</v>
      </c>
      <c r="C4965" s="8" t="s">
        <v>10087</v>
      </c>
      <c r="D4965" s="8" t="s">
        <v>10088</v>
      </c>
      <c r="E4965" s="13">
        <v>0</v>
      </c>
      <c r="F4965" s="14">
        <v>889091</v>
      </c>
    </row>
    <row r="4966" spans="1:6" x14ac:dyDescent="0.3">
      <c r="A4966" s="8">
        <v>4964</v>
      </c>
      <c r="B4966" s="8" t="s">
        <v>7694</v>
      </c>
      <c r="C4966" s="8" t="s">
        <v>10089</v>
      </c>
      <c r="D4966" s="8" t="s">
        <v>10090</v>
      </c>
      <c r="E4966" s="13">
        <v>0</v>
      </c>
      <c r="F4966" s="14">
        <v>0</v>
      </c>
    </row>
    <row r="4967" spans="1:6" x14ac:dyDescent="0.3">
      <c r="A4967" s="8">
        <v>4965</v>
      </c>
      <c r="B4967" s="8" t="s">
        <v>7694</v>
      </c>
      <c r="C4967" s="8" t="s">
        <v>10091</v>
      </c>
      <c r="D4967" s="8" t="s">
        <v>10092</v>
      </c>
      <c r="E4967" s="13">
        <v>0</v>
      </c>
      <c r="F4967" s="14">
        <v>0</v>
      </c>
    </row>
    <row r="4968" spans="1:6" x14ac:dyDescent="0.3">
      <c r="A4968" s="8">
        <v>4966</v>
      </c>
      <c r="B4968" s="8" t="s">
        <v>7694</v>
      </c>
      <c r="C4968" s="8" t="s">
        <v>10093</v>
      </c>
      <c r="D4968" s="8" t="s">
        <v>10094</v>
      </c>
      <c r="E4968" s="13">
        <v>0</v>
      </c>
      <c r="F4968" s="14">
        <v>0</v>
      </c>
    </row>
    <row r="4969" spans="1:6" x14ac:dyDescent="0.3">
      <c r="A4969" s="8">
        <v>4967</v>
      </c>
      <c r="B4969" s="8" t="s">
        <v>7694</v>
      </c>
      <c r="C4969" s="8" t="s">
        <v>10095</v>
      </c>
      <c r="D4969" s="8" t="s">
        <v>10096</v>
      </c>
      <c r="E4969" s="13">
        <v>0</v>
      </c>
      <c r="F4969" s="14">
        <v>0</v>
      </c>
    </row>
    <row r="4970" spans="1:6" x14ac:dyDescent="0.3">
      <c r="A4970" s="8">
        <v>4968</v>
      </c>
      <c r="B4970" s="8" t="s">
        <v>7694</v>
      </c>
      <c r="C4970" s="8" t="s">
        <v>10097</v>
      </c>
      <c r="D4970" s="8" t="s">
        <v>10098</v>
      </c>
      <c r="E4970" s="13">
        <v>0</v>
      </c>
      <c r="F4970" s="14">
        <v>555455</v>
      </c>
    </row>
    <row r="4971" spans="1:6" x14ac:dyDescent="0.3">
      <c r="A4971" s="8">
        <v>4969</v>
      </c>
      <c r="B4971" s="8" t="s">
        <v>7694</v>
      </c>
      <c r="C4971" s="8" t="s">
        <v>10099</v>
      </c>
      <c r="D4971" s="8" t="s">
        <v>10100</v>
      </c>
      <c r="E4971" s="13">
        <v>342600</v>
      </c>
      <c r="F4971" s="14">
        <v>685455</v>
      </c>
    </row>
    <row r="4972" spans="1:6" x14ac:dyDescent="0.3">
      <c r="A4972" s="8">
        <v>4970</v>
      </c>
      <c r="B4972" s="8" t="s">
        <v>7694</v>
      </c>
      <c r="C4972" s="8" t="s">
        <v>10101</v>
      </c>
      <c r="D4972" s="8" t="s">
        <v>10102</v>
      </c>
      <c r="E4972" s="13">
        <v>0</v>
      </c>
      <c r="F4972" s="14">
        <v>0</v>
      </c>
    </row>
    <row r="4973" spans="1:6" x14ac:dyDescent="0.3">
      <c r="A4973" s="8">
        <v>4971</v>
      </c>
      <c r="B4973" s="8" t="s">
        <v>7694</v>
      </c>
      <c r="C4973" s="8" t="s">
        <v>10103</v>
      </c>
      <c r="D4973" s="8" t="s">
        <v>10104</v>
      </c>
      <c r="E4973" s="13">
        <v>0</v>
      </c>
      <c r="F4973" s="14">
        <v>90750000</v>
      </c>
    </row>
    <row r="4974" spans="1:6" x14ac:dyDescent="0.3">
      <c r="A4974" s="8">
        <v>4972</v>
      </c>
      <c r="B4974" s="8" t="s">
        <v>7694</v>
      </c>
      <c r="C4974" s="8" t="s">
        <v>10105</v>
      </c>
      <c r="D4974" s="8" t="s">
        <v>10106</v>
      </c>
      <c r="E4974" s="13">
        <v>0</v>
      </c>
      <c r="F4974" s="14">
        <v>95150000</v>
      </c>
    </row>
    <row r="4975" spans="1:6" x14ac:dyDescent="0.3">
      <c r="A4975" s="8">
        <v>4973</v>
      </c>
      <c r="B4975" s="8" t="s">
        <v>7694</v>
      </c>
      <c r="C4975" s="8" t="s">
        <v>10107</v>
      </c>
      <c r="D4975" s="8" t="s">
        <v>10108</v>
      </c>
      <c r="E4975" s="13">
        <v>0</v>
      </c>
      <c r="F4975" s="14">
        <v>0</v>
      </c>
    </row>
    <row r="4976" spans="1:6" x14ac:dyDescent="0.3">
      <c r="A4976" s="8">
        <v>4974</v>
      </c>
      <c r="B4976" s="8" t="s">
        <v>7694</v>
      </c>
      <c r="C4976" s="8" t="s">
        <v>10109</v>
      </c>
      <c r="D4976" s="8" t="s">
        <v>10110</v>
      </c>
      <c r="E4976" s="13">
        <v>0</v>
      </c>
      <c r="F4976" s="14">
        <v>0</v>
      </c>
    </row>
    <row r="4977" spans="1:6" x14ac:dyDescent="0.3">
      <c r="A4977" s="8">
        <v>4975</v>
      </c>
      <c r="B4977" s="8" t="s">
        <v>7694</v>
      </c>
      <c r="C4977" s="8" t="s">
        <v>10111</v>
      </c>
      <c r="D4977" s="8" t="s">
        <v>10112</v>
      </c>
      <c r="E4977" s="13">
        <v>0</v>
      </c>
      <c r="F4977" s="14">
        <v>0</v>
      </c>
    </row>
    <row r="4978" spans="1:6" x14ac:dyDescent="0.3">
      <c r="A4978" s="8">
        <v>4976</v>
      </c>
      <c r="B4978" s="8" t="s">
        <v>7694</v>
      </c>
      <c r="C4978" s="8" t="s">
        <v>10113</v>
      </c>
      <c r="D4978" s="8" t="s">
        <v>10114</v>
      </c>
      <c r="E4978" s="13">
        <v>0</v>
      </c>
      <c r="F4978" s="14">
        <v>0</v>
      </c>
    </row>
    <row r="4979" spans="1:6" x14ac:dyDescent="0.3">
      <c r="A4979" s="8">
        <v>4977</v>
      </c>
      <c r="B4979" s="8" t="s">
        <v>7694</v>
      </c>
      <c r="C4979" s="8" t="s">
        <v>10115</v>
      </c>
      <c r="D4979" s="8" t="s">
        <v>10116</v>
      </c>
      <c r="E4979" s="13">
        <v>0</v>
      </c>
      <c r="F4979" s="14">
        <v>84150000</v>
      </c>
    </row>
    <row r="4980" spans="1:6" x14ac:dyDescent="0.3">
      <c r="A4980" s="8">
        <v>4978</v>
      </c>
      <c r="B4980" s="8" t="s">
        <v>7694</v>
      </c>
      <c r="C4980" s="8" t="s">
        <v>10117</v>
      </c>
      <c r="D4980" s="8" t="s">
        <v>10118</v>
      </c>
      <c r="E4980" s="13">
        <v>0</v>
      </c>
      <c r="F4980" s="14">
        <v>46970000</v>
      </c>
    </row>
    <row r="4981" spans="1:6" x14ac:dyDescent="0.3">
      <c r="A4981" s="8">
        <v>4979</v>
      </c>
      <c r="B4981" s="8" t="s">
        <v>7694</v>
      </c>
      <c r="C4981" s="8" t="s">
        <v>10119</v>
      </c>
      <c r="D4981" s="8" t="s">
        <v>10120</v>
      </c>
      <c r="E4981" s="13">
        <v>0</v>
      </c>
      <c r="F4981" s="14">
        <v>0</v>
      </c>
    </row>
    <row r="4982" spans="1:6" x14ac:dyDescent="0.3">
      <c r="A4982" s="8">
        <v>4980</v>
      </c>
      <c r="B4982" s="8" t="s">
        <v>7694</v>
      </c>
      <c r="C4982" s="8" t="s">
        <v>10121</v>
      </c>
      <c r="D4982" s="8" t="s">
        <v>10122</v>
      </c>
      <c r="E4982" s="13">
        <v>0</v>
      </c>
      <c r="F4982" s="14">
        <v>0</v>
      </c>
    </row>
    <row r="4983" spans="1:6" x14ac:dyDescent="0.3">
      <c r="A4983" s="8">
        <v>4981</v>
      </c>
      <c r="B4983" s="8" t="s">
        <v>7694</v>
      </c>
      <c r="C4983" s="8" t="s">
        <v>10123</v>
      </c>
      <c r="D4983" s="8" t="s">
        <v>10124</v>
      </c>
      <c r="E4983" s="13">
        <v>0</v>
      </c>
      <c r="F4983" s="14">
        <v>0</v>
      </c>
    </row>
    <row r="4984" spans="1:6" x14ac:dyDescent="0.3">
      <c r="A4984" s="8">
        <v>4982</v>
      </c>
      <c r="B4984" s="8" t="s">
        <v>7694</v>
      </c>
      <c r="C4984" s="8" t="s">
        <v>10125</v>
      </c>
      <c r="D4984" s="8" t="s">
        <v>10126</v>
      </c>
      <c r="E4984" s="13">
        <v>370000</v>
      </c>
      <c r="F4984" s="14">
        <v>740909</v>
      </c>
    </row>
    <row r="4985" spans="1:6" x14ac:dyDescent="0.3">
      <c r="A4985" s="8">
        <v>4983</v>
      </c>
      <c r="B4985" s="8" t="s">
        <v>7694</v>
      </c>
      <c r="C4985" s="8" t="s">
        <v>10127</v>
      </c>
      <c r="D4985" s="8" t="s">
        <v>10128</v>
      </c>
      <c r="E4985" s="13">
        <v>0</v>
      </c>
      <c r="F4985" s="14">
        <v>0</v>
      </c>
    </row>
    <row r="4986" spans="1:6" x14ac:dyDescent="0.3">
      <c r="A4986" s="8">
        <v>4984</v>
      </c>
      <c r="B4986" s="8" t="s">
        <v>7694</v>
      </c>
      <c r="C4986" s="8" t="s">
        <v>10129</v>
      </c>
      <c r="D4986" s="8" t="s">
        <v>10130</v>
      </c>
      <c r="E4986" s="13">
        <v>0</v>
      </c>
      <c r="F4986" s="14">
        <v>0</v>
      </c>
    </row>
    <row r="4987" spans="1:6" x14ac:dyDescent="0.3">
      <c r="A4987" s="8">
        <v>4985</v>
      </c>
      <c r="B4987" s="8" t="s">
        <v>7694</v>
      </c>
      <c r="C4987" s="8" t="s">
        <v>10131</v>
      </c>
      <c r="D4987" s="8" t="s">
        <v>10132</v>
      </c>
      <c r="E4987" s="13">
        <v>0</v>
      </c>
      <c r="F4987" s="14">
        <v>0</v>
      </c>
    </row>
    <row r="4988" spans="1:6" x14ac:dyDescent="0.3">
      <c r="A4988" s="8">
        <v>4986</v>
      </c>
      <c r="B4988" s="8" t="s">
        <v>7694</v>
      </c>
      <c r="C4988" s="8" t="s">
        <v>10133</v>
      </c>
      <c r="D4988" s="8" t="s">
        <v>10134</v>
      </c>
      <c r="E4988" s="13">
        <v>0</v>
      </c>
      <c r="F4988" s="14">
        <v>0</v>
      </c>
    </row>
    <row r="4989" spans="1:6" x14ac:dyDescent="0.3">
      <c r="A4989" s="8">
        <v>4987</v>
      </c>
      <c r="B4989" s="8" t="s">
        <v>7694</v>
      </c>
      <c r="C4989" s="8" t="s">
        <v>10135</v>
      </c>
      <c r="D4989" s="8" t="s">
        <v>10136</v>
      </c>
      <c r="E4989" s="13">
        <v>0</v>
      </c>
      <c r="F4989" s="14">
        <v>0</v>
      </c>
    </row>
    <row r="4990" spans="1:6" x14ac:dyDescent="0.3">
      <c r="A4990" s="8">
        <v>4988</v>
      </c>
      <c r="B4990" s="8" t="s">
        <v>7694</v>
      </c>
      <c r="C4990" s="8" t="s">
        <v>10137</v>
      </c>
      <c r="D4990" s="8" t="s">
        <v>10138</v>
      </c>
      <c r="E4990" s="13">
        <v>0</v>
      </c>
      <c r="F4990" s="14">
        <v>0</v>
      </c>
    </row>
    <row r="4991" spans="1:6" x14ac:dyDescent="0.3">
      <c r="A4991" s="8">
        <v>4989</v>
      </c>
      <c r="B4991" s="8" t="s">
        <v>7694</v>
      </c>
      <c r="C4991" s="8" t="s">
        <v>10139</v>
      </c>
      <c r="D4991" s="8" t="s">
        <v>10140</v>
      </c>
      <c r="E4991" s="13">
        <v>0</v>
      </c>
      <c r="F4991" s="14">
        <v>0</v>
      </c>
    </row>
    <row r="4992" spans="1:6" x14ac:dyDescent="0.3">
      <c r="A4992" s="8">
        <v>4990</v>
      </c>
      <c r="B4992" s="8" t="s">
        <v>7694</v>
      </c>
      <c r="C4992" s="8" t="s">
        <v>10141</v>
      </c>
      <c r="D4992" s="8" t="s">
        <v>10142</v>
      </c>
      <c r="E4992" s="13">
        <v>0</v>
      </c>
      <c r="F4992" s="14">
        <v>0</v>
      </c>
    </row>
    <row r="4993" spans="1:6" x14ac:dyDescent="0.3">
      <c r="A4993" s="8">
        <v>4991</v>
      </c>
      <c r="B4993" s="8" t="s">
        <v>7694</v>
      </c>
      <c r="C4993" s="8" t="s">
        <v>10143</v>
      </c>
      <c r="D4993" s="8" t="s">
        <v>10144</v>
      </c>
      <c r="E4993" s="13">
        <v>0</v>
      </c>
      <c r="F4993" s="14">
        <v>56100000</v>
      </c>
    </row>
    <row r="4994" spans="1:6" x14ac:dyDescent="0.3">
      <c r="A4994" s="8">
        <v>4992</v>
      </c>
      <c r="B4994" s="8" t="s">
        <v>7694</v>
      </c>
      <c r="C4994" s="8" t="s">
        <v>10145</v>
      </c>
      <c r="D4994" s="8" t="s">
        <v>10146</v>
      </c>
      <c r="E4994" s="13">
        <v>0</v>
      </c>
      <c r="F4994" s="14">
        <v>128700000</v>
      </c>
    </row>
    <row r="4995" spans="1:6" x14ac:dyDescent="0.3">
      <c r="A4995" s="8">
        <v>4993</v>
      </c>
      <c r="B4995" s="8" t="s">
        <v>7694</v>
      </c>
      <c r="C4995" s="8" t="s">
        <v>10147</v>
      </c>
      <c r="D4995" s="8" t="s">
        <v>10148</v>
      </c>
      <c r="E4995" s="13">
        <v>0</v>
      </c>
      <c r="F4995" s="14">
        <v>0</v>
      </c>
    </row>
    <row r="4996" spans="1:6" x14ac:dyDescent="0.3">
      <c r="A4996" s="8">
        <v>4994</v>
      </c>
      <c r="B4996" s="8" t="s">
        <v>7694</v>
      </c>
      <c r="C4996" s="8" t="s">
        <v>10149</v>
      </c>
      <c r="D4996" s="8" t="s">
        <v>10150</v>
      </c>
      <c r="E4996" s="13">
        <v>0</v>
      </c>
      <c r="F4996" s="14">
        <v>0</v>
      </c>
    </row>
    <row r="4997" spans="1:6" x14ac:dyDescent="0.3">
      <c r="A4997" s="8">
        <v>4995</v>
      </c>
      <c r="B4997" s="8" t="s">
        <v>7694</v>
      </c>
      <c r="C4997" s="8" t="s">
        <v>10151</v>
      </c>
      <c r="D4997" s="8" t="s">
        <v>10152</v>
      </c>
      <c r="E4997" s="13">
        <v>0</v>
      </c>
      <c r="F4997" s="14">
        <v>0</v>
      </c>
    </row>
    <row r="4998" spans="1:6" x14ac:dyDescent="0.3">
      <c r="A4998" s="8">
        <v>4996</v>
      </c>
      <c r="B4998" s="8" t="s">
        <v>7694</v>
      </c>
      <c r="C4998" s="8" t="s">
        <v>10153</v>
      </c>
      <c r="D4998" s="8" t="s">
        <v>10154</v>
      </c>
      <c r="E4998" s="13">
        <v>0</v>
      </c>
      <c r="F4998" s="14">
        <v>0</v>
      </c>
    </row>
    <row r="4999" spans="1:6" x14ac:dyDescent="0.3">
      <c r="A4999" s="8">
        <v>4997</v>
      </c>
      <c r="B4999" s="8" t="s">
        <v>7694</v>
      </c>
      <c r="C4999" s="8" t="s">
        <v>10155</v>
      </c>
      <c r="D4999" s="8" t="s">
        <v>10156</v>
      </c>
      <c r="E4999" s="13">
        <v>0</v>
      </c>
      <c r="F4999" s="14">
        <v>0</v>
      </c>
    </row>
    <row r="5000" spans="1:6" x14ac:dyDescent="0.3">
      <c r="A5000" s="8">
        <v>4998</v>
      </c>
      <c r="B5000" s="8" t="s">
        <v>7694</v>
      </c>
      <c r="C5000" s="8" t="s">
        <v>10157</v>
      </c>
      <c r="D5000" s="8" t="s">
        <v>10158</v>
      </c>
      <c r="E5000" s="13">
        <v>0</v>
      </c>
      <c r="F5000" s="14">
        <v>0</v>
      </c>
    </row>
    <row r="5001" spans="1:6" x14ac:dyDescent="0.3">
      <c r="A5001" s="8">
        <v>4999</v>
      </c>
      <c r="B5001" s="8" t="s">
        <v>7694</v>
      </c>
      <c r="C5001" s="8" t="s">
        <v>10159</v>
      </c>
      <c r="D5001" s="8" t="s">
        <v>10160</v>
      </c>
      <c r="E5001" s="13">
        <v>0</v>
      </c>
      <c r="F5001" s="14">
        <v>0</v>
      </c>
    </row>
    <row r="5002" spans="1:6" x14ac:dyDescent="0.3">
      <c r="A5002" s="8">
        <v>5000</v>
      </c>
      <c r="B5002" s="8" t="s">
        <v>7694</v>
      </c>
      <c r="C5002" s="8" t="s">
        <v>10161</v>
      </c>
      <c r="D5002" s="8" t="s">
        <v>10162</v>
      </c>
      <c r="E5002" s="13">
        <v>0</v>
      </c>
      <c r="F5002" s="14">
        <v>106700000</v>
      </c>
    </row>
    <row r="5003" spans="1:6" x14ac:dyDescent="0.3">
      <c r="A5003" s="8">
        <v>5001</v>
      </c>
      <c r="B5003" s="8" t="s">
        <v>7694</v>
      </c>
      <c r="C5003" s="8" t="s">
        <v>10163</v>
      </c>
      <c r="D5003" s="8" t="s">
        <v>10164</v>
      </c>
      <c r="E5003" s="13">
        <v>0</v>
      </c>
      <c r="F5003" s="14">
        <v>544040000</v>
      </c>
    </row>
    <row r="5004" spans="1:6" x14ac:dyDescent="0.3">
      <c r="A5004" s="8">
        <v>5002</v>
      </c>
      <c r="B5004" s="8" t="s">
        <v>9463</v>
      </c>
      <c r="C5004" s="8" t="s">
        <v>10165</v>
      </c>
      <c r="D5004" s="8" t="s">
        <v>10166</v>
      </c>
      <c r="E5004" s="13">
        <v>3800</v>
      </c>
      <c r="F5004" s="14">
        <v>7407</v>
      </c>
    </row>
    <row r="5005" spans="1:6" x14ac:dyDescent="0.3">
      <c r="A5005" s="8">
        <v>5003</v>
      </c>
      <c r="B5005" s="8" t="s">
        <v>6516</v>
      </c>
      <c r="C5005" s="8" t="s">
        <v>10167</v>
      </c>
      <c r="D5005" s="8" t="s">
        <v>10168</v>
      </c>
      <c r="E5005" s="13">
        <v>0</v>
      </c>
      <c r="F5005" s="14">
        <v>0</v>
      </c>
    </row>
    <row r="5006" spans="1:6" x14ac:dyDescent="0.3">
      <c r="A5006" s="8">
        <v>5004</v>
      </c>
      <c r="B5006" s="8" t="s">
        <v>6516</v>
      </c>
      <c r="C5006" s="8" t="s">
        <v>10169</v>
      </c>
      <c r="D5006" s="8" t="s">
        <v>10170</v>
      </c>
      <c r="E5006" s="13">
        <v>0</v>
      </c>
      <c r="F5006" s="14">
        <v>0</v>
      </c>
    </row>
    <row r="5007" spans="1:6" x14ac:dyDescent="0.3">
      <c r="A5007" s="8">
        <v>5005</v>
      </c>
      <c r="B5007" s="8" t="s">
        <v>6516</v>
      </c>
      <c r="C5007" s="8" t="s">
        <v>10171</v>
      </c>
      <c r="D5007" s="8" t="s">
        <v>10172</v>
      </c>
      <c r="E5007" s="13">
        <v>0</v>
      </c>
      <c r="F5007" s="14">
        <v>0</v>
      </c>
    </row>
    <row r="5008" spans="1:6" x14ac:dyDescent="0.3">
      <c r="A5008" s="8">
        <v>5006</v>
      </c>
      <c r="B5008" s="8" t="s">
        <v>6516</v>
      </c>
      <c r="C5008" s="8" t="s">
        <v>10173</v>
      </c>
      <c r="D5008" s="8" t="s">
        <v>10174</v>
      </c>
      <c r="E5008" s="13">
        <v>0</v>
      </c>
      <c r="F5008" s="14">
        <v>912000</v>
      </c>
    </row>
    <row r="5009" spans="1:6" x14ac:dyDescent="0.3">
      <c r="A5009" s="8">
        <v>5007</v>
      </c>
      <c r="B5009" s="8" t="s">
        <v>6516</v>
      </c>
      <c r="C5009" s="8" t="s">
        <v>10175</v>
      </c>
      <c r="D5009" s="8" t="s">
        <v>10176</v>
      </c>
      <c r="E5009" s="13">
        <v>0</v>
      </c>
      <c r="F5009" s="14">
        <v>1213000</v>
      </c>
    </row>
    <row r="5010" spans="1:6" x14ac:dyDescent="0.3">
      <c r="A5010" s="8">
        <v>5008</v>
      </c>
      <c r="B5010" s="8" t="s">
        <v>6516</v>
      </c>
      <c r="C5010" s="8" t="s">
        <v>10177</v>
      </c>
      <c r="D5010" s="8" t="s">
        <v>10178</v>
      </c>
      <c r="E5010" s="13">
        <v>0</v>
      </c>
      <c r="F5010" s="14">
        <v>0</v>
      </c>
    </row>
    <row r="5011" spans="1:6" x14ac:dyDescent="0.3">
      <c r="A5011" s="8">
        <v>5009</v>
      </c>
      <c r="B5011" s="8" t="s">
        <v>6516</v>
      </c>
      <c r="C5011" s="8" t="s">
        <v>10179</v>
      </c>
      <c r="D5011" s="8" t="s">
        <v>10180</v>
      </c>
      <c r="E5011" s="13">
        <v>0</v>
      </c>
      <c r="F5011" s="14">
        <v>0</v>
      </c>
    </row>
    <row r="5012" spans="1:6" x14ac:dyDescent="0.3">
      <c r="A5012" s="8">
        <v>5010</v>
      </c>
      <c r="B5012" s="8" t="s">
        <v>6516</v>
      </c>
      <c r="C5012" s="8" t="s">
        <v>10181</v>
      </c>
      <c r="D5012" s="8" t="s">
        <v>10182</v>
      </c>
      <c r="E5012" s="13">
        <v>0</v>
      </c>
      <c r="F5012" s="14">
        <v>0</v>
      </c>
    </row>
    <row r="5013" spans="1:6" x14ac:dyDescent="0.3">
      <c r="A5013" s="8">
        <v>5011</v>
      </c>
      <c r="B5013" s="8" t="s">
        <v>6516</v>
      </c>
      <c r="C5013" s="8" t="s">
        <v>10183</v>
      </c>
      <c r="D5013" s="8" t="s">
        <v>10184</v>
      </c>
      <c r="E5013" s="13">
        <v>0</v>
      </c>
      <c r="F5013" s="14">
        <v>1213000</v>
      </c>
    </row>
    <row r="5014" spans="1:6" x14ac:dyDescent="0.3">
      <c r="A5014" s="8">
        <v>5012</v>
      </c>
      <c r="B5014" s="8" t="s">
        <v>6516</v>
      </c>
      <c r="C5014" s="8" t="s">
        <v>10185</v>
      </c>
      <c r="D5014" s="8" t="s">
        <v>10186</v>
      </c>
      <c r="E5014" s="13">
        <v>0</v>
      </c>
      <c r="F5014" s="14">
        <v>0</v>
      </c>
    </row>
    <row r="5015" spans="1:6" x14ac:dyDescent="0.3">
      <c r="A5015" s="8">
        <v>5013</v>
      </c>
      <c r="B5015" s="8" t="s">
        <v>6516</v>
      </c>
      <c r="C5015" s="8" t="s">
        <v>10187</v>
      </c>
      <c r="D5015" s="8" t="s">
        <v>10188</v>
      </c>
      <c r="E5015" s="13">
        <v>0</v>
      </c>
      <c r="F5015" s="14">
        <v>0</v>
      </c>
    </row>
    <row r="5016" spans="1:6" x14ac:dyDescent="0.3">
      <c r="A5016" s="8">
        <v>5014</v>
      </c>
      <c r="B5016" s="8" t="s">
        <v>6516</v>
      </c>
      <c r="C5016" s="8" t="s">
        <v>10189</v>
      </c>
      <c r="D5016" s="8" t="s">
        <v>10190</v>
      </c>
      <c r="E5016" s="13">
        <v>0</v>
      </c>
      <c r="F5016" s="14">
        <v>0</v>
      </c>
    </row>
    <row r="5017" spans="1:6" x14ac:dyDescent="0.3">
      <c r="A5017" s="8">
        <v>5015</v>
      </c>
      <c r="B5017" s="8" t="s">
        <v>6516</v>
      </c>
      <c r="C5017" s="8" t="s">
        <v>10191</v>
      </c>
      <c r="D5017" s="8" t="s">
        <v>10192</v>
      </c>
      <c r="E5017" s="13">
        <v>0</v>
      </c>
      <c r="F5017" s="14">
        <v>0</v>
      </c>
    </row>
    <row r="5018" spans="1:6" x14ac:dyDescent="0.3">
      <c r="A5018" s="8">
        <v>5016</v>
      </c>
      <c r="B5018" s="8" t="s">
        <v>6516</v>
      </c>
      <c r="C5018" s="8" t="s">
        <v>10193</v>
      </c>
      <c r="D5018" s="8" t="s">
        <v>10194</v>
      </c>
      <c r="E5018" s="13">
        <v>0</v>
      </c>
      <c r="F5018" s="14">
        <v>0</v>
      </c>
    </row>
    <row r="5019" spans="1:6" x14ac:dyDescent="0.3">
      <c r="A5019" s="8">
        <v>5017</v>
      </c>
      <c r="B5019" s="8" t="s">
        <v>6516</v>
      </c>
      <c r="C5019" s="8" t="s">
        <v>10195</v>
      </c>
      <c r="D5019" s="8" t="s">
        <v>10196</v>
      </c>
      <c r="E5019" s="13">
        <v>0</v>
      </c>
      <c r="F5019" s="14">
        <v>0</v>
      </c>
    </row>
    <row r="5020" spans="1:6" x14ac:dyDescent="0.3">
      <c r="A5020" s="8">
        <v>5018</v>
      </c>
      <c r="B5020" s="8" t="s">
        <v>6516</v>
      </c>
      <c r="C5020" s="8" t="s">
        <v>10197</v>
      </c>
      <c r="D5020" s="8" t="s">
        <v>10198</v>
      </c>
      <c r="E5020" s="13">
        <v>0</v>
      </c>
      <c r="F5020" s="14">
        <v>0</v>
      </c>
    </row>
    <row r="5021" spans="1:6" x14ac:dyDescent="0.3">
      <c r="A5021" s="8">
        <v>5019</v>
      </c>
      <c r="B5021" s="8" t="s">
        <v>6516</v>
      </c>
      <c r="C5021" s="8" t="s">
        <v>10199</v>
      </c>
      <c r="D5021" s="8" t="s">
        <v>10200</v>
      </c>
      <c r="E5021" s="13">
        <v>0</v>
      </c>
      <c r="F5021" s="14">
        <v>912037</v>
      </c>
    </row>
    <row r="5022" spans="1:6" x14ac:dyDescent="0.3">
      <c r="A5022" s="8">
        <v>5020</v>
      </c>
      <c r="B5022" s="8" t="s">
        <v>6516</v>
      </c>
      <c r="C5022" s="8" t="s">
        <v>10201</v>
      </c>
      <c r="D5022" s="8" t="s">
        <v>10202</v>
      </c>
      <c r="E5022" s="13">
        <v>0</v>
      </c>
      <c r="F5022" s="14">
        <v>0</v>
      </c>
    </row>
    <row r="5023" spans="1:6" x14ac:dyDescent="0.3">
      <c r="A5023" s="8">
        <v>5021</v>
      </c>
      <c r="B5023" s="8" t="s">
        <v>6516</v>
      </c>
      <c r="C5023" s="8" t="s">
        <v>10203</v>
      </c>
      <c r="D5023" s="8" t="s">
        <v>10204</v>
      </c>
      <c r="E5023" s="13">
        <v>0</v>
      </c>
      <c r="F5023" s="14">
        <v>0</v>
      </c>
    </row>
    <row r="5024" spans="1:6" x14ac:dyDescent="0.3">
      <c r="A5024" s="8">
        <v>5022</v>
      </c>
      <c r="B5024" s="8" t="s">
        <v>6516</v>
      </c>
      <c r="C5024" s="8" t="s">
        <v>10205</v>
      </c>
      <c r="D5024" s="8" t="s">
        <v>10206</v>
      </c>
      <c r="E5024" s="13">
        <v>0</v>
      </c>
      <c r="F5024" s="14">
        <v>0</v>
      </c>
    </row>
    <row r="5025" spans="1:6" x14ac:dyDescent="0.3">
      <c r="A5025" s="8">
        <v>5023</v>
      </c>
      <c r="B5025" s="8" t="s">
        <v>6516</v>
      </c>
      <c r="C5025" s="8" t="s">
        <v>10207</v>
      </c>
      <c r="D5025" s="8" t="s">
        <v>10208</v>
      </c>
      <c r="E5025" s="13">
        <v>0</v>
      </c>
      <c r="F5025" s="14">
        <v>0</v>
      </c>
    </row>
    <row r="5026" spans="1:6" x14ac:dyDescent="0.3">
      <c r="A5026" s="8">
        <v>5024</v>
      </c>
      <c r="B5026" s="8" t="s">
        <v>6516</v>
      </c>
      <c r="C5026" s="8" t="s">
        <v>10209</v>
      </c>
      <c r="D5026" s="8" t="s">
        <v>10210</v>
      </c>
      <c r="E5026" s="13">
        <v>0</v>
      </c>
      <c r="F5026" s="14">
        <v>0</v>
      </c>
    </row>
    <row r="5027" spans="1:6" x14ac:dyDescent="0.3">
      <c r="A5027" s="8">
        <v>5025</v>
      </c>
      <c r="B5027" s="8" t="s">
        <v>6516</v>
      </c>
      <c r="C5027" s="8" t="s">
        <v>10211</v>
      </c>
      <c r="D5027" s="8" t="s">
        <v>10212</v>
      </c>
      <c r="E5027" s="13">
        <v>0</v>
      </c>
      <c r="F5027" s="14">
        <v>0</v>
      </c>
    </row>
    <row r="5028" spans="1:6" x14ac:dyDescent="0.3">
      <c r="A5028" s="8">
        <v>5026</v>
      </c>
      <c r="B5028" s="8" t="s">
        <v>7694</v>
      </c>
      <c r="C5028" s="8" t="s">
        <v>10213</v>
      </c>
      <c r="D5028" s="8" t="s">
        <v>10214</v>
      </c>
      <c r="E5028" s="13">
        <v>0</v>
      </c>
      <c r="F5028" s="14">
        <v>569091</v>
      </c>
    </row>
    <row r="5029" spans="1:6" x14ac:dyDescent="0.3">
      <c r="A5029" s="8">
        <v>5027</v>
      </c>
      <c r="B5029" s="8" t="s">
        <v>7694</v>
      </c>
      <c r="C5029" s="8" t="s">
        <v>10215</v>
      </c>
      <c r="D5029" s="8" t="s">
        <v>10216</v>
      </c>
      <c r="E5029" s="13">
        <v>0</v>
      </c>
      <c r="F5029" s="14">
        <v>0</v>
      </c>
    </row>
    <row r="5030" spans="1:6" x14ac:dyDescent="0.3">
      <c r="A5030" s="8">
        <v>5028</v>
      </c>
      <c r="B5030" s="8" t="s">
        <v>7694</v>
      </c>
      <c r="C5030" s="8" t="s">
        <v>10217</v>
      </c>
      <c r="D5030" s="8" t="s">
        <v>10218</v>
      </c>
      <c r="E5030" s="13">
        <v>1376000</v>
      </c>
      <c r="F5030" s="14">
        <v>2300000</v>
      </c>
    </row>
    <row r="5031" spans="1:6" x14ac:dyDescent="0.3">
      <c r="A5031" s="8">
        <v>5029</v>
      </c>
      <c r="B5031" s="8" t="s">
        <v>7694</v>
      </c>
      <c r="C5031" s="8" t="s">
        <v>10219</v>
      </c>
      <c r="D5031" s="8" t="s">
        <v>10220</v>
      </c>
      <c r="E5031" s="13">
        <v>2633000</v>
      </c>
      <c r="F5031" s="14">
        <v>4400000</v>
      </c>
    </row>
    <row r="5032" spans="1:6" x14ac:dyDescent="0.3">
      <c r="A5032" s="8">
        <v>5030</v>
      </c>
      <c r="B5032" s="8" t="s">
        <v>7694</v>
      </c>
      <c r="C5032" s="8" t="s">
        <v>10221</v>
      </c>
      <c r="D5032" s="8" t="s">
        <v>10222</v>
      </c>
      <c r="E5032" s="13">
        <v>1750000</v>
      </c>
      <c r="F5032" s="14">
        <v>2172700</v>
      </c>
    </row>
    <row r="5033" spans="1:6" x14ac:dyDescent="0.3">
      <c r="A5033" s="8">
        <v>5031</v>
      </c>
      <c r="B5033" s="8" t="s">
        <v>7694</v>
      </c>
      <c r="C5033" s="8" t="s">
        <v>10223</v>
      </c>
      <c r="D5033" s="8" t="s">
        <v>10224</v>
      </c>
      <c r="E5033" s="13">
        <v>0</v>
      </c>
      <c r="F5033" s="14">
        <v>740909</v>
      </c>
    </row>
    <row r="5034" spans="1:6" x14ac:dyDescent="0.3">
      <c r="A5034" s="8">
        <v>5032</v>
      </c>
      <c r="B5034" s="8" t="s">
        <v>7694</v>
      </c>
      <c r="C5034" s="8" t="s">
        <v>10225</v>
      </c>
      <c r="D5034" s="8" t="s">
        <v>10226</v>
      </c>
      <c r="E5034" s="13">
        <v>324100</v>
      </c>
      <c r="F5034" s="14">
        <v>648182</v>
      </c>
    </row>
    <row r="5035" spans="1:6" x14ac:dyDescent="0.3">
      <c r="A5035" s="8">
        <v>5033</v>
      </c>
      <c r="B5035" s="8" t="s">
        <v>7694</v>
      </c>
      <c r="C5035" s="8" t="s">
        <v>10227</v>
      </c>
      <c r="D5035" s="8" t="s">
        <v>10228</v>
      </c>
      <c r="E5035" s="13">
        <v>0</v>
      </c>
      <c r="F5035" s="14">
        <v>0</v>
      </c>
    </row>
    <row r="5036" spans="1:6" x14ac:dyDescent="0.3">
      <c r="A5036" s="8">
        <v>5034</v>
      </c>
      <c r="B5036" s="8" t="s">
        <v>7694</v>
      </c>
      <c r="C5036" s="8" t="s">
        <v>10229</v>
      </c>
      <c r="D5036" s="8" t="s">
        <v>10230</v>
      </c>
      <c r="E5036" s="13">
        <v>0</v>
      </c>
      <c r="F5036" s="14">
        <v>0</v>
      </c>
    </row>
    <row r="5037" spans="1:6" x14ac:dyDescent="0.3">
      <c r="A5037" s="8">
        <v>5035</v>
      </c>
      <c r="B5037" s="8" t="s">
        <v>7694</v>
      </c>
      <c r="C5037" s="8" t="s">
        <v>10231</v>
      </c>
      <c r="D5037" s="8" t="s">
        <v>10232</v>
      </c>
      <c r="E5037" s="13">
        <v>0</v>
      </c>
      <c r="F5037" s="14">
        <v>0</v>
      </c>
    </row>
    <row r="5038" spans="1:6" x14ac:dyDescent="0.3">
      <c r="A5038" s="8">
        <v>5036</v>
      </c>
      <c r="B5038" s="8" t="s">
        <v>7694</v>
      </c>
      <c r="C5038" s="8" t="s">
        <v>10233</v>
      </c>
      <c r="D5038" s="8" t="s">
        <v>10234</v>
      </c>
      <c r="E5038" s="13">
        <v>0</v>
      </c>
      <c r="F5038" s="14">
        <v>694545</v>
      </c>
    </row>
    <row r="5039" spans="1:6" x14ac:dyDescent="0.3">
      <c r="A5039" s="8">
        <v>5037</v>
      </c>
      <c r="B5039" s="8" t="s">
        <v>7694</v>
      </c>
      <c r="C5039" s="8" t="s">
        <v>10235</v>
      </c>
      <c r="D5039" s="8" t="s">
        <v>10236</v>
      </c>
      <c r="E5039" s="13">
        <v>0</v>
      </c>
      <c r="F5039" s="14">
        <v>0</v>
      </c>
    </row>
    <row r="5040" spans="1:6" x14ac:dyDescent="0.3">
      <c r="A5040" s="8">
        <v>5038</v>
      </c>
      <c r="B5040" s="8" t="s">
        <v>7694</v>
      </c>
      <c r="C5040" s="8" t="s">
        <v>10237</v>
      </c>
      <c r="D5040" s="8" t="s">
        <v>10238</v>
      </c>
      <c r="E5040" s="13">
        <v>0</v>
      </c>
      <c r="F5040" s="14">
        <v>0</v>
      </c>
    </row>
    <row r="5041" spans="1:6" x14ac:dyDescent="0.3">
      <c r="A5041" s="8">
        <v>5039</v>
      </c>
      <c r="B5041" s="8" t="s">
        <v>7694</v>
      </c>
      <c r="C5041" s="8" t="s">
        <v>10239</v>
      </c>
      <c r="D5041" s="8" t="s">
        <v>10240</v>
      </c>
      <c r="E5041" s="13">
        <v>0</v>
      </c>
      <c r="F5041" s="14">
        <v>0</v>
      </c>
    </row>
    <row r="5042" spans="1:6" x14ac:dyDescent="0.3">
      <c r="A5042" s="8">
        <v>5040</v>
      </c>
      <c r="B5042" s="8" t="s">
        <v>7694</v>
      </c>
      <c r="C5042" s="8" t="s">
        <v>10241</v>
      </c>
      <c r="D5042" s="8" t="s">
        <v>10242</v>
      </c>
      <c r="E5042" s="13">
        <v>980000</v>
      </c>
      <c r="F5042" s="14">
        <v>1960000</v>
      </c>
    </row>
    <row r="5043" spans="1:6" x14ac:dyDescent="0.3">
      <c r="A5043" s="8">
        <v>5041</v>
      </c>
      <c r="B5043" s="8" t="s">
        <v>7694</v>
      </c>
      <c r="C5043" s="8" t="s">
        <v>10243</v>
      </c>
      <c r="D5043" s="8" t="s">
        <v>10244</v>
      </c>
      <c r="E5043" s="13">
        <v>0</v>
      </c>
      <c r="F5043" s="14">
        <v>55880000</v>
      </c>
    </row>
    <row r="5044" spans="1:6" x14ac:dyDescent="0.3">
      <c r="A5044" s="8">
        <v>5042</v>
      </c>
      <c r="B5044" s="8" t="s">
        <v>7694</v>
      </c>
      <c r="C5044" s="8" t="s">
        <v>10245</v>
      </c>
      <c r="D5044" s="8" t="s">
        <v>10246</v>
      </c>
      <c r="E5044" s="13">
        <v>0</v>
      </c>
      <c r="F5044" s="14">
        <v>49500000</v>
      </c>
    </row>
    <row r="5045" spans="1:6" x14ac:dyDescent="0.3">
      <c r="A5045" s="8">
        <v>5043</v>
      </c>
      <c r="B5045" s="8" t="s">
        <v>7694</v>
      </c>
      <c r="C5045" s="8" t="s">
        <v>10247</v>
      </c>
      <c r="D5045" s="8" t="s">
        <v>10248</v>
      </c>
      <c r="E5045" s="13">
        <v>0</v>
      </c>
      <c r="F5045" s="14">
        <v>225500000</v>
      </c>
    </row>
    <row r="5046" spans="1:6" x14ac:dyDescent="0.3">
      <c r="A5046" s="8">
        <v>5044</v>
      </c>
      <c r="B5046" s="8" t="s">
        <v>7694</v>
      </c>
      <c r="C5046" s="8" t="s">
        <v>10249</v>
      </c>
      <c r="D5046" s="8" t="s">
        <v>10250</v>
      </c>
      <c r="E5046" s="13">
        <v>0</v>
      </c>
      <c r="F5046" s="14">
        <v>0</v>
      </c>
    </row>
    <row r="5047" spans="1:6" x14ac:dyDescent="0.3">
      <c r="A5047" s="8">
        <v>5045</v>
      </c>
      <c r="B5047" s="8" t="s">
        <v>7694</v>
      </c>
      <c r="C5047" s="8" t="s">
        <v>10251</v>
      </c>
      <c r="D5047" s="8" t="s">
        <v>10252</v>
      </c>
      <c r="E5047" s="13">
        <v>0</v>
      </c>
      <c r="F5047" s="14">
        <v>0</v>
      </c>
    </row>
    <row r="5048" spans="1:6" x14ac:dyDescent="0.3">
      <c r="A5048" s="8">
        <v>5046</v>
      </c>
      <c r="B5048" s="8" t="s">
        <v>7694</v>
      </c>
      <c r="C5048" s="8" t="s">
        <v>10253</v>
      </c>
      <c r="D5048" s="8" t="s">
        <v>10254</v>
      </c>
      <c r="E5048" s="13">
        <v>604545</v>
      </c>
      <c r="F5048" s="14">
        <v>736364</v>
      </c>
    </row>
    <row r="5049" spans="1:6" x14ac:dyDescent="0.3">
      <c r="A5049" s="8">
        <v>5047</v>
      </c>
      <c r="B5049" s="8" t="s">
        <v>7694</v>
      </c>
      <c r="C5049" s="8" t="s">
        <v>10255</v>
      </c>
      <c r="D5049" s="8" t="s">
        <v>10256</v>
      </c>
      <c r="E5049" s="13">
        <v>0</v>
      </c>
      <c r="F5049" s="14">
        <v>214750000</v>
      </c>
    </row>
    <row r="5050" spans="1:6" x14ac:dyDescent="0.3">
      <c r="A5050" s="8">
        <v>5048</v>
      </c>
      <c r="B5050" s="8" t="s">
        <v>7694</v>
      </c>
      <c r="C5050" s="8" t="s">
        <v>10257</v>
      </c>
      <c r="D5050" s="8" t="s">
        <v>10258</v>
      </c>
      <c r="E5050" s="13">
        <v>0</v>
      </c>
      <c r="F5050" s="14">
        <v>89650000</v>
      </c>
    </row>
    <row r="5051" spans="1:6" x14ac:dyDescent="0.3">
      <c r="A5051" s="8">
        <v>5049</v>
      </c>
      <c r="B5051" s="8" t="s">
        <v>7694</v>
      </c>
      <c r="C5051" s="8" t="s">
        <v>10259</v>
      </c>
      <c r="D5051" s="8" t="s">
        <v>10260</v>
      </c>
      <c r="E5051" s="13">
        <v>0</v>
      </c>
      <c r="F5051" s="14">
        <v>171230000</v>
      </c>
    </row>
    <row r="5052" spans="1:6" x14ac:dyDescent="0.3">
      <c r="A5052" s="8">
        <v>5050</v>
      </c>
      <c r="B5052" s="8" t="s">
        <v>6022</v>
      </c>
      <c r="C5052" s="8" t="s">
        <v>10261</v>
      </c>
      <c r="D5052" s="8" t="s">
        <v>10262</v>
      </c>
      <c r="E5052" s="13">
        <v>0</v>
      </c>
      <c r="F5052" s="14">
        <v>258000</v>
      </c>
    </row>
    <row r="5053" spans="1:6" x14ac:dyDescent="0.3">
      <c r="A5053" s="8">
        <v>5051</v>
      </c>
      <c r="B5053" s="8" t="s">
        <v>6022</v>
      </c>
      <c r="C5053" s="8" t="s">
        <v>10263</v>
      </c>
      <c r="D5053" s="8" t="s">
        <v>10264</v>
      </c>
      <c r="E5053" s="13">
        <v>270000</v>
      </c>
      <c r="F5053" s="14">
        <v>460000</v>
      </c>
    </row>
    <row r="5054" spans="1:6" x14ac:dyDescent="0.3">
      <c r="A5054" s="8">
        <v>5052</v>
      </c>
      <c r="B5054" s="8" t="s">
        <v>6022</v>
      </c>
      <c r="C5054" s="8" t="s">
        <v>10265</v>
      </c>
      <c r="D5054" s="8" t="s">
        <v>10266</v>
      </c>
      <c r="E5054" s="13">
        <v>127000</v>
      </c>
      <c r="F5054" s="14">
        <v>253704</v>
      </c>
    </row>
    <row r="5055" spans="1:6" x14ac:dyDescent="0.3">
      <c r="A5055" s="8">
        <v>5053</v>
      </c>
      <c r="B5055" s="8" t="s">
        <v>6022</v>
      </c>
      <c r="C5055" s="8" t="s">
        <v>10267</v>
      </c>
      <c r="D5055" s="8" t="s">
        <v>10268</v>
      </c>
      <c r="E5055" s="13">
        <v>142000</v>
      </c>
      <c r="F5055" s="14">
        <v>284259</v>
      </c>
    </row>
    <row r="5056" spans="1:6" x14ac:dyDescent="0.3">
      <c r="A5056" s="8">
        <v>5054</v>
      </c>
      <c r="B5056" s="8" t="s">
        <v>6029</v>
      </c>
      <c r="C5056" s="8" t="s">
        <v>10269</v>
      </c>
      <c r="D5056" s="8" t="s">
        <v>10270</v>
      </c>
      <c r="E5056" s="13">
        <v>180000</v>
      </c>
      <c r="F5056" s="14">
        <v>360185</v>
      </c>
    </row>
    <row r="5057" spans="1:6" x14ac:dyDescent="0.3">
      <c r="A5057" s="8">
        <v>5055</v>
      </c>
      <c r="B5057" s="8" t="s">
        <v>6022</v>
      </c>
      <c r="C5057" s="8" t="s">
        <v>10271</v>
      </c>
      <c r="D5057" s="8" t="s">
        <v>10272</v>
      </c>
      <c r="E5057" s="13">
        <v>825000</v>
      </c>
      <c r="F5057" s="14">
        <v>1650000</v>
      </c>
    </row>
    <row r="5058" spans="1:6" x14ac:dyDescent="0.3">
      <c r="A5058" s="8">
        <v>5056</v>
      </c>
      <c r="B5058" s="8" t="s">
        <v>6022</v>
      </c>
      <c r="C5058" s="8" t="s">
        <v>10273</v>
      </c>
      <c r="D5058" s="8" t="s">
        <v>10274</v>
      </c>
      <c r="E5058" s="13">
        <v>265000</v>
      </c>
      <c r="F5058" s="14">
        <v>420000</v>
      </c>
    </row>
    <row r="5059" spans="1:6" x14ac:dyDescent="0.3">
      <c r="A5059" s="8">
        <v>5057</v>
      </c>
      <c r="B5059" s="8" t="s">
        <v>6029</v>
      </c>
      <c r="C5059" s="8" t="s">
        <v>10275</v>
      </c>
      <c r="D5059" s="8" t="s">
        <v>10276</v>
      </c>
      <c r="E5059" s="13">
        <v>121000</v>
      </c>
      <c r="F5059" s="14">
        <v>241667</v>
      </c>
    </row>
    <row r="5060" spans="1:6" x14ac:dyDescent="0.3">
      <c r="A5060" s="8">
        <v>5058</v>
      </c>
      <c r="B5060" s="8" t="s">
        <v>6029</v>
      </c>
      <c r="C5060" s="8" t="s">
        <v>10277</v>
      </c>
      <c r="D5060" s="8" t="s">
        <v>10278</v>
      </c>
      <c r="E5060" s="13">
        <v>216000</v>
      </c>
      <c r="F5060" s="14">
        <v>432407</v>
      </c>
    </row>
    <row r="5061" spans="1:6" x14ac:dyDescent="0.3">
      <c r="A5061" s="8">
        <v>5059</v>
      </c>
      <c r="B5061" s="8" t="s">
        <v>6022</v>
      </c>
      <c r="C5061" s="8" t="s">
        <v>10279</v>
      </c>
      <c r="D5061" s="8" t="s">
        <v>10280</v>
      </c>
      <c r="E5061" s="13">
        <v>108000</v>
      </c>
      <c r="F5061" s="14">
        <v>215741</v>
      </c>
    </row>
    <row r="5062" spans="1:6" x14ac:dyDescent="0.3">
      <c r="A5062" s="8">
        <v>5060</v>
      </c>
      <c r="B5062" s="8" t="s">
        <v>6022</v>
      </c>
      <c r="C5062" s="8" t="s">
        <v>10281</v>
      </c>
      <c r="D5062" s="8" t="s">
        <v>10282</v>
      </c>
      <c r="E5062" s="13">
        <v>0</v>
      </c>
      <c r="F5062" s="14">
        <v>0</v>
      </c>
    </row>
    <row r="5063" spans="1:6" x14ac:dyDescent="0.3">
      <c r="A5063" s="8">
        <v>5061</v>
      </c>
      <c r="B5063" s="8" t="s">
        <v>6022</v>
      </c>
      <c r="C5063" s="8" t="s">
        <v>10283</v>
      </c>
      <c r="D5063" s="8" t="s">
        <v>10284</v>
      </c>
      <c r="E5063" s="13">
        <v>0</v>
      </c>
      <c r="F5063" s="14">
        <v>0</v>
      </c>
    </row>
    <row r="5064" spans="1:6" x14ac:dyDescent="0.3">
      <c r="A5064" s="8">
        <v>5062</v>
      </c>
      <c r="B5064" s="8" t="s">
        <v>6516</v>
      </c>
      <c r="C5064" s="8" t="s">
        <v>10285</v>
      </c>
      <c r="D5064" s="8" t="s">
        <v>10286</v>
      </c>
      <c r="E5064" s="13">
        <v>132430</v>
      </c>
      <c r="F5064" s="14">
        <v>250000</v>
      </c>
    </row>
    <row r="5065" spans="1:6" x14ac:dyDescent="0.3">
      <c r="A5065" s="8">
        <v>5063</v>
      </c>
      <c r="B5065" s="8" t="s">
        <v>6516</v>
      </c>
      <c r="C5065" s="8" t="s">
        <v>10287</v>
      </c>
      <c r="D5065" s="8" t="s">
        <v>10288</v>
      </c>
      <c r="E5065" s="13">
        <v>376000</v>
      </c>
      <c r="F5065" s="14">
        <v>647500</v>
      </c>
    </row>
    <row r="5066" spans="1:6" x14ac:dyDescent="0.3">
      <c r="A5066" s="8">
        <v>5064</v>
      </c>
      <c r="B5066" s="8" t="s">
        <v>6516</v>
      </c>
      <c r="C5066" s="8" t="s">
        <v>10289</v>
      </c>
      <c r="D5066" s="8" t="s">
        <v>10290</v>
      </c>
      <c r="E5066" s="13">
        <v>0</v>
      </c>
      <c r="F5066" s="14">
        <v>0</v>
      </c>
    </row>
    <row r="5067" spans="1:6" x14ac:dyDescent="0.3">
      <c r="A5067" s="8">
        <v>5065</v>
      </c>
      <c r="B5067" s="8" t="s">
        <v>6516</v>
      </c>
      <c r="C5067" s="8" t="s">
        <v>10291</v>
      </c>
      <c r="D5067" s="8" t="s">
        <v>10292</v>
      </c>
      <c r="E5067" s="13">
        <v>620000</v>
      </c>
      <c r="F5067" s="14">
        <v>1120000</v>
      </c>
    </row>
    <row r="5068" spans="1:6" x14ac:dyDescent="0.3">
      <c r="A5068" s="8">
        <v>5066</v>
      </c>
      <c r="B5068" s="8" t="s">
        <v>6516</v>
      </c>
      <c r="C5068" s="8" t="s">
        <v>10293</v>
      </c>
      <c r="D5068" s="8" t="s">
        <v>10294</v>
      </c>
      <c r="E5068" s="13">
        <v>620000</v>
      </c>
      <c r="F5068" s="14">
        <v>1120000</v>
      </c>
    </row>
    <row r="5069" spans="1:6" x14ac:dyDescent="0.3">
      <c r="A5069" s="8">
        <v>5067</v>
      </c>
      <c r="B5069" s="8" t="s">
        <v>6516</v>
      </c>
      <c r="C5069" s="8" t="s">
        <v>10295</v>
      </c>
      <c r="D5069" s="8" t="s">
        <v>10296</v>
      </c>
      <c r="E5069" s="13">
        <v>0</v>
      </c>
      <c r="F5069" s="14">
        <v>0</v>
      </c>
    </row>
    <row r="5070" spans="1:6" x14ac:dyDescent="0.3">
      <c r="A5070" s="8">
        <v>5068</v>
      </c>
      <c r="B5070" s="8" t="s">
        <v>6516</v>
      </c>
      <c r="C5070" s="8" t="s">
        <v>10297</v>
      </c>
      <c r="D5070" s="8" t="s">
        <v>10298</v>
      </c>
      <c r="E5070" s="13">
        <v>0</v>
      </c>
      <c r="F5070" s="14">
        <v>0</v>
      </c>
    </row>
    <row r="5071" spans="1:6" x14ac:dyDescent="0.3">
      <c r="A5071" s="8">
        <v>5069</v>
      </c>
      <c r="B5071" s="8" t="s">
        <v>6516</v>
      </c>
      <c r="C5071" s="8" t="s">
        <v>10299</v>
      </c>
      <c r="D5071" s="8" t="s">
        <v>10300</v>
      </c>
      <c r="E5071" s="13">
        <v>0</v>
      </c>
      <c r="F5071" s="14">
        <v>0</v>
      </c>
    </row>
    <row r="5072" spans="1:6" x14ac:dyDescent="0.3">
      <c r="A5072" s="8">
        <v>5070</v>
      </c>
      <c r="B5072" s="8" t="s">
        <v>6516</v>
      </c>
      <c r="C5072" s="8" t="s">
        <v>10301</v>
      </c>
      <c r="D5072" s="8" t="s">
        <v>10302</v>
      </c>
      <c r="E5072" s="13">
        <v>0</v>
      </c>
      <c r="F5072" s="14">
        <v>1502000</v>
      </c>
    </row>
    <row r="5073" spans="1:6" x14ac:dyDescent="0.3">
      <c r="A5073" s="8">
        <v>5071</v>
      </c>
      <c r="B5073" s="8" t="s">
        <v>6516</v>
      </c>
      <c r="C5073" s="8" t="s">
        <v>10303</v>
      </c>
      <c r="D5073" s="8" t="s">
        <v>10304</v>
      </c>
      <c r="E5073" s="13">
        <v>0</v>
      </c>
      <c r="F5073" s="14">
        <v>0</v>
      </c>
    </row>
    <row r="5074" spans="1:6" x14ac:dyDescent="0.3">
      <c r="A5074" s="8">
        <v>5072</v>
      </c>
      <c r="B5074" s="8" t="s">
        <v>6516</v>
      </c>
      <c r="C5074" s="8" t="s">
        <v>10305</v>
      </c>
      <c r="D5074" s="8" t="s">
        <v>10306</v>
      </c>
      <c r="E5074" s="13">
        <v>0</v>
      </c>
      <c r="F5074" s="14">
        <v>0</v>
      </c>
    </row>
    <row r="5075" spans="1:6" x14ac:dyDescent="0.3">
      <c r="A5075" s="8">
        <v>5073</v>
      </c>
      <c r="B5075" s="8" t="s">
        <v>6516</v>
      </c>
      <c r="C5075" s="8" t="s">
        <v>10307</v>
      </c>
      <c r="D5075" s="8" t="s">
        <v>10308</v>
      </c>
      <c r="E5075" s="13">
        <v>0</v>
      </c>
      <c r="F5075" s="14">
        <v>0</v>
      </c>
    </row>
    <row r="5076" spans="1:6" x14ac:dyDescent="0.3">
      <c r="A5076" s="8">
        <v>5074</v>
      </c>
      <c r="B5076" s="8" t="s">
        <v>7681</v>
      </c>
      <c r="C5076" s="8" t="s">
        <v>10309</v>
      </c>
      <c r="D5076" s="8" t="s">
        <v>10310</v>
      </c>
      <c r="E5076" s="13">
        <v>0</v>
      </c>
      <c r="F5076" s="14">
        <v>384000</v>
      </c>
    </row>
    <row r="5077" spans="1:6" x14ac:dyDescent="0.3">
      <c r="A5077" s="8">
        <v>5075</v>
      </c>
      <c r="B5077" s="8" t="s">
        <v>7694</v>
      </c>
      <c r="C5077" s="8" t="s">
        <v>10311</v>
      </c>
      <c r="D5077" s="8" t="s">
        <v>10312</v>
      </c>
      <c r="E5077" s="13">
        <v>221000</v>
      </c>
      <c r="F5077" s="14">
        <v>396000</v>
      </c>
    </row>
    <row r="5078" spans="1:6" x14ac:dyDescent="0.3">
      <c r="A5078" s="8">
        <v>5076</v>
      </c>
      <c r="B5078" s="8" t="s">
        <v>7694</v>
      </c>
      <c r="C5078" s="8" t="s">
        <v>10313</v>
      </c>
      <c r="D5078" s="8" t="s">
        <v>10314</v>
      </c>
      <c r="E5078" s="13">
        <v>62600</v>
      </c>
      <c r="F5078" s="14">
        <v>126000</v>
      </c>
    </row>
    <row r="5079" spans="1:6" x14ac:dyDescent="0.3">
      <c r="A5079" s="8">
        <v>5077</v>
      </c>
      <c r="B5079" s="8" t="s">
        <v>7694</v>
      </c>
      <c r="C5079" s="8" t="s">
        <v>10315</v>
      </c>
      <c r="D5079" s="8" t="s">
        <v>10316</v>
      </c>
      <c r="E5079" s="13">
        <v>0</v>
      </c>
      <c r="F5079" s="14">
        <v>895455</v>
      </c>
    </row>
    <row r="5080" spans="1:6" x14ac:dyDescent="0.3">
      <c r="A5080" s="8">
        <v>5078</v>
      </c>
      <c r="B5080" s="8" t="s">
        <v>7694</v>
      </c>
      <c r="C5080" s="8" t="s">
        <v>10317</v>
      </c>
      <c r="D5080" s="8" t="s">
        <v>10318</v>
      </c>
      <c r="E5080" s="13">
        <v>75300</v>
      </c>
      <c r="F5080" s="14">
        <v>150909</v>
      </c>
    </row>
    <row r="5081" spans="1:6" x14ac:dyDescent="0.3">
      <c r="A5081" s="8">
        <v>5079</v>
      </c>
      <c r="B5081" s="8" t="s">
        <v>7694</v>
      </c>
      <c r="C5081" s="8" t="s">
        <v>10319</v>
      </c>
      <c r="D5081" s="8" t="s">
        <v>10320</v>
      </c>
      <c r="E5081" s="13">
        <v>0</v>
      </c>
      <c r="F5081" s="14">
        <v>0</v>
      </c>
    </row>
    <row r="5082" spans="1:6" x14ac:dyDescent="0.3">
      <c r="A5082" s="8">
        <v>5080</v>
      </c>
      <c r="B5082" s="8" t="s">
        <v>7694</v>
      </c>
      <c r="C5082" s="8" t="s">
        <v>10321</v>
      </c>
      <c r="D5082" s="8" t="s">
        <v>10322</v>
      </c>
      <c r="E5082" s="13">
        <v>793000</v>
      </c>
      <c r="F5082" s="14">
        <v>1437037</v>
      </c>
    </row>
    <row r="5083" spans="1:6" x14ac:dyDescent="0.3">
      <c r="A5083" s="8">
        <v>5081</v>
      </c>
      <c r="B5083" s="8" t="s">
        <v>7694</v>
      </c>
      <c r="C5083" s="8" t="s">
        <v>10323</v>
      </c>
      <c r="D5083" s="8" t="s">
        <v>10324</v>
      </c>
      <c r="E5083" s="13">
        <v>202000</v>
      </c>
      <c r="F5083" s="14">
        <v>403704</v>
      </c>
    </row>
    <row r="5084" spans="1:6" x14ac:dyDescent="0.3">
      <c r="A5084" s="8">
        <v>5082</v>
      </c>
      <c r="B5084" s="8" t="s">
        <v>7694</v>
      </c>
      <c r="C5084" s="8" t="s">
        <v>10325</v>
      </c>
      <c r="D5084" s="8" t="s">
        <v>10326</v>
      </c>
      <c r="E5084" s="13">
        <v>0</v>
      </c>
      <c r="F5084" s="14">
        <v>0</v>
      </c>
    </row>
    <row r="5085" spans="1:6" x14ac:dyDescent="0.3">
      <c r="A5085" s="8">
        <v>5083</v>
      </c>
      <c r="B5085" s="8" t="s">
        <v>7694</v>
      </c>
      <c r="C5085" s="8" t="s">
        <v>10327</v>
      </c>
      <c r="D5085" s="8" t="s">
        <v>10328</v>
      </c>
      <c r="E5085" s="13">
        <v>0</v>
      </c>
      <c r="F5085" s="14">
        <v>0</v>
      </c>
    </row>
    <row r="5086" spans="1:6" x14ac:dyDescent="0.3">
      <c r="A5086" s="8">
        <v>5084</v>
      </c>
      <c r="B5086" s="8" t="s">
        <v>7694</v>
      </c>
      <c r="C5086" s="8" t="s">
        <v>10329</v>
      </c>
      <c r="D5086" s="8" t="s">
        <v>10330</v>
      </c>
      <c r="E5086" s="13">
        <v>0</v>
      </c>
      <c r="F5086" s="14">
        <v>2180000</v>
      </c>
    </row>
    <row r="5087" spans="1:6" x14ac:dyDescent="0.3">
      <c r="A5087" s="8">
        <v>5085</v>
      </c>
      <c r="B5087" s="8" t="s">
        <v>7694</v>
      </c>
      <c r="C5087" s="8" t="s">
        <v>10331</v>
      </c>
      <c r="D5087" s="8" t="s">
        <v>10332</v>
      </c>
      <c r="E5087" s="13">
        <v>66000</v>
      </c>
      <c r="F5087" s="14">
        <v>131481</v>
      </c>
    </row>
    <row r="5088" spans="1:6" x14ac:dyDescent="0.3">
      <c r="A5088" s="8">
        <v>5086</v>
      </c>
      <c r="B5088" s="8" t="s">
        <v>7694</v>
      </c>
      <c r="C5088" s="8" t="s">
        <v>10333</v>
      </c>
      <c r="D5088" s="8" t="s">
        <v>10334</v>
      </c>
      <c r="E5088" s="13">
        <v>0</v>
      </c>
      <c r="F5088" s="14">
        <v>580000</v>
      </c>
    </row>
    <row r="5089" spans="1:6" x14ac:dyDescent="0.3">
      <c r="A5089" s="8">
        <v>5087</v>
      </c>
      <c r="B5089" s="8" t="s">
        <v>7694</v>
      </c>
      <c r="C5089" s="8" t="s">
        <v>10335</v>
      </c>
      <c r="D5089" s="8" t="s">
        <v>10336</v>
      </c>
      <c r="E5089" s="13">
        <v>0</v>
      </c>
      <c r="F5089" s="14">
        <v>1030000</v>
      </c>
    </row>
    <row r="5090" spans="1:6" x14ac:dyDescent="0.3">
      <c r="A5090" s="8">
        <v>5088</v>
      </c>
      <c r="B5090" s="8" t="s">
        <v>7694</v>
      </c>
      <c r="C5090" s="8" t="s">
        <v>10337</v>
      </c>
      <c r="D5090" s="8" t="s">
        <v>10338</v>
      </c>
      <c r="E5090" s="13">
        <v>0</v>
      </c>
      <c r="F5090" s="14">
        <v>0</v>
      </c>
    </row>
    <row r="5091" spans="1:6" x14ac:dyDescent="0.3">
      <c r="A5091" s="8">
        <v>5089</v>
      </c>
      <c r="B5091" s="8" t="s">
        <v>7694</v>
      </c>
      <c r="C5091" s="8" t="s">
        <v>10339</v>
      </c>
      <c r="D5091" s="8" t="s">
        <v>10340</v>
      </c>
      <c r="E5091" s="13">
        <v>0</v>
      </c>
      <c r="F5091" s="14">
        <v>0</v>
      </c>
    </row>
    <row r="5092" spans="1:6" x14ac:dyDescent="0.3">
      <c r="A5092" s="8">
        <v>5090</v>
      </c>
      <c r="B5092" s="8" t="s">
        <v>7694</v>
      </c>
      <c r="C5092" s="8" t="s">
        <v>10341</v>
      </c>
      <c r="D5092" s="8" t="s">
        <v>10342</v>
      </c>
      <c r="E5092" s="13">
        <v>0</v>
      </c>
      <c r="F5092" s="14">
        <v>0</v>
      </c>
    </row>
    <row r="5093" spans="1:6" x14ac:dyDescent="0.3">
      <c r="A5093" s="8">
        <v>5091</v>
      </c>
      <c r="B5093" s="8" t="s">
        <v>7694</v>
      </c>
      <c r="C5093" s="8" t="s">
        <v>10343</v>
      </c>
      <c r="D5093" s="8" t="s">
        <v>10344</v>
      </c>
      <c r="E5093" s="13">
        <v>0</v>
      </c>
      <c r="F5093" s="14">
        <v>778182</v>
      </c>
    </row>
    <row r="5094" spans="1:6" x14ac:dyDescent="0.3">
      <c r="A5094" s="8">
        <v>5092</v>
      </c>
      <c r="B5094" s="8" t="s">
        <v>7694</v>
      </c>
      <c r="C5094" s="8" t="s">
        <v>10345</v>
      </c>
      <c r="D5094" s="8" t="s">
        <v>10346</v>
      </c>
      <c r="E5094" s="13">
        <v>0</v>
      </c>
      <c r="F5094" s="14">
        <v>546364</v>
      </c>
    </row>
    <row r="5095" spans="1:6" x14ac:dyDescent="0.3">
      <c r="A5095" s="8">
        <v>5093</v>
      </c>
      <c r="B5095" s="8" t="s">
        <v>7694</v>
      </c>
      <c r="C5095" s="8" t="s">
        <v>10347</v>
      </c>
      <c r="D5095" s="8" t="s">
        <v>10348</v>
      </c>
      <c r="E5095" s="13">
        <v>0</v>
      </c>
      <c r="F5095" s="14">
        <v>0</v>
      </c>
    </row>
    <row r="5096" spans="1:6" x14ac:dyDescent="0.3">
      <c r="A5096" s="8">
        <v>5094</v>
      </c>
      <c r="B5096" s="8" t="s">
        <v>7694</v>
      </c>
      <c r="C5096" s="8" t="s">
        <v>10349</v>
      </c>
      <c r="D5096" s="8" t="s">
        <v>10350</v>
      </c>
      <c r="E5096" s="13">
        <v>0</v>
      </c>
      <c r="F5096" s="14">
        <v>0</v>
      </c>
    </row>
    <row r="5097" spans="1:6" x14ac:dyDescent="0.3">
      <c r="A5097" s="8">
        <v>5095</v>
      </c>
      <c r="B5097" s="8" t="s">
        <v>7694</v>
      </c>
      <c r="C5097" s="8" t="s">
        <v>10351</v>
      </c>
      <c r="D5097" s="8" t="s">
        <v>10352</v>
      </c>
      <c r="E5097" s="13">
        <v>0</v>
      </c>
      <c r="F5097" s="14">
        <v>0</v>
      </c>
    </row>
    <row r="5098" spans="1:6" x14ac:dyDescent="0.3">
      <c r="A5098" s="8">
        <v>5096</v>
      </c>
      <c r="B5098" s="8" t="s">
        <v>7694</v>
      </c>
      <c r="C5098" s="8" t="s">
        <v>10353</v>
      </c>
      <c r="D5098" s="8" t="s">
        <v>10354</v>
      </c>
      <c r="E5098" s="13">
        <v>0</v>
      </c>
      <c r="F5098" s="14">
        <v>0</v>
      </c>
    </row>
    <row r="5099" spans="1:6" x14ac:dyDescent="0.3">
      <c r="A5099" s="8">
        <v>5097</v>
      </c>
      <c r="B5099" s="8" t="s">
        <v>7694</v>
      </c>
      <c r="C5099" s="8" t="s">
        <v>10355</v>
      </c>
      <c r="D5099" s="8" t="s">
        <v>10356</v>
      </c>
      <c r="E5099" s="13">
        <v>0</v>
      </c>
      <c r="F5099" s="14">
        <v>0</v>
      </c>
    </row>
    <row r="5100" spans="1:6" x14ac:dyDescent="0.3">
      <c r="A5100" s="8">
        <v>5098</v>
      </c>
      <c r="B5100" s="8" t="s">
        <v>7681</v>
      </c>
      <c r="C5100" s="8" t="s">
        <v>10357</v>
      </c>
      <c r="D5100" s="8" t="s">
        <v>10358</v>
      </c>
      <c r="E5100" s="13">
        <v>0</v>
      </c>
      <c r="F5100" s="14">
        <v>484000</v>
      </c>
    </row>
    <row r="5101" spans="1:6" x14ac:dyDescent="0.3">
      <c r="A5101" s="8">
        <v>5099</v>
      </c>
      <c r="B5101" s="8" t="s">
        <v>7681</v>
      </c>
      <c r="C5101" s="8" t="s">
        <v>10359</v>
      </c>
      <c r="D5101" s="8" t="s">
        <v>10360</v>
      </c>
      <c r="E5101" s="13">
        <v>0</v>
      </c>
      <c r="F5101" s="14">
        <v>0</v>
      </c>
    </row>
    <row r="5102" spans="1:6" x14ac:dyDescent="0.3">
      <c r="A5102" s="8">
        <v>5100</v>
      </c>
      <c r="B5102" s="8" t="s">
        <v>7681</v>
      </c>
      <c r="C5102" s="8" t="s">
        <v>10361</v>
      </c>
      <c r="D5102" s="8" t="s">
        <v>10362</v>
      </c>
      <c r="E5102" s="13">
        <v>0</v>
      </c>
      <c r="F5102" s="14">
        <v>0</v>
      </c>
    </row>
    <row r="5103" spans="1:6" x14ac:dyDescent="0.3">
      <c r="A5103" s="8">
        <v>5101</v>
      </c>
      <c r="B5103" s="8" t="s">
        <v>7681</v>
      </c>
      <c r="C5103" s="8" t="s">
        <v>10363</v>
      </c>
      <c r="D5103" s="8" t="s">
        <v>10364</v>
      </c>
      <c r="E5103" s="13">
        <v>0</v>
      </c>
      <c r="F5103" s="14">
        <v>384000</v>
      </c>
    </row>
    <row r="5104" spans="1:6" x14ac:dyDescent="0.3">
      <c r="A5104" s="8">
        <v>5102</v>
      </c>
      <c r="B5104" s="8" t="s">
        <v>7681</v>
      </c>
      <c r="C5104" s="8" t="s">
        <v>10365</v>
      </c>
      <c r="D5104" s="8" t="s">
        <v>10366</v>
      </c>
      <c r="E5104" s="13">
        <v>0</v>
      </c>
      <c r="F5104" s="14">
        <v>0</v>
      </c>
    </row>
    <row r="5105" spans="1:6" x14ac:dyDescent="0.3">
      <c r="A5105" s="8">
        <v>5103</v>
      </c>
      <c r="B5105" s="8" t="s">
        <v>7694</v>
      </c>
      <c r="C5105" s="8" t="s">
        <v>10367</v>
      </c>
      <c r="D5105" s="8" t="s">
        <v>10368</v>
      </c>
      <c r="E5105" s="13">
        <v>44200</v>
      </c>
      <c r="F5105" s="14">
        <v>88000</v>
      </c>
    </row>
    <row r="5106" spans="1:6" x14ac:dyDescent="0.3">
      <c r="A5106" s="8">
        <v>5104</v>
      </c>
      <c r="B5106" s="8" t="s">
        <v>7694</v>
      </c>
      <c r="C5106" s="8" t="s">
        <v>10369</v>
      </c>
      <c r="D5106" s="8" t="s">
        <v>10370</v>
      </c>
      <c r="E5106" s="13">
        <v>0</v>
      </c>
      <c r="F5106" s="14">
        <v>412727</v>
      </c>
    </row>
    <row r="5107" spans="1:6" x14ac:dyDescent="0.3">
      <c r="A5107" s="8">
        <v>5105</v>
      </c>
      <c r="B5107" s="8" t="s">
        <v>7694</v>
      </c>
      <c r="C5107" s="8" t="s">
        <v>10371</v>
      </c>
      <c r="D5107" s="8" t="s">
        <v>10372</v>
      </c>
      <c r="E5107" s="13">
        <v>0</v>
      </c>
      <c r="F5107" s="14">
        <v>0</v>
      </c>
    </row>
    <row r="5108" spans="1:6" x14ac:dyDescent="0.3">
      <c r="A5108" s="8">
        <v>5106</v>
      </c>
      <c r="B5108" s="8" t="s">
        <v>7694</v>
      </c>
      <c r="C5108" s="8" t="s">
        <v>10373</v>
      </c>
      <c r="D5108" s="8" t="s">
        <v>10374</v>
      </c>
      <c r="E5108" s="13">
        <v>0</v>
      </c>
      <c r="F5108" s="14">
        <v>490000</v>
      </c>
    </row>
    <row r="5109" spans="1:6" x14ac:dyDescent="0.3">
      <c r="A5109" s="8">
        <v>5107</v>
      </c>
      <c r="B5109" s="8" t="s">
        <v>7694</v>
      </c>
      <c r="C5109" s="8" t="s">
        <v>10375</v>
      </c>
      <c r="D5109" s="8" t="s">
        <v>10376</v>
      </c>
      <c r="E5109" s="13">
        <v>0</v>
      </c>
      <c r="F5109" s="14">
        <v>0</v>
      </c>
    </row>
    <row r="5110" spans="1:6" x14ac:dyDescent="0.3">
      <c r="A5110" s="8">
        <v>5108</v>
      </c>
      <c r="B5110" s="8" t="s">
        <v>7694</v>
      </c>
      <c r="C5110" s="8" t="s">
        <v>10377</v>
      </c>
      <c r="D5110" s="8" t="s">
        <v>10378</v>
      </c>
      <c r="E5110" s="13">
        <v>0</v>
      </c>
      <c r="F5110" s="14">
        <v>0</v>
      </c>
    </row>
    <row r="5111" spans="1:6" x14ac:dyDescent="0.3">
      <c r="A5111" s="8">
        <v>5109</v>
      </c>
      <c r="B5111" s="8" t="s">
        <v>7694</v>
      </c>
      <c r="C5111" s="8" t="s">
        <v>10379</v>
      </c>
      <c r="D5111" s="8" t="s">
        <v>10380</v>
      </c>
      <c r="E5111" s="13">
        <v>62000</v>
      </c>
      <c r="F5111" s="14">
        <v>124074</v>
      </c>
    </row>
    <row r="5112" spans="1:6" x14ac:dyDescent="0.3">
      <c r="A5112" s="8">
        <v>5110</v>
      </c>
      <c r="B5112" s="8" t="s">
        <v>7694</v>
      </c>
      <c r="C5112" s="8" t="s">
        <v>10381</v>
      </c>
      <c r="D5112" s="8" t="s">
        <v>10382</v>
      </c>
      <c r="E5112" s="13">
        <v>0</v>
      </c>
      <c r="F5112" s="14">
        <v>0</v>
      </c>
    </row>
    <row r="5113" spans="1:6" x14ac:dyDescent="0.3">
      <c r="A5113" s="8">
        <v>5111</v>
      </c>
      <c r="B5113" s="8" t="s">
        <v>7694</v>
      </c>
      <c r="C5113" s="8" t="s">
        <v>10383</v>
      </c>
      <c r="D5113" s="8" t="s">
        <v>10384</v>
      </c>
      <c r="E5113" s="13">
        <v>2000000</v>
      </c>
      <c r="F5113" s="14">
        <v>4000000</v>
      </c>
    </row>
    <row r="5114" spans="1:6" x14ac:dyDescent="0.3">
      <c r="A5114" s="8">
        <v>5112</v>
      </c>
      <c r="B5114" s="8" t="s">
        <v>7694</v>
      </c>
      <c r="C5114" s="8" t="s">
        <v>10385</v>
      </c>
      <c r="D5114" s="8" t="s">
        <v>10386</v>
      </c>
      <c r="E5114" s="13">
        <v>290000</v>
      </c>
      <c r="F5114" s="14">
        <v>580000</v>
      </c>
    </row>
    <row r="5115" spans="1:6" x14ac:dyDescent="0.3">
      <c r="A5115" s="8">
        <v>5113</v>
      </c>
      <c r="B5115" s="8" t="s">
        <v>7694</v>
      </c>
      <c r="C5115" s="8" t="s">
        <v>10387</v>
      </c>
      <c r="D5115" s="8" t="s">
        <v>10388</v>
      </c>
      <c r="E5115" s="13">
        <v>315000</v>
      </c>
      <c r="F5115" s="14">
        <v>630000</v>
      </c>
    </row>
    <row r="5116" spans="1:6" x14ac:dyDescent="0.3">
      <c r="A5116" s="8">
        <v>5114</v>
      </c>
      <c r="B5116" s="8" t="s">
        <v>7694</v>
      </c>
      <c r="C5116" s="8" t="s">
        <v>10389</v>
      </c>
      <c r="D5116" s="8" t="s">
        <v>10390</v>
      </c>
      <c r="E5116" s="13">
        <v>0</v>
      </c>
      <c r="F5116" s="14">
        <v>0</v>
      </c>
    </row>
    <row r="5117" spans="1:6" x14ac:dyDescent="0.3">
      <c r="A5117" s="8">
        <v>5115</v>
      </c>
      <c r="B5117" s="8" t="s">
        <v>7694</v>
      </c>
      <c r="C5117" s="8" t="s">
        <v>10391</v>
      </c>
      <c r="D5117" s="8" t="s">
        <v>10392</v>
      </c>
      <c r="E5117" s="13">
        <v>0</v>
      </c>
      <c r="F5117" s="14">
        <v>0</v>
      </c>
    </row>
    <row r="5118" spans="1:6" x14ac:dyDescent="0.3">
      <c r="A5118" s="8">
        <v>5116</v>
      </c>
      <c r="B5118" s="8" t="s">
        <v>7694</v>
      </c>
      <c r="C5118" s="8" t="s">
        <v>10393</v>
      </c>
      <c r="D5118" s="8" t="s">
        <v>10394</v>
      </c>
      <c r="E5118" s="13">
        <v>599000</v>
      </c>
      <c r="F5118" s="14">
        <v>950000</v>
      </c>
    </row>
    <row r="5119" spans="1:6" x14ac:dyDescent="0.3">
      <c r="A5119" s="8">
        <v>5117</v>
      </c>
      <c r="B5119" s="8" t="s">
        <v>7694</v>
      </c>
      <c r="C5119" s="8" t="s">
        <v>10395</v>
      </c>
      <c r="D5119" s="8" t="s">
        <v>10396</v>
      </c>
      <c r="E5119" s="13">
        <v>0</v>
      </c>
      <c r="F5119" s="14">
        <v>0</v>
      </c>
    </row>
    <row r="5120" spans="1:6" x14ac:dyDescent="0.3">
      <c r="A5120" s="8">
        <v>5118</v>
      </c>
      <c r="B5120" s="8" t="s">
        <v>7694</v>
      </c>
      <c r="C5120" s="8" t="s">
        <v>10397</v>
      </c>
      <c r="D5120" s="8" t="s">
        <v>10398</v>
      </c>
      <c r="E5120" s="13">
        <v>0</v>
      </c>
      <c r="F5120" s="14">
        <v>0</v>
      </c>
    </row>
    <row r="5121" spans="1:6" x14ac:dyDescent="0.3">
      <c r="A5121" s="8">
        <v>5119</v>
      </c>
      <c r="B5121" s="8" t="s">
        <v>7694</v>
      </c>
      <c r="C5121" s="8" t="s">
        <v>10399</v>
      </c>
      <c r="D5121" s="8" t="s">
        <v>10400</v>
      </c>
      <c r="E5121" s="13">
        <v>0</v>
      </c>
      <c r="F5121" s="14">
        <v>0</v>
      </c>
    </row>
    <row r="5122" spans="1:6" x14ac:dyDescent="0.3">
      <c r="A5122" s="8">
        <v>5120</v>
      </c>
      <c r="B5122" s="8" t="s">
        <v>7694</v>
      </c>
      <c r="C5122" s="8" t="s">
        <v>10401</v>
      </c>
      <c r="D5122" s="8" t="s">
        <v>10402</v>
      </c>
      <c r="E5122" s="13">
        <v>0</v>
      </c>
      <c r="F5122" s="14">
        <v>0</v>
      </c>
    </row>
    <row r="5123" spans="1:6" x14ac:dyDescent="0.3">
      <c r="A5123" s="8">
        <v>5121</v>
      </c>
      <c r="B5123" s="8" t="s">
        <v>7694</v>
      </c>
      <c r="C5123" s="8" t="s">
        <v>10403</v>
      </c>
      <c r="D5123" s="8" t="s">
        <v>10404</v>
      </c>
      <c r="E5123" s="13">
        <v>0</v>
      </c>
      <c r="F5123" s="14">
        <v>0</v>
      </c>
    </row>
    <row r="5124" spans="1:6" x14ac:dyDescent="0.3">
      <c r="A5124" s="8">
        <v>5122</v>
      </c>
      <c r="B5124" s="8" t="s">
        <v>7368</v>
      </c>
      <c r="C5124" s="8" t="s">
        <v>10405</v>
      </c>
      <c r="D5124" s="8" t="s">
        <v>10406</v>
      </c>
      <c r="E5124" s="13">
        <v>0</v>
      </c>
      <c r="F5124" s="14">
        <v>0</v>
      </c>
    </row>
    <row r="5125" spans="1:6" x14ac:dyDescent="0.3">
      <c r="A5125" s="8">
        <v>5123</v>
      </c>
      <c r="B5125" s="8" t="s">
        <v>7368</v>
      </c>
      <c r="C5125" s="8" t="s">
        <v>10407</v>
      </c>
      <c r="D5125" s="8" t="s">
        <v>10408</v>
      </c>
      <c r="E5125" s="13">
        <v>0</v>
      </c>
      <c r="F5125" s="14">
        <v>264000</v>
      </c>
    </row>
    <row r="5126" spans="1:6" x14ac:dyDescent="0.3">
      <c r="A5126" s="8">
        <v>5124</v>
      </c>
      <c r="B5126" s="8" t="s">
        <v>7368</v>
      </c>
      <c r="C5126" s="8" t="s">
        <v>10409</v>
      </c>
      <c r="D5126" s="8" t="s">
        <v>10410</v>
      </c>
      <c r="E5126" s="13">
        <v>0</v>
      </c>
      <c r="F5126" s="14">
        <v>204000</v>
      </c>
    </row>
    <row r="5127" spans="1:6" x14ac:dyDescent="0.3">
      <c r="A5127" s="8">
        <v>5125</v>
      </c>
      <c r="B5127" s="8" t="s">
        <v>7368</v>
      </c>
      <c r="C5127" s="8" t="s">
        <v>10411</v>
      </c>
      <c r="D5127" s="8" t="s">
        <v>10412</v>
      </c>
      <c r="E5127" s="13">
        <v>0</v>
      </c>
      <c r="F5127" s="14">
        <v>0</v>
      </c>
    </row>
    <row r="5128" spans="1:6" x14ac:dyDescent="0.3">
      <c r="A5128" s="8">
        <v>5126</v>
      </c>
      <c r="B5128" s="8" t="s">
        <v>7368</v>
      </c>
      <c r="C5128" s="8" t="s">
        <v>10413</v>
      </c>
      <c r="D5128" s="8" t="s">
        <v>10414</v>
      </c>
      <c r="E5128" s="13">
        <v>35400</v>
      </c>
      <c r="F5128" s="14">
        <v>70833</v>
      </c>
    </row>
    <row r="5129" spans="1:6" x14ac:dyDescent="0.3">
      <c r="A5129" s="8">
        <v>5127</v>
      </c>
      <c r="B5129" s="8" t="s">
        <v>7368</v>
      </c>
      <c r="C5129" s="8" t="s">
        <v>10415</v>
      </c>
      <c r="D5129" s="8" t="s">
        <v>10416</v>
      </c>
      <c r="E5129" s="13">
        <v>0</v>
      </c>
      <c r="F5129" s="14">
        <v>0</v>
      </c>
    </row>
    <row r="5130" spans="1:6" x14ac:dyDescent="0.3">
      <c r="A5130" s="8">
        <v>5128</v>
      </c>
      <c r="B5130" s="8" t="s">
        <v>7368</v>
      </c>
      <c r="C5130" s="8" t="s">
        <v>10417</v>
      </c>
      <c r="D5130" s="8" t="s">
        <v>10418</v>
      </c>
      <c r="E5130" s="13">
        <v>0</v>
      </c>
      <c r="F5130" s="14">
        <v>0</v>
      </c>
    </row>
    <row r="5131" spans="1:6" x14ac:dyDescent="0.3">
      <c r="A5131" s="8">
        <v>5129</v>
      </c>
      <c r="B5131" s="8" t="s">
        <v>7368</v>
      </c>
      <c r="C5131" s="8" t="s">
        <v>10419</v>
      </c>
      <c r="D5131" s="8" t="s">
        <v>10420</v>
      </c>
      <c r="E5131" s="13">
        <v>0</v>
      </c>
      <c r="F5131" s="14">
        <v>0</v>
      </c>
    </row>
    <row r="5132" spans="1:6" x14ac:dyDescent="0.3">
      <c r="A5132" s="8">
        <v>5130</v>
      </c>
      <c r="B5132" s="8" t="s">
        <v>7368</v>
      </c>
      <c r="C5132" s="8" t="s">
        <v>10421</v>
      </c>
      <c r="D5132" s="8" t="s">
        <v>10422</v>
      </c>
      <c r="E5132" s="13">
        <v>0</v>
      </c>
      <c r="F5132" s="14">
        <v>0</v>
      </c>
    </row>
    <row r="5133" spans="1:6" x14ac:dyDescent="0.3">
      <c r="A5133" s="8">
        <v>5131</v>
      </c>
      <c r="B5133" s="8" t="s">
        <v>7368</v>
      </c>
      <c r="C5133" s="8" t="s">
        <v>10423</v>
      </c>
      <c r="D5133" s="8" t="s">
        <v>10424</v>
      </c>
      <c r="E5133" s="13">
        <v>0</v>
      </c>
      <c r="F5133" s="14">
        <v>0</v>
      </c>
    </row>
    <row r="5134" spans="1:6" x14ac:dyDescent="0.3">
      <c r="A5134" s="8">
        <v>5132</v>
      </c>
      <c r="B5134" s="8" t="s">
        <v>7681</v>
      </c>
      <c r="C5134" s="8" t="s">
        <v>10425</v>
      </c>
      <c r="D5134" s="8" t="s">
        <v>10426</v>
      </c>
      <c r="E5134" s="13">
        <v>0</v>
      </c>
      <c r="F5134" s="14">
        <v>0</v>
      </c>
    </row>
    <row r="5135" spans="1:6" x14ac:dyDescent="0.3">
      <c r="A5135" s="8">
        <v>5133</v>
      </c>
      <c r="B5135" s="8" t="s">
        <v>7681</v>
      </c>
      <c r="C5135" s="8" t="s">
        <v>10427</v>
      </c>
      <c r="D5135" s="8" t="s">
        <v>10428</v>
      </c>
      <c r="E5135" s="13">
        <v>0</v>
      </c>
      <c r="F5135" s="14">
        <v>0</v>
      </c>
    </row>
    <row r="5136" spans="1:6" x14ac:dyDescent="0.3">
      <c r="A5136" s="8">
        <v>5134</v>
      </c>
      <c r="B5136" s="8" t="s">
        <v>7681</v>
      </c>
      <c r="C5136" s="8" t="s">
        <v>10429</v>
      </c>
      <c r="D5136" s="8" t="s">
        <v>10430</v>
      </c>
      <c r="E5136" s="13">
        <v>0</v>
      </c>
      <c r="F5136" s="14">
        <v>0</v>
      </c>
    </row>
    <row r="5137" spans="1:6" x14ac:dyDescent="0.3">
      <c r="A5137" s="8">
        <v>5135</v>
      </c>
      <c r="B5137" s="8" t="s">
        <v>7681</v>
      </c>
      <c r="C5137" s="8" t="s">
        <v>10431</v>
      </c>
      <c r="D5137" s="8" t="s">
        <v>10432</v>
      </c>
      <c r="E5137" s="13">
        <v>0</v>
      </c>
      <c r="F5137" s="14">
        <v>0</v>
      </c>
    </row>
    <row r="5138" spans="1:6" x14ac:dyDescent="0.3">
      <c r="A5138" s="8">
        <v>5136</v>
      </c>
      <c r="B5138" s="8" t="s">
        <v>7681</v>
      </c>
      <c r="C5138" s="8" t="s">
        <v>10433</v>
      </c>
      <c r="D5138" s="8" t="s">
        <v>10434</v>
      </c>
      <c r="E5138" s="13">
        <v>19300</v>
      </c>
      <c r="F5138" s="14">
        <v>33000</v>
      </c>
    </row>
    <row r="5139" spans="1:6" x14ac:dyDescent="0.3">
      <c r="A5139" s="8">
        <v>5137</v>
      </c>
      <c r="B5139" s="8" t="s">
        <v>7681</v>
      </c>
      <c r="C5139" s="8" t="s">
        <v>10435</v>
      </c>
      <c r="D5139" s="8" t="s">
        <v>10436</v>
      </c>
      <c r="E5139" s="13">
        <v>567000</v>
      </c>
      <c r="F5139" s="14">
        <v>1133333</v>
      </c>
    </row>
    <row r="5140" spans="1:6" x14ac:dyDescent="0.3">
      <c r="A5140" s="8">
        <v>5138</v>
      </c>
      <c r="B5140" s="8" t="s">
        <v>7681</v>
      </c>
      <c r="C5140" s="8" t="s">
        <v>10437</v>
      </c>
      <c r="D5140" s="8" t="s">
        <v>10438</v>
      </c>
      <c r="E5140" s="13">
        <v>137000</v>
      </c>
      <c r="F5140" s="14">
        <v>274000</v>
      </c>
    </row>
    <row r="5141" spans="1:6" x14ac:dyDescent="0.3">
      <c r="A5141" s="8">
        <v>5139</v>
      </c>
      <c r="B5141" s="8" t="s">
        <v>7681</v>
      </c>
      <c r="C5141" s="8" t="s">
        <v>10439</v>
      </c>
      <c r="D5141" s="8" t="s">
        <v>10440</v>
      </c>
      <c r="E5141" s="13">
        <v>0</v>
      </c>
      <c r="F5141" s="14">
        <v>0</v>
      </c>
    </row>
    <row r="5142" spans="1:6" x14ac:dyDescent="0.3">
      <c r="A5142" s="8">
        <v>5140</v>
      </c>
      <c r="B5142" s="8" t="s">
        <v>7681</v>
      </c>
      <c r="C5142" s="8" t="s">
        <v>10441</v>
      </c>
      <c r="D5142" s="8" t="s">
        <v>10442</v>
      </c>
      <c r="E5142" s="13">
        <v>1030000</v>
      </c>
      <c r="F5142" s="14">
        <v>2060185</v>
      </c>
    </row>
    <row r="5143" spans="1:6" x14ac:dyDescent="0.3">
      <c r="A5143" s="8">
        <v>5141</v>
      </c>
      <c r="B5143" s="8" t="s">
        <v>7694</v>
      </c>
      <c r="C5143" s="8" t="s">
        <v>10443</v>
      </c>
      <c r="D5143" s="8" t="s">
        <v>10444</v>
      </c>
      <c r="E5143" s="13">
        <v>0</v>
      </c>
      <c r="F5143" s="14">
        <v>0</v>
      </c>
    </row>
    <row r="5144" spans="1:6" x14ac:dyDescent="0.3">
      <c r="A5144" s="8">
        <v>5142</v>
      </c>
      <c r="B5144" s="8" t="s">
        <v>7694</v>
      </c>
      <c r="C5144" s="8" t="s">
        <v>10445</v>
      </c>
      <c r="D5144" s="8" t="s">
        <v>10446</v>
      </c>
      <c r="E5144" s="13">
        <v>0</v>
      </c>
      <c r="F5144" s="14">
        <v>379630</v>
      </c>
    </row>
    <row r="5145" spans="1:6" x14ac:dyDescent="0.3">
      <c r="A5145" s="8">
        <v>5143</v>
      </c>
      <c r="B5145" s="8" t="s">
        <v>7694</v>
      </c>
      <c r="C5145" s="8" t="s">
        <v>10447</v>
      </c>
      <c r="D5145" s="8" t="s">
        <v>10448</v>
      </c>
      <c r="E5145" s="13">
        <v>0</v>
      </c>
      <c r="F5145" s="14">
        <v>364545</v>
      </c>
    </row>
    <row r="5146" spans="1:6" x14ac:dyDescent="0.3">
      <c r="A5146" s="8">
        <v>5144</v>
      </c>
      <c r="B5146" s="8" t="s">
        <v>7694</v>
      </c>
      <c r="C5146" s="8" t="s">
        <v>10449</v>
      </c>
      <c r="D5146" s="8" t="s">
        <v>10450</v>
      </c>
      <c r="E5146" s="13">
        <v>0</v>
      </c>
      <c r="F5146" s="14">
        <v>435455</v>
      </c>
    </row>
    <row r="5147" spans="1:6" x14ac:dyDescent="0.3">
      <c r="A5147" s="8">
        <v>5145</v>
      </c>
      <c r="B5147" s="8" t="s">
        <v>7694</v>
      </c>
      <c r="C5147" s="8" t="s">
        <v>10451</v>
      </c>
      <c r="D5147" s="8" t="s">
        <v>10452</v>
      </c>
      <c r="E5147" s="13">
        <v>0</v>
      </c>
      <c r="F5147" s="14">
        <v>865455</v>
      </c>
    </row>
    <row r="5148" spans="1:6" x14ac:dyDescent="0.3">
      <c r="A5148" s="8">
        <v>5146</v>
      </c>
      <c r="B5148" s="8" t="s">
        <v>7694</v>
      </c>
      <c r="C5148" s="8" t="s">
        <v>10453</v>
      </c>
      <c r="D5148" s="8" t="s">
        <v>10454</v>
      </c>
      <c r="E5148" s="13">
        <v>0</v>
      </c>
      <c r="F5148" s="14">
        <v>1107273</v>
      </c>
    </row>
    <row r="5149" spans="1:6" x14ac:dyDescent="0.3">
      <c r="A5149" s="8">
        <v>5147</v>
      </c>
      <c r="B5149" s="8" t="s">
        <v>7368</v>
      </c>
      <c r="C5149" s="8" t="s">
        <v>10455</v>
      </c>
      <c r="D5149" s="8" t="s">
        <v>10456</v>
      </c>
      <c r="E5149" s="13">
        <v>0</v>
      </c>
      <c r="F5149" s="14">
        <v>0</v>
      </c>
    </row>
    <row r="5150" spans="1:6" x14ac:dyDescent="0.3">
      <c r="A5150" s="8">
        <v>5148</v>
      </c>
      <c r="B5150" s="8" t="s">
        <v>7368</v>
      </c>
      <c r="C5150" s="8" t="s">
        <v>10457</v>
      </c>
      <c r="D5150" s="8" t="s">
        <v>10458</v>
      </c>
      <c r="E5150" s="13">
        <v>0</v>
      </c>
      <c r="F5150" s="14">
        <v>0</v>
      </c>
    </row>
    <row r="5151" spans="1:6" x14ac:dyDescent="0.3">
      <c r="A5151" s="8">
        <v>5149</v>
      </c>
      <c r="B5151" s="8" t="s">
        <v>7368</v>
      </c>
      <c r="C5151" s="8" t="s">
        <v>10459</v>
      </c>
      <c r="D5151" s="8" t="s">
        <v>10460</v>
      </c>
      <c r="E5151" s="13">
        <v>105000</v>
      </c>
      <c r="F5151" s="14">
        <v>210185</v>
      </c>
    </row>
    <row r="5152" spans="1:6" x14ac:dyDescent="0.3">
      <c r="A5152" s="8">
        <v>5150</v>
      </c>
      <c r="B5152" s="8" t="s">
        <v>7681</v>
      </c>
      <c r="C5152" s="8" t="s">
        <v>10461</v>
      </c>
      <c r="D5152" s="8" t="s">
        <v>10462</v>
      </c>
      <c r="E5152" s="13">
        <v>0</v>
      </c>
      <c r="F5152" s="14">
        <v>0</v>
      </c>
    </row>
    <row r="5153" spans="1:6" x14ac:dyDescent="0.3">
      <c r="A5153" s="8">
        <v>5151</v>
      </c>
      <c r="B5153" s="8" t="s">
        <v>7681</v>
      </c>
      <c r="C5153" s="8" t="s">
        <v>10463</v>
      </c>
      <c r="D5153" s="8" t="s">
        <v>10464</v>
      </c>
      <c r="E5153" s="13">
        <v>0</v>
      </c>
      <c r="F5153" s="14">
        <v>21000</v>
      </c>
    </row>
    <row r="5154" spans="1:6" x14ac:dyDescent="0.3">
      <c r="A5154" s="8">
        <v>5152</v>
      </c>
      <c r="B5154" s="8" t="s">
        <v>7681</v>
      </c>
      <c r="C5154" s="8" t="s">
        <v>10465</v>
      </c>
      <c r="D5154" s="8" t="s">
        <v>10466</v>
      </c>
      <c r="E5154" s="13">
        <v>0</v>
      </c>
      <c r="F5154" s="14">
        <v>0</v>
      </c>
    </row>
    <row r="5155" spans="1:6" x14ac:dyDescent="0.3">
      <c r="A5155" s="8">
        <v>5153</v>
      </c>
      <c r="B5155" s="8" t="s">
        <v>7681</v>
      </c>
      <c r="C5155" s="8" t="s">
        <v>10467</v>
      </c>
      <c r="D5155" s="8" t="s">
        <v>10468</v>
      </c>
      <c r="E5155" s="13">
        <v>0</v>
      </c>
      <c r="F5155" s="14">
        <v>0</v>
      </c>
    </row>
    <row r="5156" spans="1:6" x14ac:dyDescent="0.3">
      <c r="A5156" s="8">
        <v>5154</v>
      </c>
      <c r="B5156" s="8" t="s">
        <v>7681</v>
      </c>
      <c r="C5156" s="8" t="s">
        <v>10469</v>
      </c>
      <c r="D5156" s="8" t="s">
        <v>10470</v>
      </c>
      <c r="E5156" s="13">
        <v>0</v>
      </c>
      <c r="F5156" s="14">
        <v>0</v>
      </c>
    </row>
    <row r="5157" spans="1:6" x14ac:dyDescent="0.3">
      <c r="A5157" s="8">
        <v>5155</v>
      </c>
      <c r="B5157" s="8" t="s">
        <v>7681</v>
      </c>
      <c r="C5157" s="8" t="s">
        <v>10471</v>
      </c>
      <c r="D5157" s="8" t="s">
        <v>10472</v>
      </c>
      <c r="E5157" s="13">
        <v>0</v>
      </c>
      <c r="F5157" s="14">
        <v>0</v>
      </c>
    </row>
    <row r="5158" spans="1:6" x14ac:dyDescent="0.3">
      <c r="A5158" s="8">
        <v>5156</v>
      </c>
      <c r="B5158" s="8" t="s">
        <v>7694</v>
      </c>
      <c r="C5158" s="8" t="s">
        <v>10473</v>
      </c>
      <c r="D5158" s="8" t="s">
        <v>10474</v>
      </c>
      <c r="E5158" s="13">
        <v>131000</v>
      </c>
      <c r="F5158" s="14">
        <v>262037</v>
      </c>
    </row>
    <row r="5159" spans="1:6" x14ac:dyDescent="0.3">
      <c r="A5159" s="8">
        <v>5157</v>
      </c>
      <c r="B5159" s="8" t="s">
        <v>7694</v>
      </c>
      <c r="C5159" s="8" t="s">
        <v>10475</v>
      </c>
      <c r="D5159" s="8" t="s">
        <v>10476</v>
      </c>
      <c r="E5159" s="13">
        <v>0</v>
      </c>
      <c r="F5159" s="14">
        <v>2200000</v>
      </c>
    </row>
    <row r="5160" spans="1:6" x14ac:dyDescent="0.3">
      <c r="A5160" s="8">
        <v>5158</v>
      </c>
      <c r="B5160" s="8" t="s">
        <v>7694</v>
      </c>
      <c r="C5160" s="8" t="s">
        <v>10477</v>
      </c>
      <c r="D5160" s="8" t="s">
        <v>10478</v>
      </c>
      <c r="E5160" s="13">
        <v>0</v>
      </c>
      <c r="F5160" s="14">
        <v>845455</v>
      </c>
    </row>
    <row r="5161" spans="1:6" x14ac:dyDescent="0.3">
      <c r="A5161" s="8">
        <v>5159</v>
      </c>
      <c r="B5161" s="8" t="s">
        <v>7694</v>
      </c>
      <c r="C5161" s="8" t="s">
        <v>10479</v>
      </c>
      <c r="D5161" s="8" t="s">
        <v>10480</v>
      </c>
      <c r="E5161" s="13">
        <v>0</v>
      </c>
      <c r="F5161" s="14">
        <v>0</v>
      </c>
    </row>
    <row r="5162" spans="1:6" x14ac:dyDescent="0.3">
      <c r="A5162" s="8">
        <v>5160</v>
      </c>
      <c r="B5162" s="8" t="s">
        <v>7694</v>
      </c>
      <c r="C5162" s="8" t="s">
        <v>10481</v>
      </c>
      <c r="D5162" s="8" t="s">
        <v>10482</v>
      </c>
      <c r="E5162" s="13">
        <v>310000</v>
      </c>
      <c r="F5162" s="14">
        <v>620370</v>
      </c>
    </row>
    <row r="5163" spans="1:6" x14ac:dyDescent="0.3">
      <c r="A5163" s="8">
        <v>5161</v>
      </c>
      <c r="B5163" s="8" t="s">
        <v>7694</v>
      </c>
      <c r="C5163" s="8" t="s">
        <v>10483</v>
      </c>
      <c r="D5163" s="8" t="s">
        <v>10484</v>
      </c>
      <c r="E5163" s="13">
        <v>133000</v>
      </c>
      <c r="F5163" s="14">
        <v>266667</v>
      </c>
    </row>
    <row r="5164" spans="1:6" x14ac:dyDescent="0.3">
      <c r="A5164" s="8">
        <v>5162</v>
      </c>
      <c r="B5164" s="8" t="s">
        <v>7694</v>
      </c>
      <c r="C5164" s="8" t="s">
        <v>10485</v>
      </c>
      <c r="D5164" s="8" t="s">
        <v>10486</v>
      </c>
      <c r="E5164" s="13">
        <v>0</v>
      </c>
      <c r="F5164" s="14">
        <v>410000</v>
      </c>
    </row>
    <row r="5165" spans="1:6" x14ac:dyDescent="0.3">
      <c r="A5165" s="8">
        <v>5163</v>
      </c>
      <c r="B5165" s="8" t="s">
        <v>7694</v>
      </c>
      <c r="C5165" s="8" t="s">
        <v>10487</v>
      </c>
      <c r="D5165" s="8" t="s">
        <v>10488</v>
      </c>
      <c r="E5165" s="13">
        <v>0</v>
      </c>
      <c r="F5165" s="14">
        <v>576364</v>
      </c>
    </row>
    <row r="5166" spans="1:6" x14ac:dyDescent="0.3">
      <c r="A5166" s="8">
        <v>5164</v>
      </c>
      <c r="B5166" s="8" t="s">
        <v>7694</v>
      </c>
      <c r="C5166" s="8" t="s">
        <v>10489</v>
      </c>
      <c r="D5166" s="8" t="s">
        <v>10490</v>
      </c>
      <c r="E5166" s="13">
        <v>0</v>
      </c>
      <c r="F5166" s="14">
        <v>1230000</v>
      </c>
    </row>
    <row r="5167" spans="1:6" x14ac:dyDescent="0.3">
      <c r="A5167" s="8">
        <v>5165</v>
      </c>
      <c r="B5167" s="8" t="s">
        <v>7694</v>
      </c>
      <c r="C5167" s="8" t="s">
        <v>10491</v>
      </c>
      <c r="D5167" s="8" t="s">
        <v>10492</v>
      </c>
      <c r="E5167" s="13">
        <v>0</v>
      </c>
      <c r="F5167" s="14">
        <v>235455</v>
      </c>
    </row>
    <row r="5168" spans="1:6" x14ac:dyDescent="0.3">
      <c r="A5168" s="8">
        <v>5166</v>
      </c>
      <c r="B5168" s="8" t="s">
        <v>7694</v>
      </c>
      <c r="C5168" s="8" t="s">
        <v>10493</v>
      </c>
      <c r="D5168" s="8" t="s">
        <v>10494</v>
      </c>
      <c r="E5168" s="13">
        <v>0</v>
      </c>
      <c r="F5168" s="14">
        <v>0</v>
      </c>
    </row>
    <row r="5169" spans="1:6" x14ac:dyDescent="0.3">
      <c r="A5169" s="8">
        <v>5167</v>
      </c>
      <c r="B5169" s="8" t="s">
        <v>7694</v>
      </c>
      <c r="C5169" s="8" t="s">
        <v>10495</v>
      </c>
      <c r="D5169" s="8" t="s">
        <v>10496</v>
      </c>
      <c r="E5169" s="13">
        <v>0</v>
      </c>
      <c r="F5169" s="14">
        <v>950000</v>
      </c>
    </row>
    <row r="5170" spans="1:6" x14ac:dyDescent="0.3">
      <c r="A5170" s="8">
        <v>5168</v>
      </c>
      <c r="B5170" s="8" t="s">
        <v>7694</v>
      </c>
      <c r="C5170" s="8" t="s">
        <v>10497</v>
      </c>
      <c r="D5170" s="8" t="s">
        <v>10498</v>
      </c>
      <c r="E5170" s="13">
        <v>72000</v>
      </c>
      <c r="F5170" s="14">
        <v>143519</v>
      </c>
    </row>
    <row r="5171" spans="1:6" x14ac:dyDescent="0.3">
      <c r="A5171" s="8">
        <v>5169</v>
      </c>
      <c r="B5171" s="8" t="s">
        <v>7694</v>
      </c>
      <c r="C5171" s="8" t="s">
        <v>10499</v>
      </c>
      <c r="D5171" s="8" t="s">
        <v>10500</v>
      </c>
      <c r="E5171" s="13">
        <v>210000</v>
      </c>
      <c r="F5171" s="14">
        <v>420370</v>
      </c>
    </row>
    <row r="5172" spans="1:6" x14ac:dyDescent="0.3">
      <c r="A5172" s="8">
        <v>5170</v>
      </c>
      <c r="B5172" s="8" t="s">
        <v>7694</v>
      </c>
      <c r="C5172" s="8" t="s">
        <v>10501</v>
      </c>
      <c r="D5172" s="8" t="s">
        <v>10502</v>
      </c>
      <c r="E5172" s="13">
        <v>1750000</v>
      </c>
      <c r="F5172" s="14">
        <v>3500000</v>
      </c>
    </row>
    <row r="5173" spans="1:6" x14ac:dyDescent="0.3">
      <c r="A5173" s="8">
        <v>5171</v>
      </c>
      <c r="B5173" s="8" t="s">
        <v>2792</v>
      </c>
      <c r="C5173" s="8" t="s">
        <v>10503</v>
      </c>
      <c r="D5173" s="8" t="s">
        <v>10504</v>
      </c>
      <c r="E5173" s="13">
        <v>0</v>
      </c>
      <c r="F5173" s="14">
        <v>0</v>
      </c>
    </row>
    <row r="5174" spans="1:6" x14ac:dyDescent="0.3">
      <c r="A5174" s="8">
        <v>5172</v>
      </c>
      <c r="B5174" s="8" t="s">
        <v>2792</v>
      </c>
      <c r="C5174" s="8" t="s">
        <v>10505</v>
      </c>
      <c r="D5174" s="8" t="s">
        <v>10506</v>
      </c>
      <c r="E5174" s="13">
        <v>0</v>
      </c>
      <c r="F5174" s="14">
        <v>0</v>
      </c>
    </row>
    <row r="5175" spans="1:6" x14ac:dyDescent="0.3">
      <c r="A5175" s="8">
        <v>5173</v>
      </c>
      <c r="B5175" s="8" t="s">
        <v>2792</v>
      </c>
      <c r="C5175" s="8" t="s">
        <v>10507</v>
      </c>
      <c r="D5175" s="8" t="s">
        <v>10508</v>
      </c>
      <c r="E5175" s="13">
        <v>0</v>
      </c>
      <c r="F5175" s="14">
        <v>0</v>
      </c>
    </row>
    <row r="5176" spans="1:6" x14ac:dyDescent="0.3">
      <c r="A5176" s="8">
        <v>5174</v>
      </c>
      <c r="B5176" s="8" t="s">
        <v>4148</v>
      </c>
      <c r="C5176" s="8" t="s">
        <v>10509</v>
      </c>
      <c r="D5176" s="8" t="s">
        <v>10510</v>
      </c>
      <c r="E5176" s="13">
        <v>0</v>
      </c>
      <c r="F5176" s="14">
        <v>0</v>
      </c>
    </row>
    <row r="5177" spans="1:6" x14ac:dyDescent="0.3">
      <c r="A5177" s="8">
        <v>5175</v>
      </c>
      <c r="B5177" s="8" t="s">
        <v>4148</v>
      </c>
      <c r="C5177" s="8" t="s">
        <v>10511</v>
      </c>
      <c r="D5177" s="8" t="s">
        <v>10512</v>
      </c>
      <c r="E5177" s="13">
        <v>63100</v>
      </c>
      <c r="F5177" s="14">
        <v>113000</v>
      </c>
    </row>
    <row r="5178" spans="1:6" x14ac:dyDescent="0.3">
      <c r="A5178" s="8">
        <v>5176</v>
      </c>
      <c r="B5178" s="8" t="s">
        <v>4148</v>
      </c>
      <c r="C5178" s="8" t="s">
        <v>10513</v>
      </c>
      <c r="D5178" s="8" t="s">
        <v>10514</v>
      </c>
      <c r="E5178" s="13">
        <v>0</v>
      </c>
      <c r="F5178" s="14">
        <v>0</v>
      </c>
    </row>
    <row r="5179" spans="1:6" x14ac:dyDescent="0.3">
      <c r="A5179" s="8">
        <v>5177</v>
      </c>
      <c r="B5179" s="8" t="s">
        <v>4148</v>
      </c>
      <c r="C5179" s="8" t="s">
        <v>10515</v>
      </c>
      <c r="D5179" s="8" t="s">
        <v>10516</v>
      </c>
      <c r="E5179" s="13">
        <v>88000</v>
      </c>
      <c r="F5179" s="14">
        <v>175926</v>
      </c>
    </row>
    <row r="5180" spans="1:6" x14ac:dyDescent="0.3">
      <c r="A5180" s="8">
        <v>5178</v>
      </c>
      <c r="B5180" s="8" t="s">
        <v>4148</v>
      </c>
      <c r="C5180" s="8" t="s">
        <v>10517</v>
      </c>
      <c r="D5180" s="8" t="s">
        <v>10518</v>
      </c>
      <c r="E5180" s="13">
        <v>64400</v>
      </c>
      <c r="F5180" s="14">
        <v>128000</v>
      </c>
    </row>
    <row r="5181" spans="1:6" x14ac:dyDescent="0.3">
      <c r="A5181" s="8">
        <v>5179</v>
      </c>
      <c r="B5181" s="8" t="s">
        <v>4148</v>
      </c>
      <c r="C5181" s="8" t="s">
        <v>10519</v>
      </c>
      <c r="D5181" s="8" t="s">
        <v>10520</v>
      </c>
      <c r="E5181" s="13">
        <v>90600</v>
      </c>
      <c r="F5181" s="14">
        <v>179000</v>
      </c>
    </row>
    <row r="5182" spans="1:6" x14ac:dyDescent="0.3">
      <c r="A5182" s="8">
        <v>5180</v>
      </c>
      <c r="B5182" s="8" t="s">
        <v>4148</v>
      </c>
      <c r="C5182" s="8" t="s">
        <v>10521</v>
      </c>
      <c r="D5182" s="8" t="s">
        <v>10522</v>
      </c>
      <c r="E5182" s="13">
        <v>93000</v>
      </c>
      <c r="F5182" s="14">
        <v>203636</v>
      </c>
    </row>
    <row r="5183" spans="1:6" x14ac:dyDescent="0.3">
      <c r="A5183" s="8">
        <v>5181</v>
      </c>
      <c r="B5183" s="8" t="s">
        <v>4148</v>
      </c>
      <c r="C5183" s="8" t="s">
        <v>10523</v>
      </c>
      <c r="D5183" s="8" t="s">
        <v>10524</v>
      </c>
      <c r="E5183" s="13">
        <v>90000</v>
      </c>
      <c r="F5183" s="14">
        <v>179630</v>
      </c>
    </row>
    <row r="5184" spans="1:6" x14ac:dyDescent="0.3">
      <c r="A5184" s="8">
        <v>5182</v>
      </c>
      <c r="B5184" s="8" t="s">
        <v>4148</v>
      </c>
      <c r="C5184" s="8" t="s">
        <v>10525</v>
      </c>
      <c r="D5184" s="8" t="s">
        <v>10526</v>
      </c>
      <c r="E5184" s="13">
        <v>0</v>
      </c>
      <c r="F5184" s="14">
        <v>139000</v>
      </c>
    </row>
    <row r="5185" spans="1:6" x14ac:dyDescent="0.3">
      <c r="A5185" s="8">
        <v>5183</v>
      </c>
      <c r="B5185" s="8" t="s">
        <v>4148</v>
      </c>
      <c r="C5185" s="8" t="s">
        <v>10527</v>
      </c>
      <c r="D5185" s="8" t="s">
        <v>10528</v>
      </c>
      <c r="E5185" s="13">
        <v>47000</v>
      </c>
      <c r="F5185" s="14">
        <v>94444</v>
      </c>
    </row>
    <row r="5186" spans="1:6" x14ac:dyDescent="0.3">
      <c r="A5186" s="8">
        <v>5184</v>
      </c>
      <c r="B5186" s="8" t="s">
        <v>4148</v>
      </c>
      <c r="C5186" s="8" t="s">
        <v>10529</v>
      </c>
      <c r="D5186" s="8" t="s">
        <v>10530</v>
      </c>
      <c r="E5186" s="13">
        <v>83800</v>
      </c>
      <c r="F5186" s="14">
        <v>167593</v>
      </c>
    </row>
    <row r="5187" spans="1:6" x14ac:dyDescent="0.3">
      <c r="A5187" s="8">
        <v>5185</v>
      </c>
      <c r="B5187" s="8" t="s">
        <v>4148</v>
      </c>
      <c r="C5187" s="8" t="s">
        <v>10531</v>
      </c>
      <c r="D5187" s="8" t="s">
        <v>10532</v>
      </c>
      <c r="E5187" s="13">
        <v>83800</v>
      </c>
      <c r="F5187" s="14">
        <v>167593</v>
      </c>
    </row>
    <row r="5188" spans="1:6" x14ac:dyDescent="0.3">
      <c r="A5188" s="8">
        <v>5186</v>
      </c>
      <c r="B5188" s="8" t="s">
        <v>4148</v>
      </c>
      <c r="C5188" s="8" t="s">
        <v>10533</v>
      </c>
      <c r="D5188" s="8" t="s">
        <v>10534</v>
      </c>
      <c r="E5188" s="13">
        <v>112000</v>
      </c>
      <c r="F5188" s="14">
        <v>223636</v>
      </c>
    </row>
    <row r="5189" spans="1:6" x14ac:dyDescent="0.3">
      <c r="A5189" s="8">
        <v>5187</v>
      </c>
      <c r="B5189" s="8" t="s">
        <v>4148</v>
      </c>
      <c r="C5189" s="8" t="s">
        <v>10535</v>
      </c>
      <c r="D5189" s="8" t="s">
        <v>10536</v>
      </c>
      <c r="E5189" s="13">
        <v>0</v>
      </c>
      <c r="F5189" s="14">
        <v>331000</v>
      </c>
    </row>
    <row r="5190" spans="1:6" x14ac:dyDescent="0.3">
      <c r="A5190" s="8">
        <v>5188</v>
      </c>
      <c r="B5190" s="8" t="s">
        <v>4148</v>
      </c>
      <c r="C5190" s="8" t="s">
        <v>10537</v>
      </c>
      <c r="D5190" s="8" t="s">
        <v>10538</v>
      </c>
      <c r="E5190" s="13">
        <v>87000</v>
      </c>
      <c r="F5190" s="14">
        <v>189815</v>
      </c>
    </row>
    <row r="5191" spans="1:6" x14ac:dyDescent="0.3">
      <c r="A5191" s="8">
        <v>5189</v>
      </c>
      <c r="B5191" s="8" t="s">
        <v>4148</v>
      </c>
      <c r="C5191" s="8" t="s">
        <v>10539</v>
      </c>
      <c r="D5191" s="8" t="s">
        <v>10540</v>
      </c>
      <c r="E5191" s="13">
        <v>82400</v>
      </c>
      <c r="F5191" s="14">
        <v>185185</v>
      </c>
    </row>
    <row r="5192" spans="1:6" x14ac:dyDescent="0.3">
      <c r="A5192" s="8">
        <v>5190</v>
      </c>
      <c r="B5192" s="8" t="s">
        <v>4148</v>
      </c>
      <c r="C5192" s="8" t="s">
        <v>10541</v>
      </c>
      <c r="D5192" s="8" t="s">
        <v>10542</v>
      </c>
      <c r="E5192" s="13">
        <v>0</v>
      </c>
      <c r="F5192" s="14">
        <v>0</v>
      </c>
    </row>
    <row r="5193" spans="1:6" x14ac:dyDescent="0.3">
      <c r="A5193" s="8">
        <v>5191</v>
      </c>
      <c r="B5193" s="8" t="s">
        <v>4148</v>
      </c>
      <c r="C5193" s="8" t="s">
        <v>10543</v>
      </c>
      <c r="D5193" s="8" t="s">
        <v>10544</v>
      </c>
      <c r="E5193" s="13">
        <v>61400</v>
      </c>
      <c r="F5193" s="14">
        <v>136111</v>
      </c>
    </row>
    <row r="5194" spans="1:6" x14ac:dyDescent="0.3">
      <c r="A5194" s="8">
        <v>5192</v>
      </c>
      <c r="B5194" s="8" t="s">
        <v>4148</v>
      </c>
      <c r="C5194" s="8" t="s">
        <v>10545</v>
      </c>
      <c r="D5194" s="8" t="s">
        <v>10546</v>
      </c>
      <c r="E5194" s="13">
        <v>76300</v>
      </c>
      <c r="F5194" s="14">
        <v>170370</v>
      </c>
    </row>
    <row r="5195" spans="1:6" x14ac:dyDescent="0.3">
      <c r="A5195" s="8">
        <v>5193</v>
      </c>
      <c r="B5195" s="8" t="s">
        <v>4148</v>
      </c>
      <c r="C5195" s="8" t="s">
        <v>10547</v>
      </c>
      <c r="D5195" s="8" t="s">
        <v>10548</v>
      </c>
      <c r="E5195" s="13">
        <v>77200</v>
      </c>
      <c r="F5195" s="14">
        <v>172222</v>
      </c>
    </row>
    <row r="5196" spans="1:6" x14ac:dyDescent="0.3">
      <c r="A5196" s="8">
        <v>5194</v>
      </c>
      <c r="B5196" s="8" t="s">
        <v>6029</v>
      </c>
      <c r="C5196" s="8" t="s">
        <v>10549</v>
      </c>
      <c r="D5196" s="8" t="s">
        <v>10550</v>
      </c>
      <c r="E5196" s="13">
        <v>0</v>
      </c>
      <c r="F5196" s="14">
        <v>361111</v>
      </c>
    </row>
    <row r="5197" spans="1:6" x14ac:dyDescent="0.3">
      <c r="A5197" s="8">
        <v>5195</v>
      </c>
      <c r="B5197" s="8" t="s">
        <v>6022</v>
      </c>
      <c r="C5197" s="8" t="s">
        <v>10551</v>
      </c>
      <c r="D5197" s="8" t="s">
        <v>10552</v>
      </c>
      <c r="E5197" s="13">
        <v>0</v>
      </c>
      <c r="F5197" s="14">
        <v>0</v>
      </c>
    </row>
    <row r="5198" spans="1:6" x14ac:dyDescent="0.3">
      <c r="A5198" s="8">
        <v>5196</v>
      </c>
      <c r="B5198" s="8" t="s">
        <v>6516</v>
      </c>
      <c r="C5198" s="8" t="s">
        <v>10553</v>
      </c>
      <c r="D5198" s="8" t="s">
        <v>10554</v>
      </c>
      <c r="E5198" s="13">
        <v>0</v>
      </c>
      <c r="F5198" s="14">
        <v>0</v>
      </c>
    </row>
    <row r="5199" spans="1:6" x14ac:dyDescent="0.3">
      <c r="A5199" s="8">
        <v>5197</v>
      </c>
      <c r="B5199" s="8" t="s">
        <v>6516</v>
      </c>
      <c r="C5199" s="8" t="s">
        <v>10555</v>
      </c>
      <c r="D5199" s="8" t="s">
        <v>10556</v>
      </c>
      <c r="E5199" s="13">
        <v>532000</v>
      </c>
      <c r="F5199" s="14">
        <v>1063889</v>
      </c>
    </row>
    <row r="5200" spans="1:6" x14ac:dyDescent="0.3">
      <c r="A5200" s="8">
        <v>5198</v>
      </c>
      <c r="B5200" s="8" t="s">
        <v>6516</v>
      </c>
      <c r="C5200" s="8" t="s">
        <v>10557</v>
      </c>
      <c r="D5200" s="8" t="s">
        <v>10558</v>
      </c>
      <c r="E5200" s="13">
        <v>0</v>
      </c>
      <c r="F5200" s="14">
        <v>0</v>
      </c>
    </row>
    <row r="5201" spans="1:6" x14ac:dyDescent="0.3">
      <c r="A5201" s="8">
        <v>5199</v>
      </c>
      <c r="B5201" s="8" t="s">
        <v>6516</v>
      </c>
      <c r="C5201" s="8" t="s">
        <v>10559</v>
      </c>
      <c r="D5201" s="8" t="s">
        <v>10560</v>
      </c>
      <c r="E5201" s="13">
        <v>0</v>
      </c>
      <c r="F5201" s="14">
        <v>695000</v>
      </c>
    </row>
    <row r="5202" spans="1:6" x14ac:dyDescent="0.3">
      <c r="A5202" s="8">
        <v>5200</v>
      </c>
      <c r="B5202" s="8" t="s">
        <v>6516</v>
      </c>
      <c r="C5202" s="8" t="s">
        <v>10561</v>
      </c>
      <c r="D5202" s="8" t="s">
        <v>10562</v>
      </c>
      <c r="E5202" s="13">
        <v>0</v>
      </c>
      <c r="F5202" s="14">
        <v>1115000</v>
      </c>
    </row>
    <row r="5203" spans="1:6" x14ac:dyDescent="0.3">
      <c r="A5203" s="8">
        <v>5201</v>
      </c>
      <c r="B5203" s="8" t="s">
        <v>6516</v>
      </c>
      <c r="C5203" s="8" t="s">
        <v>10563</v>
      </c>
      <c r="D5203" s="8" t="s">
        <v>10564</v>
      </c>
      <c r="E5203" s="13">
        <v>611000</v>
      </c>
      <c r="F5203" s="14">
        <v>1222000</v>
      </c>
    </row>
    <row r="5204" spans="1:6" x14ac:dyDescent="0.3">
      <c r="A5204" s="8">
        <v>5202</v>
      </c>
      <c r="B5204" s="8" t="s">
        <v>6516</v>
      </c>
      <c r="C5204" s="8" t="s">
        <v>10565</v>
      </c>
      <c r="D5204" s="8" t="s">
        <v>10566</v>
      </c>
      <c r="E5204" s="13">
        <v>0</v>
      </c>
      <c r="F5204" s="14">
        <v>1080000</v>
      </c>
    </row>
    <row r="5205" spans="1:6" x14ac:dyDescent="0.3">
      <c r="A5205" s="8">
        <v>5203</v>
      </c>
      <c r="B5205" s="8" t="s">
        <v>6516</v>
      </c>
      <c r="C5205" s="8" t="s">
        <v>10567</v>
      </c>
      <c r="D5205" s="8" t="s">
        <v>10568</v>
      </c>
      <c r="E5205" s="13">
        <v>0</v>
      </c>
      <c r="F5205" s="14">
        <v>0</v>
      </c>
    </row>
    <row r="5206" spans="1:6" x14ac:dyDescent="0.3">
      <c r="A5206" s="8">
        <v>5204</v>
      </c>
      <c r="B5206" s="8" t="s">
        <v>6516</v>
      </c>
      <c r="C5206" s="8" t="s">
        <v>10569</v>
      </c>
      <c r="D5206" s="8" t="s">
        <v>10570</v>
      </c>
      <c r="E5206" s="13">
        <v>783000</v>
      </c>
      <c r="F5206" s="14">
        <v>1565741</v>
      </c>
    </row>
    <row r="5207" spans="1:6" x14ac:dyDescent="0.3">
      <c r="A5207" s="8">
        <v>5205</v>
      </c>
      <c r="B5207" s="8" t="s">
        <v>6516</v>
      </c>
      <c r="C5207" s="8" t="s">
        <v>10571</v>
      </c>
      <c r="D5207" s="8" t="s">
        <v>10572</v>
      </c>
      <c r="E5207" s="13">
        <v>0</v>
      </c>
      <c r="F5207" s="14">
        <v>0</v>
      </c>
    </row>
    <row r="5208" spans="1:6" x14ac:dyDescent="0.3">
      <c r="A5208" s="8">
        <v>5206</v>
      </c>
      <c r="B5208" s="8" t="s">
        <v>6516</v>
      </c>
      <c r="C5208" s="8" t="s">
        <v>10573</v>
      </c>
      <c r="D5208" s="8" t="s">
        <v>10574</v>
      </c>
      <c r="E5208" s="13">
        <v>0</v>
      </c>
      <c r="F5208" s="14">
        <v>0</v>
      </c>
    </row>
    <row r="5209" spans="1:6" x14ac:dyDescent="0.3">
      <c r="A5209" s="8">
        <v>5207</v>
      </c>
      <c r="B5209" s="8" t="s">
        <v>6516</v>
      </c>
      <c r="C5209" s="8" t="s">
        <v>10575</v>
      </c>
      <c r="D5209" s="8" t="s">
        <v>10576</v>
      </c>
      <c r="E5209" s="13">
        <v>0</v>
      </c>
      <c r="F5209" s="14">
        <v>0</v>
      </c>
    </row>
    <row r="5210" spans="1:6" x14ac:dyDescent="0.3">
      <c r="A5210" s="8">
        <v>5208</v>
      </c>
      <c r="B5210" s="8" t="s">
        <v>6516</v>
      </c>
      <c r="C5210" s="8" t="s">
        <v>10577</v>
      </c>
      <c r="D5210" s="8" t="s">
        <v>10578</v>
      </c>
      <c r="E5210" s="13">
        <v>0</v>
      </c>
      <c r="F5210" s="14">
        <v>1759259</v>
      </c>
    </row>
    <row r="5211" spans="1:6" x14ac:dyDescent="0.3">
      <c r="A5211" s="8">
        <v>5209</v>
      </c>
      <c r="B5211" s="8" t="s">
        <v>6516</v>
      </c>
      <c r="C5211" s="8" t="s">
        <v>10579</v>
      </c>
      <c r="D5211" s="8" t="s">
        <v>10580</v>
      </c>
      <c r="E5211" s="13">
        <v>0</v>
      </c>
      <c r="F5211" s="14">
        <v>0</v>
      </c>
    </row>
    <row r="5212" spans="1:6" x14ac:dyDescent="0.3">
      <c r="A5212" s="8">
        <v>5210</v>
      </c>
      <c r="B5212" s="8" t="s">
        <v>6516</v>
      </c>
      <c r="C5212" s="8" t="s">
        <v>10581</v>
      </c>
      <c r="D5212" s="8" t="s">
        <v>10582</v>
      </c>
      <c r="E5212" s="13">
        <v>0</v>
      </c>
      <c r="F5212" s="14">
        <v>0</v>
      </c>
    </row>
    <row r="5213" spans="1:6" x14ac:dyDescent="0.3">
      <c r="A5213" s="8">
        <v>5211</v>
      </c>
      <c r="B5213" s="8" t="s">
        <v>6516</v>
      </c>
      <c r="C5213" s="8" t="s">
        <v>10583</v>
      </c>
      <c r="D5213" s="8" t="s">
        <v>10584</v>
      </c>
      <c r="E5213" s="13">
        <v>0</v>
      </c>
      <c r="F5213" s="14">
        <v>0</v>
      </c>
    </row>
    <row r="5214" spans="1:6" x14ac:dyDescent="0.3">
      <c r="A5214" s="8">
        <v>5212</v>
      </c>
      <c r="B5214" s="8" t="s">
        <v>6516</v>
      </c>
      <c r="C5214" s="8" t="s">
        <v>10585</v>
      </c>
      <c r="D5214" s="8" t="s">
        <v>10586</v>
      </c>
      <c r="E5214" s="13">
        <v>0</v>
      </c>
      <c r="F5214" s="14">
        <v>0</v>
      </c>
    </row>
    <row r="5215" spans="1:6" x14ac:dyDescent="0.3">
      <c r="A5215" s="8">
        <v>5213</v>
      </c>
      <c r="B5215" s="8" t="s">
        <v>6516</v>
      </c>
      <c r="C5215" s="8" t="s">
        <v>10587</v>
      </c>
      <c r="D5215" s="8" t="s">
        <v>10588</v>
      </c>
      <c r="E5215" s="13">
        <v>0</v>
      </c>
      <c r="F5215" s="14">
        <v>0</v>
      </c>
    </row>
    <row r="5216" spans="1:6" x14ac:dyDescent="0.3">
      <c r="A5216" s="8">
        <v>5214</v>
      </c>
      <c r="B5216" s="8" t="s">
        <v>6516</v>
      </c>
      <c r="C5216" s="8" t="s">
        <v>10589</v>
      </c>
      <c r="D5216" s="8" t="s">
        <v>10590</v>
      </c>
      <c r="E5216" s="13">
        <v>537000</v>
      </c>
      <c r="F5216" s="14">
        <v>1074074</v>
      </c>
    </row>
    <row r="5217" spans="1:6" x14ac:dyDescent="0.3">
      <c r="A5217" s="8">
        <v>5215</v>
      </c>
      <c r="B5217" s="8" t="s">
        <v>6516</v>
      </c>
      <c r="C5217" s="8" t="s">
        <v>10591</v>
      </c>
      <c r="D5217" s="8" t="s">
        <v>10592</v>
      </c>
      <c r="E5217" s="13">
        <v>537000</v>
      </c>
      <c r="F5217" s="14">
        <v>1074074</v>
      </c>
    </row>
    <row r="5218" spans="1:6" x14ac:dyDescent="0.3">
      <c r="A5218" s="8">
        <v>5216</v>
      </c>
      <c r="B5218" s="8" t="s">
        <v>6516</v>
      </c>
      <c r="C5218" s="8" t="s">
        <v>10593</v>
      </c>
      <c r="D5218" s="8" t="s">
        <v>10594</v>
      </c>
      <c r="E5218" s="13">
        <v>0</v>
      </c>
      <c r="F5218" s="14">
        <v>0</v>
      </c>
    </row>
    <row r="5219" spans="1:6" x14ac:dyDescent="0.3">
      <c r="A5219" s="8">
        <v>5217</v>
      </c>
      <c r="B5219" s="8" t="s">
        <v>2792</v>
      </c>
      <c r="C5219" s="8" t="s">
        <v>10595</v>
      </c>
      <c r="D5219" s="8" t="s">
        <v>10596</v>
      </c>
      <c r="E5219" s="13">
        <v>0</v>
      </c>
      <c r="F5219" s="14">
        <v>2670000</v>
      </c>
    </row>
    <row r="5220" spans="1:6" x14ac:dyDescent="0.3">
      <c r="A5220" s="8">
        <v>5218</v>
      </c>
      <c r="B5220" s="8" t="s">
        <v>2792</v>
      </c>
      <c r="C5220" s="8" t="s">
        <v>10597</v>
      </c>
      <c r="D5220" s="8" t="s">
        <v>10598</v>
      </c>
      <c r="E5220" s="13">
        <v>0</v>
      </c>
      <c r="F5220" s="14">
        <v>0</v>
      </c>
    </row>
    <row r="5221" spans="1:6" x14ac:dyDescent="0.3">
      <c r="A5221" s="8">
        <v>5219</v>
      </c>
      <c r="B5221" s="8" t="s">
        <v>2792</v>
      </c>
      <c r="C5221" s="8" t="s">
        <v>10599</v>
      </c>
      <c r="D5221" s="8" t="s">
        <v>10600</v>
      </c>
      <c r="E5221" s="13">
        <v>0</v>
      </c>
      <c r="F5221" s="14">
        <v>0</v>
      </c>
    </row>
    <row r="5222" spans="1:6" x14ac:dyDescent="0.3">
      <c r="A5222" s="8">
        <v>5220</v>
      </c>
      <c r="B5222" s="8" t="s">
        <v>2792</v>
      </c>
      <c r="C5222" s="8" t="s">
        <v>10601</v>
      </c>
      <c r="D5222" s="8" t="s">
        <v>10602</v>
      </c>
      <c r="E5222" s="13">
        <v>645000</v>
      </c>
      <c r="F5222" s="14">
        <v>1289815</v>
      </c>
    </row>
    <row r="5223" spans="1:6" x14ac:dyDescent="0.3">
      <c r="A5223" s="8">
        <v>5221</v>
      </c>
      <c r="B5223" s="8" t="s">
        <v>2792</v>
      </c>
      <c r="C5223" s="8" t="s">
        <v>10603</v>
      </c>
      <c r="D5223" s="8" t="s">
        <v>10604</v>
      </c>
      <c r="E5223" s="13">
        <v>0</v>
      </c>
      <c r="F5223" s="14">
        <v>0</v>
      </c>
    </row>
    <row r="5224" spans="1:6" x14ac:dyDescent="0.3">
      <c r="A5224" s="8">
        <v>5222</v>
      </c>
      <c r="B5224" s="8" t="s">
        <v>2792</v>
      </c>
      <c r="C5224" s="8" t="s">
        <v>10605</v>
      </c>
      <c r="D5224" s="8" t="s">
        <v>10606</v>
      </c>
      <c r="E5224" s="13">
        <v>0</v>
      </c>
      <c r="F5224" s="14">
        <v>0</v>
      </c>
    </row>
    <row r="5225" spans="1:6" x14ac:dyDescent="0.3">
      <c r="A5225" s="8">
        <v>5223</v>
      </c>
      <c r="B5225" s="8" t="s">
        <v>2792</v>
      </c>
      <c r="C5225" s="8" t="s">
        <v>10607</v>
      </c>
      <c r="D5225" s="8" t="s">
        <v>10608</v>
      </c>
      <c r="E5225" s="13">
        <v>1260000</v>
      </c>
      <c r="F5225" s="14">
        <v>2520370</v>
      </c>
    </row>
    <row r="5226" spans="1:6" x14ac:dyDescent="0.3">
      <c r="A5226" s="8">
        <v>5224</v>
      </c>
      <c r="B5226" s="8" t="s">
        <v>2792</v>
      </c>
      <c r="C5226" s="8" t="s">
        <v>10609</v>
      </c>
      <c r="D5226" s="8" t="s">
        <v>10610</v>
      </c>
      <c r="E5226" s="13">
        <v>0</v>
      </c>
      <c r="F5226" s="14">
        <v>8000000</v>
      </c>
    </row>
    <row r="5227" spans="1:6" x14ac:dyDescent="0.3">
      <c r="A5227" s="8">
        <v>5225</v>
      </c>
      <c r="B5227" s="8" t="s">
        <v>2792</v>
      </c>
      <c r="C5227" s="8" t="s">
        <v>10611</v>
      </c>
      <c r="D5227" s="8" t="s">
        <v>10612</v>
      </c>
      <c r="E5227" s="13">
        <v>3871000</v>
      </c>
      <c r="F5227" s="14">
        <v>7741667</v>
      </c>
    </row>
    <row r="5228" spans="1:6" x14ac:dyDescent="0.3">
      <c r="A5228" s="8">
        <v>5226</v>
      </c>
      <c r="B5228" s="8" t="s">
        <v>2792</v>
      </c>
      <c r="C5228" s="8" t="s">
        <v>10613</v>
      </c>
      <c r="D5228" s="8" t="s">
        <v>10614</v>
      </c>
      <c r="E5228" s="13">
        <v>0</v>
      </c>
      <c r="F5228" s="14">
        <v>0</v>
      </c>
    </row>
    <row r="5229" spans="1:6" x14ac:dyDescent="0.3">
      <c r="A5229" s="8">
        <v>5227</v>
      </c>
      <c r="B5229" s="8" t="s">
        <v>2792</v>
      </c>
      <c r="C5229" s="8" t="s">
        <v>10615</v>
      </c>
      <c r="D5229" s="8" t="s">
        <v>10616</v>
      </c>
      <c r="E5229" s="13">
        <v>3871000</v>
      </c>
      <c r="F5229" s="14">
        <v>7741667</v>
      </c>
    </row>
    <row r="5230" spans="1:6" x14ac:dyDescent="0.3">
      <c r="A5230" s="8">
        <v>5228</v>
      </c>
      <c r="B5230" s="8" t="s">
        <v>2792</v>
      </c>
      <c r="C5230" s="8" t="s">
        <v>10617</v>
      </c>
      <c r="D5230" s="8" t="s">
        <v>10618</v>
      </c>
      <c r="E5230" s="13">
        <v>0</v>
      </c>
      <c r="F5230" s="14">
        <v>0</v>
      </c>
    </row>
    <row r="5231" spans="1:6" x14ac:dyDescent="0.3">
      <c r="A5231" s="8">
        <v>5229</v>
      </c>
      <c r="B5231" s="8" t="s">
        <v>2792</v>
      </c>
      <c r="C5231" s="8" t="s">
        <v>10619</v>
      </c>
      <c r="D5231" s="8" t="s">
        <v>10620</v>
      </c>
      <c r="E5231" s="13">
        <v>0</v>
      </c>
      <c r="F5231" s="14">
        <v>0</v>
      </c>
    </row>
    <row r="5232" spans="1:6" x14ac:dyDescent="0.3">
      <c r="A5232" s="8">
        <v>5230</v>
      </c>
      <c r="B5232" s="8" t="s">
        <v>2792</v>
      </c>
      <c r="C5232" s="8" t="s">
        <v>10621</v>
      </c>
      <c r="D5232" s="8" t="s">
        <v>10622</v>
      </c>
      <c r="E5232" s="13">
        <v>0</v>
      </c>
      <c r="F5232" s="14">
        <v>0</v>
      </c>
    </row>
    <row r="5233" spans="1:6" x14ac:dyDescent="0.3">
      <c r="A5233" s="8">
        <v>5231</v>
      </c>
      <c r="B5233" s="8" t="s">
        <v>2792</v>
      </c>
      <c r="C5233" s="8" t="s">
        <v>10623</v>
      </c>
      <c r="D5233" s="8" t="s">
        <v>10624</v>
      </c>
      <c r="E5233" s="13">
        <v>0</v>
      </c>
      <c r="F5233" s="14">
        <v>0</v>
      </c>
    </row>
    <row r="5234" spans="1:6" x14ac:dyDescent="0.3">
      <c r="A5234" s="8">
        <v>5232</v>
      </c>
      <c r="B5234" s="8" t="s">
        <v>2792</v>
      </c>
      <c r="C5234" s="8" t="s">
        <v>10625</v>
      </c>
      <c r="D5234" s="8" t="s">
        <v>10626</v>
      </c>
      <c r="E5234" s="13">
        <v>0</v>
      </c>
      <c r="F5234" s="14">
        <v>11000000</v>
      </c>
    </row>
    <row r="5235" spans="1:6" x14ac:dyDescent="0.3">
      <c r="A5235" s="8">
        <v>5233</v>
      </c>
      <c r="B5235" s="8" t="s">
        <v>2792</v>
      </c>
      <c r="C5235" s="8" t="s">
        <v>10627</v>
      </c>
      <c r="D5235" s="8" t="s">
        <v>10628</v>
      </c>
      <c r="E5235" s="13">
        <v>1644000</v>
      </c>
      <c r="F5235" s="14">
        <v>2610000</v>
      </c>
    </row>
    <row r="5236" spans="1:6" x14ac:dyDescent="0.3">
      <c r="A5236" s="8">
        <v>5234</v>
      </c>
      <c r="B5236" s="8" t="s">
        <v>2792</v>
      </c>
      <c r="C5236" s="8" t="s">
        <v>10629</v>
      </c>
      <c r="D5236" s="8" t="s">
        <v>10630</v>
      </c>
      <c r="E5236" s="13">
        <v>3194000</v>
      </c>
      <c r="F5236" s="14">
        <v>5070000</v>
      </c>
    </row>
    <row r="5237" spans="1:6" x14ac:dyDescent="0.3">
      <c r="A5237" s="8">
        <v>5235</v>
      </c>
      <c r="B5237" s="8" t="s">
        <v>2792</v>
      </c>
      <c r="C5237" s="8" t="s">
        <v>10631</v>
      </c>
      <c r="D5237" s="8" t="s">
        <v>10632</v>
      </c>
      <c r="E5237" s="13">
        <v>0</v>
      </c>
      <c r="F5237" s="14">
        <v>3600000</v>
      </c>
    </row>
    <row r="5238" spans="1:6" x14ac:dyDescent="0.3">
      <c r="A5238" s="8">
        <v>5236</v>
      </c>
      <c r="B5238" s="8" t="s">
        <v>2792</v>
      </c>
      <c r="C5238" s="8" t="s">
        <v>10633</v>
      </c>
      <c r="D5238" s="8" t="s">
        <v>10634</v>
      </c>
      <c r="E5238" s="13">
        <v>0</v>
      </c>
      <c r="F5238" s="14">
        <v>0</v>
      </c>
    </row>
    <row r="5239" spans="1:6" x14ac:dyDescent="0.3">
      <c r="A5239" s="8">
        <v>5237</v>
      </c>
      <c r="B5239" s="8" t="s">
        <v>2792</v>
      </c>
      <c r="C5239" s="8" t="s">
        <v>10635</v>
      </c>
      <c r="D5239" s="8" t="s">
        <v>10636</v>
      </c>
      <c r="E5239" s="13">
        <v>2371000</v>
      </c>
      <c r="F5239" s="14">
        <v>4741667</v>
      </c>
    </row>
    <row r="5240" spans="1:6" x14ac:dyDescent="0.3">
      <c r="A5240" s="8">
        <v>5238</v>
      </c>
      <c r="B5240" s="8" t="s">
        <v>2792</v>
      </c>
      <c r="C5240" s="8" t="s">
        <v>10637</v>
      </c>
      <c r="D5240" s="8" t="s">
        <v>10638</v>
      </c>
      <c r="E5240" s="13">
        <v>0</v>
      </c>
      <c r="F5240" s="14">
        <v>6200000</v>
      </c>
    </row>
    <row r="5241" spans="1:6" x14ac:dyDescent="0.3">
      <c r="A5241" s="8">
        <v>5239</v>
      </c>
      <c r="B5241" s="8" t="s">
        <v>2792</v>
      </c>
      <c r="C5241" s="8" t="s">
        <v>10639</v>
      </c>
      <c r="D5241" s="8" t="s">
        <v>10640</v>
      </c>
      <c r="E5241" s="13">
        <v>1645000</v>
      </c>
      <c r="F5241" s="14">
        <v>3200000</v>
      </c>
    </row>
    <row r="5242" spans="1:6" x14ac:dyDescent="0.3">
      <c r="A5242" s="8">
        <v>5240</v>
      </c>
      <c r="B5242" s="8" t="s">
        <v>9478</v>
      </c>
      <c r="C5242" s="8" t="s">
        <v>10641</v>
      </c>
      <c r="D5242" s="8" t="s">
        <v>10642</v>
      </c>
      <c r="E5242" s="13">
        <v>0</v>
      </c>
      <c r="F5242" s="14">
        <v>0</v>
      </c>
    </row>
    <row r="5243" spans="1:6" x14ac:dyDescent="0.3">
      <c r="A5243" s="8">
        <v>5241</v>
      </c>
      <c r="B5243" s="8" t="s">
        <v>9478</v>
      </c>
      <c r="C5243" s="8" t="s">
        <v>10643</v>
      </c>
      <c r="D5243" s="8" t="s">
        <v>10644</v>
      </c>
      <c r="E5243" s="13">
        <v>0</v>
      </c>
      <c r="F5243" s="14">
        <v>0</v>
      </c>
    </row>
    <row r="5244" spans="1:6" x14ac:dyDescent="0.3">
      <c r="A5244" s="8">
        <v>5242</v>
      </c>
      <c r="B5244" s="8" t="s">
        <v>9478</v>
      </c>
      <c r="C5244" s="8" t="s">
        <v>10645</v>
      </c>
      <c r="D5244" s="8" t="s">
        <v>10646</v>
      </c>
      <c r="E5244" s="13">
        <v>0</v>
      </c>
      <c r="F5244" s="14">
        <v>0</v>
      </c>
    </row>
    <row r="5245" spans="1:6" x14ac:dyDescent="0.3">
      <c r="A5245" s="8">
        <v>5243</v>
      </c>
      <c r="B5245" s="8" t="s">
        <v>9478</v>
      </c>
      <c r="C5245" s="8" t="s">
        <v>10647</v>
      </c>
      <c r="D5245" s="8" t="s">
        <v>33</v>
      </c>
      <c r="E5245" s="13">
        <v>86000</v>
      </c>
      <c r="F5245" s="14">
        <v>172222</v>
      </c>
    </row>
    <row r="5246" spans="1:6" x14ac:dyDescent="0.3">
      <c r="A5246" s="8">
        <v>5244</v>
      </c>
      <c r="B5246" s="8" t="s">
        <v>9478</v>
      </c>
      <c r="C5246" s="8" t="s">
        <v>10648</v>
      </c>
      <c r="D5246" s="8" t="s">
        <v>10649</v>
      </c>
      <c r="E5246" s="13">
        <v>0</v>
      </c>
      <c r="F5246" s="14">
        <v>0</v>
      </c>
    </row>
    <row r="5247" spans="1:6" x14ac:dyDescent="0.3">
      <c r="A5247" s="8">
        <v>5245</v>
      </c>
      <c r="B5247" s="8" t="s">
        <v>9478</v>
      </c>
      <c r="C5247" s="8" t="s">
        <v>10650</v>
      </c>
      <c r="D5247" s="8" t="s">
        <v>10651</v>
      </c>
      <c r="E5247" s="13">
        <v>0</v>
      </c>
      <c r="F5247" s="14">
        <v>0</v>
      </c>
    </row>
    <row r="5248" spans="1:6" x14ac:dyDescent="0.3">
      <c r="A5248" s="8">
        <v>5246</v>
      </c>
      <c r="B5248" s="8" t="s">
        <v>9478</v>
      </c>
      <c r="C5248" s="8" t="s">
        <v>10652</v>
      </c>
      <c r="D5248" s="8" t="s">
        <v>91</v>
      </c>
      <c r="E5248" s="13">
        <v>53100</v>
      </c>
      <c r="F5248" s="14">
        <v>106481</v>
      </c>
    </row>
    <row r="5249" spans="1:6" x14ac:dyDescent="0.3">
      <c r="A5249" s="8">
        <v>5247</v>
      </c>
      <c r="B5249" s="8" t="s">
        <v>9478</v>
      </c>
      <c r="C5249" s="8" t="s">
        <v>10653</v>
      </c>
      <c r="D5249" s="8" t="s">
        <v>10654</v>
      </c>
      <c r="E5249" s="13">
        <v>0</v>
      </c>
      <c r="F5249" s="14">
        <v>0</v>
      </c>
    </row>
    <row r="5250" spans="1:6" x14ac:dyDescent="0.3">
      <c r="A5250" s="8">
        <v>5248</v>
      </c>
      <c r="B5250" s="8" t="s">
        <v>9478</v>
      </c>
      <c r="C5250" s="8" t="s">
        <v>10655</v>
      </c>
      <c r="D5250" s="8" t="s">
        <v>10656</v>
      </c>
      <c r="E5250" s="13">
        <v>0</v>
      </c>
      <c r="F5250" s="14">
        <v>0</v>
      </c>
    </row>
    <row r="5251" spans="1:6" x14ac:dyDescent="0.3">
      <c r="A5251" s="8">
        <v>5249</v>
      </c>
      <c r="B5251" s="8" t="s">
        <v>9478</v>
      </c>
      <c r="C5251" s="8" t="s">
        <v>10657</v>
      </c>
      <c r="D5251" s="8" t="s">
        <v>10658</v>
      </c>
      <c r="E5251" s="13">
        <v>0</v>
      </c>
      <c r="F5251" s="14">
        <v>0</v>
      </c>
    </row>
    <row r="5252" spans="1:6" x14ac:dyDescent="0.3">
      <c r="A5252" s="8">
        <v>5250</v>
      </c>
      <c r="B5252" s="8" t="s">
        <v>9478</v>
      </c>
      <c r="C5252" s="8" t="s">
        <v>10659</v>
      </c>
      <c r="D5252" s="8" t="s">
        <v>10660</v>
      </c>
      <c r="E5252" s="13">
        <v>0</v>
      </c>
      <c r="F5252" s="14">
        <v>0</v>
      </c>
    </row>
    <row r="5253" spans="1:6" x14ac:dyDescent="0.3">
      <c r="A5253" s="8">
        <v>5251</v>
      </c>
      <c r="B5253" s="8" t="s">
        <v>9478</v>
      </c>
      <c r="C5253" s="8" t="s">
        <v>10661</v>
      </c>
      <c r="D5253" s="8" t="s">
        <v>10662</v>
      </c>
      <c r="E5253" s="13">
        <v>0</v>
      </c>
      <c r="F5253" s="14">
        <v>0</v>
      </c>
    </row>
    <row r="5254" spans="1:6" x14ac:dyDescent="0.3">
      <c r="A5254" s="8">
        <v>5252</v>
      </c>
      <c r="B5254" s="8" t="s">
        <v>9478</v>
      </c>
      <c r="C5254" s="8" t="s">
        <v>10663</v>
      </c>
      <c r="D5254" s="8" t="s">
        <v>10664</v>
      </c>
      <c r="E5254" s="13">
        <v>139000</v>
      </c>
      <c r="F5254" s="14">
        <v>278182</v>
      </c>
    </row>
    <row r="5255" spans="1:6" x14ac:dyDescent="0.3">
      <c r="A5255" s="8">
        <v>5253</v>
      </c>
      <c r="B5255" s="8" t="s">
        <v>9478</v>
      </c>
      <c r="C5255" s="8" t="s">
        <v>10665</v>
      </c>
      <c r="D5255" s="8" t="s">
        <v>10666</v>
      </c>
      <c r="E5255" s="13">
        <v>0</v>
      </c>
      <c r="F5255" s="14">
        <v>0</v>
      </c>
    </row>
    <row r="5256" spans="1:6" x14ac:dyDescent="0.3">
      <c r="A5256" s="8">
        <v>5254</v>
      </c>
      <c r="B5256" s="8" t="s">
        <v>10667</v>
      </c>
      <c r="C5256" s="8" t="s">
        <v>10668</v>
      </c>
      <c r="D5256" s="8" t="s">
        <v>10669</v>
      </c>
      <c r="E5256" s="13">
        <v>0</v>
      </c>
      <c r="F5256" s="14">
        <v>0</v>
      </c>
    </row>
    <row r="5257" spans="1:6" x14ac:dyDescent="0.3">
      <c r="A5257" s="8">
        <v>5255</v>
      </c>
      <c r="B5257" s="8" t="s">
        <v>10667</v>
      </c>
      <c r="C5257" s="8" t="s">
        <v>10670</v>
      </c>
      <c r="D5257" s="8" t="s">
        <v>10671</v>
      </c>
      <c r="E5257" s="13">
        <v>0</v>
      </c>
      <c r="F5257" s="14">
        <v>0</v>
      </c>
    </row>
    <row r="5258" spans="1:6" x14ac:dyDescent="0.3">
      <c r="A5258" s="8">
        <v>5256</v>
      </c>
      <c r="B5258" s="8" t="s">
        <v>10667</v>
      </c>
      <c r="C5258" s="8" t="s">
        <v>10672</v>
      </c>
      <c r="D5258" s="8" t="s">
        <v>10673</v>
      </c>
      <c r="E5258" s="13">
        <v>0</v>
      </c>
      <c r="F5258" s="14">
        <v>0</v>
      </c>
    </row>
    <row r="5259" spans="1:6" x14ac:dyDescent="0.3">
      <c r="A5259" s="8">
        <v>5257</v>
      </c>
      <c r="B5259" s="8" t="s">
        <v>10667</v>
      </c>
      <c r="C5259" s="8" t="s">
        <v>10674</v>
      </c>
      <c r="D5259" s="8" t="s">
        <v>10675</v>
      </c>
      <c r="E5259" s="13">
        <v>0</v>
      </c>
      <c r="F5259" s="14">
        <v>0</v>
      </c>
    </row>
    <row r="5260" spans="1:6" x14ac:dyDescent="0.3">
      <c r="A5260" s="8">
        <v>5258</v>
      </c>
      <c r="B5260" s="8" t="s">
        <v>10667</v>
      </c>
      <c r="C5260" s="8" t="s">
        <v>10676</v>
      </c>
      <c r="D5260" s="8" t="s">
        <v>10677</v>
      </c>
      <c r="E5260" s="13">
        <v>0</v>
      </c>
      <c r="F5260" s="14">
        <v>0</v>
      </c>
    </row>
    <row r="5261" spans="1:6" x14ac:dyDescent="0.3">
      <c r="A5261" s="8">
        <v>5259</v>
      </c>
      <c r="B5261" s="8" t="s">
        <v>10667</v>
      </c>
      <c r="C5261" s="8" t="s">
        <v>10678</v>
      </c>
      <c r="D5261" s="8" t="s">
        <v>10679</v>
      </c>
      <c r="E5261" s="13">
        <v>0</v>
      </c>
      <c r="F5261" s="14">
        <v>0</v>
      </c>
    </row>
    <row r="5262" spans="1:6" x14ac:dyDescent="0.3">
      <c r="A5262" s="8">
        <v>5260</v>
      </c>
      <c r="B5262" s="8" t="s">
        <v>10667</v>
      </c>
      <c r="C5262" s="8" t="s">
        <v>10680</v>
      </c>
      <c r="D5262" s="8" t="s">
        <v>10681</v>
      </c>
      <c r="E5262" s="13">
        <v>0</v>
      </c>
      <c r="F5262" s="14">
        <v>0</v>
      </c>
    </row>
    <row r="5263" spans="1:6" x14ac:dyDescent="0.3">
      <c r="A5263" s="8">
        <v>5261</v>
      </c>
      <c r="B5263" s="8" t="s">
        <v>10667</v>
      </c>
      <c r="C5263" s="8" t="s">
        <v>10682</v>
      </c>
      <c r="D5263" s="8" t="s">
        <v>10683</v>
      </c>
      <c r="E5263" s="13">
        <v>0</v>
      </c>
      <c r="F5263" s="14">
        <v>0</v>
      </c>
    </row>
    <row r="5264" spans="1:6" x14ac:dyDescent="0.3">
      <c r="A5264" s="8">
        <v>5262</v>
      </c>
      <c r="B5264" s="8" t="s">
        <v>10684</v>
      </c>
      <c r="C5264" s="8" t="s">
        <v>10685</v>
      </c>
      <c r="D5264" s="8" t="s">
        <v>10686</v>
      </c>
      <c r="E5264" s="13">
        <v>0</v>
      </c>
      <c r="F5264" s="14">
        <v>0</v>
      </c>
    </row>
    <row r="5265" spans="1:6" x14ac:dyDescent="0.3">
      <c r="A5265" s="8">
        <v>5263</v>
      </c>
      <c r="B5265" s="8" t="s">
        <v>10684</v>
      </c>
      <c r="C5265" s="8" t="s">
        <v>10687</v>
      </c>
      <c r="D5265" s="8" t="s">
        <v>10688</v>
      </c>
      <c r="E5265" s="13">
        <v>0</v>
      </c>
      <c r="F5265" s="14">
        <v>0</v>
      </c>
    </row>
    <row r="5266" spans="1:6" x14ac:dyDescent="0.3">
      <c r="A5266" s="8">
        <v>5264</v>
      </c>
      <c r="B5266" s="8" t="s">
        <v>10684</v>
      </c>
      <c r="C5266" s="8" t="s">
        <v>10689</v>
      </c>
      <c r="D5266" s="8" t="s">
        <v>10690</v>
      </c>
      <c r="E5266" s="13">
        <v>0</v>
      </c>
      <c r="F5266" s="14">
        <v>0</v>
      </c>
    </row>
    <row r="5267" spans="1:6" x14ac:dyDescent="0.3">
      <c r="A5267" s="8">
        <v>5265</v>
      </c>
      <c r="B5267" s="8" t="s">
        <v>10684</v>
      </c>
      <c r="C5267" s="8" t="s">
        <v>10691</v>
      </c>
      <c r="D5267" s="8" t="s">
        <v>10692</v>
      </c>
      <c r="E5267" s="13">
        <v>0</v>
      </c>
      <c r="F5267" s="14">
        <v>0</v>
      </c>
    </row>
    <row r="5268" spans="1:6" x14ac:dyDescent="0.3">
      <c r="A5268" s="8">
        <v>5266</v>
      </c>
      <c r="B5268" s="8" t="s">
        <v>10684</v>
      </c>
      <c r="C5268" s="8" t="s">
        <v>10693</v>
      </c>
      <c r="D5268" s="8" t="s">
        <v>10694</v>
      </c>
      <c r="E5268" s="13">
        <v>0</v>
      </c>
      <c r="F5268" s="14">
        <v>0</v>
      </c>
    </row>
    <row r="5269" spans="1:6" x14ac:dyDescent="0.3">
      <c r="A5269" s="8">
        <v>5267</v>
      </c>
      <c r="B5269" s="8" t="s">
        <v>10684</v>
      </c>
      <c r="C5269" s="8" t="s">
        <v>10695</v>
      </c>
      <c r="D5269" s="8" t="s">
        <v>10696</v>
      </c>
      <c r="E5269" s="13">
        <v>0</v>
      </c>
      <c r="F5269" s="14">
        <v>0</v>
      </c>
    </row>
    <row r="5270" spans="1:6" x14ac:dyDescent="0.3">
      <c r="A5270" s="8">
        <v>5268</v>
      </c>
      <c r="B5270" s="8" t="s">
        <v>10697</v>
      </c>
      <c r="C5270" s="8" t="s">
        <v>10698</v>
      </c>
      <c r="D5270" s="8" t="s">
        <v>10699</v>
      </c>
      <c r="E5270" s="13">
        <v>190000</v>
      </c>
      <c r="F5270" s="14">
        <v>379630</v>
      </c>
    </row>
    <row r="5271" spans="1:6" x14ac:dyDescent="0.3">
      <c r="A5271" s="8">
        <v>5269</v>
      </c>
      <c r="B5271" s="8" t="s">
        <v>10697</v>
      </c>
      <c r="C5271" s="8" t="s">
        <v>10700</v>
      </c>
      <c r="D5271" s="8" t="s">
        <v>10701</v>
      </c>
      <c r="E5271" s="13">
        <v>33000</v>
      </c>
      <c r="F5271" s="14">
        <v>66667</v>
      </c>
    </row>
    <row r="5272" spans="1:6" x14ac:dyDescent="0.3">
      <c r="A5272" s="8">
        <v>5270</v>
      </c>
      <c r="B5272" s="8" t="s">
        <v>7694</v>
      </c>
      <c r="C5272" s="8" t="s">
        <v>10702</v>
      </c>
      <c r="D5272" s="8" t="s">
        <v>10703</v>
      </c>
      <c r="E5272" s="13">
        <v>140000</v>
      </c>
      <c r="F5272" s="14">
        <v>279630</v>
      </c>
    </row>
    <row r="5273" spans="1:6" x14ac:dyDescent="0.3">
      <c r="A5273" s="8">
        <v>5271</v>
      </c>
      <c r="B5273" s="8" t="s">
        <v>7694</v>
      </c>
      <c r="C5273" s="8" t="s">
        <v>10704</v>
      </c>
      <c r="D5273" s="8" t="s">
        <v>10705</v>
      </c>
      <c r="E5273" s="13">
        <v>1000000</v>
      </c>
      <c r="F5273" s="14">
        <v>2000000</v>
      </c>
    </row>
    <row r="5274" spans="1:6" x14ac:dyDescent="0.3">
      <c r="A5274" s="8">
        <v>5272</v>
      </c>
      <c r="B5274" s="8" t="s">
        <v>7694</v>
      </c>
      <c r="C5274" s="8" t="s">
        <v>10706</v>
      </c>
      <c r="D5274" s="8" t="s">
        <v>10707</v>
      </c>
      <c r="E5274" s="13">
        <v>2000000</v>
      </c>
      <c r="F5274" s="14">
        <v>4000000</v>
      </c>
    </row>
    <row r="5275" spans="1:6" x14ac:dyDescent="0.3">
      <c r="A5275" s="8">
        <v>5273</v>
      </c>
      <c r="B5275" s="8" t="s">
        <v>7694</v>
      </c>
      <c r="C5275" s="8" t="s">
        <v>10708</v>
      </c>
      <c r="D5275" s="8" t="s">
        <v>10709</v>
      </c>
      <c r="E5275" s="13">
        <v>217600</v>
      </c>
      <c r="F5275" s="14">
        <v>435455</v>
      </c>
    </row>
    <row r="5276" spans="1:6" x14ac:dyDescent="0.3">
      <c r="A5276" s="8">
        <v>5274</v>
      </c>
      <c r="B5276" s="8" t="s">
        <v>7694</v>
      </c>
      <c r="C5276" s="8" t="s">
        <v>10710</v>
      </c>
      <c r="D5276" s="8" t="s">
        <v>10711</v>
      </c>
      <c r="E5276" s="13">
        <v>0</v>
      </c>
      <c r="F5276" s="14">
        <v>555455</v>
      </c>
    </row>
    <row r="5277" spans="1:6" x14ac:dyDescent="0.3">
      <c r="A5277" s="8">
        <v>5275</v>
      </c>
      <c r="B5277" s="8" t="s">
        <v>7694</v>
      </c>
      <c r="C5277" s="8" t="s">
        <v>10712</v>
      </c>
      <c r="D5277" s="8" t="s">
        <v>10713</v>
      </c>
      <c r="E5277" s="13">
        <v>0</v>
      </c>
      <c r="F5277" s="14">
        <v>0</v>
      </c>
    </row>
    <row r="5278" spans="1:6" x14ac:dyDescent="0.3">
      <c r="A5278" s="8">
        <v>5276</v>
      </c>
      <c r="B5278" s="8" t="s">
        <v>7694</v>
      </c>
      <c r="C5278" s="8" t="s">
        <v>10714</v>
      </c>
      <c r="D5278" s="8" t="s">
        <v>10715</v>
      </c>
      <c r="E5278" s="13">
        <v>0</v>
      </c>
      <c r="F5278" s="14">
        <v>0</v>
      </c>
    </row>
    <row r="5279" spans="1:6" x14ac:dyDescent="0.3">
      <c r="A5279" s="8">
        <v>5277</v>
      </c>
      <c r="B5279" s="8" t="s">
        <v>7694</v>
      </c>
      <c r="C5279" s="8" t="s">
        <v>10716</v>
      </c>
      <c r="D5279" s="8" t="s">
        <v>10717</v>
      </c>
      <c r="E5279" s="13">
        <v>0</v>
      </c>
      <c r="F5279" s="14">
        <v>518182</v>
      </c>
    </row>
    <row r="5280" spans="1:6" x14ac:dyDescent="0.3">
      <c r="A5280" s="8">
        <v>5278</v>
      </c>
      <c r="B5280" s="8" t="s">
        <v>7694</v>
      </c>
      <c r="C5280" s="8" t="s">
        <v>10718</v>
      </c>
      <c r="D5280" s="8" t="s">
        <v>10719</v>
      </c>
      <c r="E5280" s="13">
        <v>0</v>
      </c>
      <c r="F5280" s="14">
        <v>851818</v>
      </c>
    </row>
    <row r="5281" spans="1:6" x14ac:dyDescent="0.3">
      <c r="A5281" s="8">
        <v>5279</v>
      </c>
      <c r="B5281" s="8" t="s">
        <v>7694</v>
      </c>
      <c r="C5281" s="8" t="s">
        <v>10720</v>
      </c>
      <c r="D5281" s="8" t="s">
        <v>10721</v>
      </c>
      <c r="E5281" s="13">
        <v>333400</v>
      </c>
      <c r="F5281" s="14">
        <v>666364</v>
      </c>
    </row>
    <row r="5282" spans="1:6" x14ac:dyDescent="0.3">
      <c r="A5282" s="8">
        <v>5280</v>
      </c>
      <c r="B5282" s="8" t="s">
        <v>7694</v>
      </c>
      <c r="C5282" s="8" t="s">
        <v>10722</v>
      </c>
      <c r="D5282" s="8" t="s">
        <v>10723</v>
      </c>
      <c r="E5282" s="13">
        <v>0</v>
      </c>
      <c r="F5282" s="14">
        <v>14040000</v>
      </c>
    </row>
    <row r="5283" spans="1:6" x14ac:dyDescent="0.3">
      <c r="A5283" s="8">
        <v>5281</v>
      </c>
      <c r="B5283" s="8" t="s">
        <v>7694</v>
      </c>
      <c r="C5283" s="8" t="s">
        <v>10724</v>
      </c>
      <c r="D5283" s="8" t="s">
        <v>10725</v>
      </c>
      <c r="E5283" s="13">
        <v>0</v>
      </c>
      <c r="F5283" s="14">
        <v>0</v>
      </c>
    </row>
    <row r="5284" spans="1:6" x14ac:dyDescent="0.3">
      <c r="A5284" s="8">
        <v>5282</v>
      </c>
      <c r="B5284" s="8" t="s">
        <v>7694</v>
      </c>
      <c r="C5284" s="8" t="s">
        <v>10726</v>
      </c>
      <c r="D5284" s="8" t="s">
        <v>10727</v>
      </c>
      <c r="E5284" s="13">
        <v>0</v>
      </c>
      <c r="F5284" s="14">
        <v>0</v>
      </c>
    </row>
    <row r="5285" spans="1:6" x14ac:dyDescent="0.3">
      <c r="A5285" s="8">
        <v>5283</v>
      </c>
      <c r="B5285" s="8" t="s">
        <v>7694</v>
      </c>
      <c r="C5285" s="8" t="s">
        <v>10728</v>
      </c>
      <c r="D5285" s="8" t="s">
        <v>10729</v>
      </c>
      <c r="E5285" s="13">
        <v>260000</v>
      </c>
      <c r="F5285" s="14">
        <v>520000</v>
      </c>
    </row>
    <row r="5286" spans="1:6" x14ac:dyDescent="0.3">
      <c r="A5286" s="8">
        <v>5284</v>
      </c>
      <c r="B5286" s="8" t="s">
        <v>7694</v>
      </c>
      <c r="C5286" s="8" t="s">
        <v>10730</v>
      </c>
      <c r="D5286" s="8" t="s">
        <v>10731</v>
      </c>
      <c r="E5286" s="13">
        <v>0</v>
      </c>
      <c r="F5286" s="14">
        <v>440000</v>
      </c>
    </row>
    <row r="5287" spans="1:6" x14ac:dyDescent="0.3">
      <c r="A5287" s="8">
        <v>5285</v>
      </c>
      <c r="B5287" s="8" t="s">
        <v>7694</v>
      </c>
      <c r="C5287" s="8" t="s">
        <v>10732</v>
      </c>
      <c r="D5287" s="8" t="s">
        <v>10733</v>
      </c>
      <c r="E5287" s="13">
        <v>37000</v>
      </c>
      <c r="F5287" s="14">
        <v>73636</v>
      </c>
    </row>
    <row r="5288" spans="1:6" x14ac:dyDescent="0.3">
      <c r="A5288" s="8">
        <v>5286</v>
      </c>
      <c r="B5288" s="8" t="s">
        <v>7694</v>
      </c>
      <c r="C5288" s="8" t="s">
        <v>10734</v>
      </c>
      <c r="D5288" s="8" t="s">
        <v>10735</v>
      </c>
      <c r="E5288" s="13">
        <v>0</v>
      </c>
      <c r="F5288" s="14">
        <v>0</v>
      </c>
    </row>
    <row r="5289" spans="1:6" x14ac:dyDescent="0.3">
      <c r="A5289" s="8">
        <v>5287</v>
      </c>
      <c r="B5289" s="8" t="s">
        <v>7694</v>
      </c>
      <c r="C5289" s="8" t="s">
        <v>10736</v>
      </c>
      <c r="D5289" s="8" t="s">
        <v>10737</v>
      </c>
      <c r="E5289" s="13">
        <v>270000</v>
      </c>
      <c r="F5289" s="14">
        <v>540000</v>
      </c>
    </row>
    <row r="5290" spans="1:6" x14ac:dyDescent="0.3">
      <c r="A5290" s="8">
        <v>5288</v>
      </c>
      <c r="B5290" s="8" t="s">
        <v>7694</v>
      </c>
      <c r="C5290" s="8" t="s">
        <v>10738</v>
      </c>
      <c r="D5290" s="8" t="s">
        <v>10739</v>
      </c>
      <c r="E5290" s="13">
        <v>0</v>
      </c>
      <c r="F5290" s="14">
        <v>0</v>
      </c>
    </row>
    <row r="5291" spans="1:6" x14ac:dyDescent="0.3">
      <c r="A5291" s="8">
        <v>5289</v>
      </c>
      <c r="B5291" s="8" t="s">
        <v>7694</v>
      </c>
      <c r="C5291" s="8" t="s">
        <v>10740</v>
      </c>
      <c r="D5291" s="8" t="s">
        <v>10741</v>
      </c>
      <c r="E5291" s="13">
        <v>0</v>
      </c>
      <c r="F5291" s="14">
        <v>453636</v>
      </c>
    </row>
    <row r="5292" spans="1:6" x14ac:dyDescent="0.3">
      <c r="A5292" s="8">
        <v>5290</v>
      </c>
      <c r="B5292" s="8" t="s">
        <v>7694</v>
      </c>
      <c r="C5292" s="8" t="s">
        <v>10742</v>
      </c>
      <c r="D5292" s="8" t="s">
        <v>10743</v>
      </c>
      <c r="E5292" s="13">
        <v>0</v>
      </c>
      <c r="F5292" s="14">
        <v>0</v>
      </c>
    </row>
    <row r="5293" spans="1:6" x14ac:dyDescent="0.3">
      <c r="A5293" s="8">
        <v>5291</v>
      </c>
      <c r="B5293" s="8" t="s">
        <v>7694</v>
      </c>
      <c r="C5293" s="8" t="s">
        <v>10744</v>
      </c>
      <c r="D5293" s="8" t="s">
        <v>10745</v>
      </c>
      <c r="E5293" s="13">
        <v>0</v>
      </c>
      <c r="F5293" s="14">
        <v>0</v>
      </c>
    </row>
    <row r="5294" spans="1:6" x14ac:dyDescent="0.3">
      <c r="A5294" s="8">
        <v>5292</v>
      </c>
      <c r="B5294" s="8" t="s">
        <v>7694</v>
      </c>
      <c r="C5294" s="8" t="s">
        <v>10746</v>
      </c>
      <c r="D5294" s="8" t="s">
        <v>10747</v>
      </c>
      <c r="E5294" s="13">
        <v>351900</v>
      </c>
      <c r="F5294" s="14">
        <v>703636</v>
      </c>
    </row>
    <row r="5295" spans="1:6" x14ac:dyDescent="0.3">
      <c r="A5295" s="8">
        <v>5293</v>
      </c>
      <c r="B5295" s="8" t="s">
        <v>7694</v>
      </c>
      <c r="C5295" s="8" t="s">
        <v>10748</v>
      </c>
      <c r="D5295" s="8" t="s">
        <v>10749</v>
      </c>
      <c r="E5295" s="13">
        <v>342600</v>
      </c>
      <c r="F5295" s="14">
        <v>685455</v>
      </c>
    </row>
    <row r="5296" spans="1:6" x14ac:dyDescent="0.3">
      <c r="A5296" s="8">
        <v>5294</v>
      </c>
      <c r="B5296" s="8" t="s">
        <v>4148</v>
      </c>
      <c r="C5296" s="8" t="s">
        <v>10750</v>
      </c>
      <c r="D5296" s="8" t="s">
        <v>10751</v>
      </c>
      <c r="E5296" s="13">
        <v>70100</v>
      </c>
      <c r="F5296" s="14">
        <v>139815</v>
      </c>
    </row>
    <row r="5297" spans="1:6" x14ac:dyDescent="0.3">
      <c r="A5297" s="8">
        <v>5295</v>
      </c>
      <c r="B5297" s="8" t="s">
        <v>4148</v>
      </c>
      <c r="C5297" s="8" t="s">
        <v>10752</v>
      </c>
      <c r="D5297" s="8" t="s">
        <v>10753</v>
      </c>
      <c r="E5297" s="13">
        <v>94600</v>
      </c>
      <c r="F5297" s="14">
        <v>188889</v>
      </c>
    </row>
    <row r="5298" spans="1:6" x14ac:dyDescent="0.3">
      <c r="A5298" s="8">
        <v>5296</v>
      </c>
      <c r="B5298" s="8" t="s">
        <v>4148</v>
      </c>
      <c r="C5298" s="8" t="s">
        <v>10754</v>
      </c>
      <c r="D5298" s="8" t="s">
        <v>10755</v>
      </c>
      <c r="E5298" s="13">
        <v>81200</v>
      </c>
      <c r="F5298" s="14">
        <v>162037</v>
      </c>
    </row>
    <row r="5299" spans="1:6" x14ac:dyDescent="0.3">
      <c r="A5299" s="8">
        <v>5297</v>
      </c>
      <c r="B5299" s="8" t="s">
        <v>4148</v>
      </c>
      <c r="C5299" s="8" t="s">
        <v>10756</v>
      </c>
      <c r="D5299" s="8" t="s">
        <v>10757</v>
      </c>
      <c r="E5299" s="13">
        <v>72700</v>
      </c>
      <c r="F5299" s="14">
        <v>145370</v>
      </c>
    </row>
    <row r="5300" spans="1:6" x14ac:dyDescent="0.3">
      <c r="A5300" s="8">
        <v>5298</v>
      </c>
      <c r="B5300" s="8" t="s">
        <v>4148</v>
      </c>
      <c r="C5300" s="8" t="s">
        <v>10758</v>
      </c>
      <c r="D5300" s="8" t="s">
        <v>10759</v>
      </c>
      <c r="E5300" s="13">
        <v>83800</v>
      </c>
      <c r="F5300" s="14">
        <v>167593</v>
      </c>
    </row>
    <row r="5301" spans="1:6" x14ac:dyDescent="0.3">
      <c r="A5301" s="8">
        <v>5299</v>
      </c>
      <c r="B5301" s="8" t="s">
        <v>4148</v>
      </c>
      <c r="C5301" s="8" t="s">
        <v>10760</v>
      </c>
      <c r="D5301" s="8" t="s">
        <v>10761</v>
      </c>
      <c r="E5301" s="13">
        <v>0</v>
      </c>
      <c r="F5301" s="14">
        <v>0</v>
      </c>
    </row>
    <row r="5302" spans="1:6" x14ac:dyDescent="0.3">
      <c r="A5302" s="8">
        <v>5300</v>
      </c>
      <c r="B5302" s="8" t="s">
        <v>4148</v>
      </c>
      <c r="C5302" s="8" t="s">
        <v>10762</v>
      </c>
      <c r="D5302" s="8" t="s">
        <v>10763</v>
      </c>
      <c r="E5302" s="13">
        <v>79500</v>
      </c>
      <c r="F5302" s="14">
        <v>159259</v>
      </c>
    </row>
    <row r="5303" spans="1:6" x14ac:dyDescent="0.3">
      <c r="A5303" s="8">
        <v>5301</v>
      </c>
      <c r="B5303" s="8" t="s">
        <v>4148</v>
      </c>
      <c r="C5303" s="8" t="s">
        <v>10764</v>
      </c>
      <c r="D5303" s="8" t="s">
        <v>10765</v>
      </c>
      <c r="E5303" s="13">
        <v>0</v>
      </c>
      <c r="F5303" s="14">
        <v>1720370</v>
      </c>
    </row>
    <row r="5304" spans="1:6" x14ac:dyDescent="0.3">
      <c r="A5304" s="8">
        <v>5302</v>
      </c>
      <c r="B5304" s="8" t="s">
        <v>4148</v>
      </c>
      <c r="C5304" s="8" t="s">
        <v>10766</v>
      </c>
      <c r="D5304" s="8" t="s">
        <v>10767</v>
      </c>
      <c r="E5304" s="13">
        <v>0</v>
      </c>
      <c r="F5304" s="14">
        <v>0</v>
      </c>
    </row>
    <row r="5305" spans="1:6" x14ac:dyDescent="0.3">
      <c r="A5305" s="8">
        <v>5303</v>
      </c>
      <c r="B5305" s="8" t="s">
        <v>4148</v>
      </c>
      <c r="C5305" s="8" t="s">
        <v>10768</v>
      </c>
      <c r="D5305" s="8" t="s">
        <v>10769</v>
      </c>
      <c r="E5305" s="13">
        <v>69200</v>
      </c>
      <c r="F5305" s="14">
        <v>137963</v>
      </c>
    </row>
    <row r="5306" spans="1:6" x14ac:dyDescent="0.3">
      <c r="A5306" s="8">
        <v>5304</v>
      </c>
      <c r="B5306" s="8" t="s">
        <v>4148</v>
      </c>
      <c r="C5306" s="8" t="s">
        <v>10770</v>
      </c>
      <c r="D5306" s="8" t="s">
        <v>10771</v>
      </c>
      <c r="E5306" s="13">
        <v>0</v>
      </c>
      <c r="F5306" s="14">
        <v>0</v>
      </c>
    </row>
    <row r="5307" spans="1:6" x14ac:dyDescent="0.3">
      <c r="A5307" s="8">
        <v>5305</v>
      </c>
      <c r="B5307" s="8" t="s">
        <v>4148</v>
      </c>
      <c r="C5307" s="8" t="s">
        <v>10772</v>
      </c>
      <c r="D5307" s="8" t="s">
        <v>10773</v>
      </c>
      <c r="E5307" s="13">
        <v>0</v>
      </c>
      <c r="F5307" s="14">
        <v>0</v>
      </c>
    </row>
    <row r="5308" spans="1:6" x14ac:dyDescent="0.3">
      <c r="A5308" s="8">
        <v>5306</v>
      </c>
      <c r="B5308" s="8" t="s">
        <v>4148</v>
      </c>
      <c r="C5308" s="8" t="s">
        <v>10774</v>
      </c>
      <c r="D5308" s="8" t="s">
        <v>10775</v>
      </c>
      <c r="E5308" s="13">
        <v>0</v>
      </c>
      <c r="F5308" s="14">
        <v>0</v>
      </c>
    </row>
    <row r="5309" spans="1:6" x14ac:dyDescent="0.3">
      <c r="A5309" s="8">
        <v>5307</v>
      </c>
      <c r="B5309" s="8" t="s">
        <v>4148</v>
      </c>
      <c r="C5309" s="8" t="s">
        <v>10776</v>
      </c>
      <c r="D5309" s="8" t="s">
        <v>10777</v>
      </c>
      <c r="E5309" s="13">
        <v>0</v>
      </c>
      <c r="F5309" s="14">
        <v>0</v>
      </c>
    </row>
    <row r="5310" spans="1:6" x14ac:dyDescent="0.3">
      <c r="A5310" s="8">
        <v>5308</v>
      </c>
      <c r="B5310" s="8" t="s">
        <v>4148</v>
      </c>
      <c r="C5310" s="8" t="s">
        <v>10778</v>
      </c>
      <c r="D5310" s="8" t="s">
        <v>10779</v>
      </c>
      <c r="E5310" s="13">
        <v>0</v>
      </c>
      <c r="F5310" s="14">
        <v>0</v>
      </c>
    </row>
    <row r="5311" spans="1:6" x14ac:dyDescent="0.3">
      <c r="A5311" s="8">
        <v>5309</v>
      </c>
      <c r="B5311" s="8" t="s">
        <v>4148</v>
      </c>
      <c r="C5311" s="8" t="s">
        <v>10780</v>
      </c>
      <c r="D5311" s="8" t="s">
        <v>10781</v>
      </c>
      <c r="E5311" s="13">
        <v>0</v>
      </c>
      <c r="F5311" s="14">
        <v>0</v>
      </c>
    </row>
    <row r="5312" spans="1:6" x14ac:dyDescent="0.3">
      <c r="A5312" s="8">
        <v>5310</v>
      </c>
      <c r="B5312" s="8" t="s">
        <v>4148</v>
      </c>
      <c r="C5312" s="8" t="s">
        <v>10782</v>
      </c>
      <c r="D5312" s="8" t="s">
        <v>10783</v>
      </c>
      <c r="E5312" s="13">
        <v>83800</v>
      </c>
      <c r="F5312" s="14">
        <v>167593</v>
      </c>
    </row>
    <row r="5313" spans="1:6" x14ac:dyDescent="0.3">
      <c r="A5313" s="8">
        <v>5311</v>
      </c>
      <c r="B5313" s="8" t="s">
        <v>4148</v>
      </c>
      <c r="C5313" s="8" t="s">
        <v>10784</v>
      </c>
      <c r="D5313" s="8" t="s">
        <v>10785</v>
      </c>
      <c r="E5313" s="13">
        <v>0</v>
      </c>
      <c r="F5313" s="14">
        <v>0</v>
      </c>
    </row>
    <row r="5314" spans="1:6" x14ac:dyDescent="0.3">
      <c r="A5314" s="8">
        <v>5312</v>
      </c>
      <c r="B5314" s="8" t="s">
        <v>4148</v>
      </c>
      <c r="C5314" s="8" t="s">
        <v>10786</v>
      </c>
      <c r="D5314" s="8" t="s">
        <v>10787</v>
      </c>
      <c r="E5314" s="13">
        <v>72700</v>
      </c>
      <c r="F5314" s="14">
        <v>145370</v>
      </c>
    </row>
    <row r="5315" spans="1:6" x14ac:dyDescent="0.3">
      <c r="A5315" s="8">
        <v>5313</v>
      </c>
      <c r="B5315" s="8" t="s">
        <v>4148</v>
      </c>
      <c r="C5315" s="8" t="s">
        <v>10788</v>
      </c>
      <c r="D5315" s="8" t="s">
        <v>10789</v>
      </c>
      <c r="E5315" s="13">
        <v>72700</v>
      </c>
      <c r="F5315" s="14">
        <v>145370</v>
      </c>
    </row>
    <row r="5316" spans="1:6" x14ac:dyDescent="0.3">
      <c r="A5316" s="8">
        <v>5314</v>
      </c>
      <c r="B5316" s="8" t="s">
        <v>4148</v>
      </c>
      <c r="C5316" s="8" t="s">
        <v>10790</v>
      </c>
      <c r="D5316" s="8" t="s">
        <v>10791</v>
      </c>
      <c r="E5316" s="13">
        <v>0</v>
      </c>
      <c r="F5316" s="14">
        <v>0</v>
      </c>
    </row>
    <row r="5317" spans="1:6" x14ac:dyDescent="0.3">
      <c r="A5317" s="8">
        <v>5315</v>
      </c>
      <c r="B5317" s="8" t="s">
        <v>4148</v>
      </c>
      <c r="C5317" s="8" t="s">
        <v>10792</v>
      </c>
      <c r="D5317" s="8" t="s">
        <v>10793</v>
      </c>
      <c r="E5317" s="13">
        <v>0</v>
      </c>
      <c r="F5317" s="14">
        <v>0</v>
      </c>
    </row>
    <row r="5318" spans="1:6" x14ac:dyDescent="0.3">
      <c r="A5318" s="8">
        <v>5316</v>
      </c>
      <c r="B5318" s="8" t="s">
        <v>7355</v>
      </c>
      <c r="C5318" s="8" t="s">
        <v>10794</v>
      </c>
      <c r="D5318" s="8" t="s">
        <v>10795</v>
      </c>
      <c r="E5318" s="13">
        <v>246000</v>
      </c>
      <c r="F5318" s="14">
        <v>444000</v>
      </c>
    </row>
    <row r="5319" spans="1:6" x14ac:dyDescent="0.3">
      <c r="A5319" s="8">
        <v>5317</v>
      </c>
      <c r="B5319" s="8" t="s">
        <v>7355</v>
      </c>
      <c r="C5319" s="8" t="s">
        <v>10796</v>
      </c>
      <c r="D5319" s="8" t="s">
        <v>10797</v>
      </c>
      <c r="E5319" s="13">
        <v>376000</v>
      </c>
      <c r="F5319" s="14">
        <v>646000</v>
      </c>
    </row>
    <row r="5320" spans="1:6" x14ac:dyDescent="0.3">
      <c r="A5320" s="8">
        <v>5318</v>
      </c>
      <c r="B5320" s="8" t="s">
        <v>7355</v>
      </c>
      <c r="C5320" s="8" t="s">
        <v>10798</v>
      </c>
      <c r="D5320" s="8" t="s">
        <v>10799</v>
      </c>
      <c r="E5320" s="13">
        <v>0</v>
      </c>
      <c r="F5320" s="14">
        <v>0</v>
      </c>
    </row>
    <row r="5321" spans="1:6" x14ac:dyDescent="0.3">
      <c r="A5321" s="8">
        <v>5319</v>
      </c>
      <c r="B5321" s="8" t="s">
        <v>7355</v>
      </c>
      <c r="C5321" s="8" t="s">
        <v>10800</v>
      </c>
      <c r="D5321" s="8" t="s">
        <v>10801</v>
      </c>
      <c r="E5321" s="13">
        <v>0</v>
      </c>
      <c r="F5321" s="14">
        <v>0</v>
      </c>
    </row>
    <row r="5322" spans="1:6" x14ac:dyDescent="0.3">
      <c r="A5322" s="8">
        <v>5320</v>
      </c>
      <c r="B5322" s="8" t="s">
        <v>7355</v>
      </c>
      <c r="C5322" s="8" t="s">
        <v>10802</v>
      </c>
      <c r="D5322" s="8" t="s">
        <v>10803</v>
      </c>
      <c r="E5322" s="13">
        <v>0</v>
      </c>
      <c r="F5322" s="14">
        <v>0</v>
      </c>
    </row>
    <row r="5323" spans="1:6" x14ac:dyDescent="0.3">
      <c r="A5323" s="8">
        <v>5321</v>
      </c>
      <c r="B5323" s="8" t="s">
        <v>7355</v>
      </c>
      <c r="C5323" s="8" t="s">
        <v>10804</v>
      </c>
      <c r="D5323" s="8" t="s">
        <v>10805</v>
      </c>
      <c r="E5323" s="13">
        <v>231000</v>
      </c>
      <c r="F5323" s="14">
        <v>462037</v>
      </c>
    </row>
    <row r="5324" spans="1:6" x14ac:dyDescent="0.3">
      <c r="A5324" s="8">
        <v>5322</v>
      </c>
      <c r="B5324" s="8" t="s">
        <v>7355</v>
      </c>
      <c r="C5324" s="8" t="s">
        <v>10806</v>
      </c>
      <c r="D5324" s="8" t="s">
        <v>10807</v>
      </c>
      <c r="E5324" s="13">
        <v>120400</v>
      </c>
      <c r="F5324" s="14">
        <v>240741</v>
      </c>
    </row>
    <row r="5325" spans="1:6" x14ac:dyDescent="0.3">
      <c r="A5325" s="8">
        <v>5323</v>
      </c>
      <c r="B5325" s="8" t="s">
        <v>7355</v>
      </c>
      <c r="C5325" s="8" t="s">
        <v>10808</v>
      </c>
      <c r="D5325" s="8" t="s">
        <v>10809</v>
      </c>
      <c r="E5325" s="13">
        <v>130000</v>
      </c>
      <c r="F5325" s="14">
        <v>260185</v>
      </c>
    </row>
    <row r="5326" spans="1:6" x14ac:dyDescent="0.3">
      <c r="A5326" s="8">
        <v>5324</v>
      </c>
      <c r="B5326" s="8" t="s">
        <v>7355</v>
      </c>
      <c r="C5326" s="8" t="s">
        <v>10810</v>
      </c>
      <c r="D5326" s="8" t="s">
        <v>10811</v>
      </c>
      <c r="E5326" s="13">
        <v>0</v>
      </c>
      <c r="F5326" s="14">
        <v>0</v>
      </c>
    </row>
    <row r="5327" spans="1:6" x14ac:dyDescent="0.3">
      <c r="A5327" s="8">
        <v>5325</v>
      </c>
      <c r="B5327" s="8" t="s">
        <v>7355</v>
      </c>
      <c r="C5327" s="8" t="s">
        <v>10812</v>
      </c>
      <c r="D5327" s="8" t="s">
        <v>10813</v>
      </c>
      <c r="E5327" s="13">
        <v>0</v>
      </c>
      <c r="F5327" s="14">
        <v>0</v>
      </c>
    </row>
    <row r="5328" spans="1:6" x14ac:dyDescent="0.3">
      <c r="A5328" s="8">
        <v>5326</v>
      </c>
      <c r="B5328" s="8" t="s">
        <v>7355</v>
      </c>
      <c r="C5328" s="8" t="s">
        <v>10814</v>
      </c>
      <c r="D5328" s="8" t="s">
        <v>10815</v>
      </c>
      <c r="E5328" s="13">
        <v>0</v>
      </c>
      <c r="F5328" s="14">
        <v>0</v>
      </c>
    </row>
    <row r="5329" spans="1:6" x14ac:dyDescent="0.3">
      <c r="A5329" s="8">
        <v>5327</v>
      </c>
      <c r="B5329" s="8" t="s">
        <v>7355</v>
      </c>
      <c r="C5329" s="8" t="s">
        <v>10816</v>
      </c>
      <c r="D5329" s="8" t="s">
        <v>10817</v>
      </c>
      <c r="E5329" s="13">
        <v>319000</v>
      </c>
      <c r="F5329" s="14">
        <v>637963</v>
      </c>
    </row>
    <row r="5330" spans="1:6" x14ac:dyDescent="0.3">
      <c r="A5330" s="8">
        <v>5328</v>
      </c>
      <c r="B5330" s="8" t="s">
        <v>7355</v>
      </c>
      <c r="C5330" s="8" t="s">
        <v>10818</v>
      </c>
      <c r="D5330" s="8" t="s">
        <v>10819</v>
      </c>
      <c r="E5330" s="13">
        <v>0</v>
      </c>
      <c r="F5330" s="14">
        <v>0</v>
      </c>
    </row>
    <row r="5331" spans="1:6" x14ac:dyDescent="0.3">
      <c r="A5331" s="8">
        <v>5329</v>
      </c>
      <c r="B5331" s="8" t="s">
        <v>7368</v>
      </c>
      <c r="C5331" s="8" t="s">
        <v>10820</v>
      </c>
      <c r="D5331" s="8" t="s">
        <v>10821</v>
      </c>
      <c r="E5331" s="13">
        <v>62000</v>
      </c>
      <c r="F5331" s="14">
        <v>124000</v>
      </c>
    </row>
    <row r="5332" spans="1:6" x14ac:dyDescent="0.3">
      <c r="A5332" s="8">
        <v>5330</v>
      </c>
      <c r="B5332" s="8" t="s">
        <v>7368</v>
      </c>
      <c r="C5332" s="8" t="s">
        <v>10822</v>
      </c>
      <c r="D5332" s="8" t="s">
        <v>10823</v>
      </c>
      <c r="E5332" s="13">
        <v>30000</v>
      </c>
      <c r="F5332" s="14">
        <v>92000</v>
      </c>
    </row>
    <row r="5333" spans="1:6" x14ac:dyDescent="0.3">
      <c r="A5333" s="8">
        <v>5331</v>
      </c>
      <c r="B5333" s="8" t="s">
        <v>7368</v>
      </c>
      <c r="C5333" s="8" t="s">
        <v>10824</v>
      </c>
      <c r="D5333" s="8" t="s">
        <v>10825</v>
      </c>
      <c r="E5333" s="13">
        <v>44100</v>
      </c>
      <c r="F5333" s="14">
        <v>87963</v>
      </c>
    </row>
    <row r="5334" spans="1:6" x14ac:dyDescent="0.3">
      <c r="A5334" s="8">
        <v>5332</v>
      </c>
      <c r="B5334" s="8" t="s">
        <v>7368</v>
      </c>
      <c r="C5334" s="8" t="s">
        <v>10826</v>
      </c>
      <c r="D5334" s="8" t="s">
        <v>10827</v>
      </c>
      <c r="E5334" s="13">
        <v>0</v>
      </c>
      <c r="F5334" s="14">
        <v>264000</v>
      </c>
    </row>
    <row r="5335" spans="1:6" x14ac:dyDescent="0.3">
      <c r="A5335" s="8">
        <v>5333</v>
      </c>
      <c r="B5335" s="8" t="s">
        <v>7368</v>
      </c>
      <c r="C5335" s="8" t="s">
        <v>10828</v>
      </c>
      <c r="D5335" s="8" t="s">
        <v>10829</v>
      </c>
      <c r="E5335" s="13">
        <v>0</v>
      </c>
      <c r="F5335" s="14">
        <v>0</v>
      </c>
    </row>
    <row r="5336" spans="1:6" x14ac:dyDescent="0.3">
      <c r="A5336" s="8">
        <v>5334</v>
      </c>
      <c r="B5336" s="8" t="s">
        <v>7681</v>
      </c>
      <c r="C5336" s="8" t="s">
        <v>10830</v>
      </c>
      <c r="D5336" s="8" t="s">
        <v>10831</v>
      </c>
      <c r="E5336" s="13">
        <v>0</v>
      </c>
      <c r="F5336" s="14">
        <v>0</v>
      </c>
    </row>
    <row r="5337" spans="1:6" x14ac:dyDescent="0.3">
      <c r="A5337" s="8">
        <v>5335</v>
      </c>
      <c r="B5337" s="8" t="s">
        <v>7681</v>
      </c>
      <c r="C5337" s="8" t="s">
        <v>10832</v>
      </c>
      <c r="D5337" s="8" t="s">
        <v>10833</v>
      </c>
      <c r="E5337" s="13">
        <v>0</v>
      </c>
      <c r="F5337" s="14">
        <v>0</v>
      </c>
    </row>
    <row r="5338" spans="1:6" x14ac:dyDescent="0.3">
      <c r="A5338" s="8">
        <v>5336</v>
      </c>
      <c r="B5338" s="8" t="s">
        <v>7681</v>
      </c>
      <c r="C5338" s="8" t="s">
        <v>10834</v>
      </c>
      <c r="D5338" s="8" t="s">
        <v>10835</v>
      </c>
      <c r="E5338" s="13">
        <v>53000</v>
      </c>
      <c r="F5338" s="14">
        <v>106000</v>
      </c>
    </row>
    <row r="5339" spans="1:6" x14ac:dyDescent="0.3">
      <c r="A5339" s="8">
        <v>5337</v>
      </c>
      <c r="B5339" s="8" t="s">
        <v>7681</v>
      </c>
      <c r="C5339" s="8" t="s">
        <v>10836</v>
      </c>
      <c r="D5339" s="8" t="s">
        <v>10837</v>
      </c>
      <c r="E5339" s="13">
        <v>885000</v>
      </c>
      <c r="F5339" s="14">
        <v>1770000</v>
      </c>
    </row>
    <row r="5340" spans="1:6" x14ac:dyDescent="0.3">
      <c r="A5340" s="8">
        <v>5338</v>
      </c>
      <c r="B5340" s="8" t="s">
        <v>7681</v>
      </c>
      <c r="C5340" s="8" t="s">
        <v>10838</v>
      </c>
      <c r="D5340" s="8" t="s">
        <v>10839</v>
      </c>
      <c r="E5340" s="13">
        <v>302000</v>
      </c>
      <c r="F5340" s="14">
        <v>603704</v>
      </c>
    </row>
    <row r="5341" spans="1:6" x14ac:dyDescent="0.3">
      <c r="A5341" s="8">
        <v>5339</v>
      </c>
      <c r="B5341" s="8" t="s">
        <v>7681</v>
      </c>
      <c r="C5341" s="8" t="s">
        <v>10840</v>
      </c>
      <c r="D5341" s="8" t="s">
        <v>10841</v>
      </c>
      <c r="E5341" s="13">
        <v>0</v>
      </c>
      <c r="F5341" s="14">
        <v>0</v>
      </c>
    </row>
    <row r="5342" spans="1:6" x14ac:dyDescent="0.3">
      <c r="A5342" s="8">
        <v>5340</v>
      </c>
      <c r="B5342" s="8" t="s">
        <v>7681</v>
      </c>
      <c r="C5342" s="8" t="s">
        <v>10842</v>
      </c>
      <c r="D5342" s="8" t="s">
        <v>10843</v>
      </c>
      <c r="E5342" s="13">
        <v>0</v>
      </c>
      <c r="F5342" s="14">
        <v>0</v>
      </c>
    </row>
    <row r="5343" spans="1:6" x14ac:dyDescent="0.3">
      <c r="A5343" s="8">
        <v>5341</v>
      </c>
      <c r="B5343" s="8" t="s">
        <v>7368</v>
      </c>
      <c r="C5343" s="8" t="s">
        <v>10844</v>
      </c>
      <c r="D5343" s="8" t="s">
        <v>10845</v>
      </c>
      <c r="E5343" s="13">
        <v>0</v>
      </c>
      <c r="F5343" s="14">
        <v>0</v>
      </c>
    </row>
    <row r="5344" spans="1:6" x14ac:dyDescent="0.3">
      <c r="A5344" s="8">
        <v>5342</v>
      </c>
      <c r="B5344" s="8" t="s">
        <v>7681</v>
      </c>
      <c r="C5344" s="8" t="s">
        <v>10846</v>
      </c>
      <c r="D5344" s="8" t="s">
        <v>10847</v>
      </c>
      <c r="E5344" s="13">
        <v>0</v>
      </c>
      <c r="F5344" s="14">
        <v>0</v>
      </c>
    </row>
    <row r="5345" spans="1:6" x14ac:dyDescent="0.3">
      <c r="A5345" s="8">
        <v>5343</v>
      </c>
      <c r="B5345" s="8" t="s">
        <v>7681</v>
      </c>
      <c r="C5345" s="8" t="s">
        <v>10848</v>
      </c>
      <c r="D5345" s="8" t="s">
        <v>10849</v>
      </c>
      <c r="E5345" s="13">
        <v>0</v>
      </c>
      <c r="F5345" s="14">
        <v>0</v>
      </c>
    </row>
    <row r="5346" spans="1:6" x14ac:dyDescent="0.3">
      <c r="A5346" s="8">
        <v>5344</v>
      </c>
      <c r="B5346" s="8" t="s">
        <v>7681</v>
      </c>
      <c r="C5346" s="8" t="s">
        <v>10850</v>
      </c>
      <c r="D5346" s="8" t="s">
        <v>10851</v>
      </c>
      <c r="E5346" s="13">
        <v>0</v>
      </c>
      <c r="F5346" s="14">
        <v>0</v>
      </c>
    </row>
    <row r="5347" spans="1:6" x14ac:dyDescent="0.3">
      <c r="A5347" s="8">
        <v>5345</v>
      </c>
      <c r="B5347" s="8" t="s">
        <v>7681</v>
      </c>
      <c r="C5347" s="8" t="s">
        <v>10852</v>
      </c>
      <c r="D5347" s="8" t="s">
        <v>10853</v>
      </c>
      <c r="E5347" s="13">
        <v>0</v>
      </c>
      <c r="F5347" s="14">
        <v>0</v>
      </c>
    </row>
    <row r="5348" spans="1:6" x14ac:dyDescent="0.3">
      <c r="A5348" s="8">
        <v>5346</v>
      </c>
      <c r="B5348" s="8" t="s">
        <v>7681</v>
      </c>
      <c r="C5348" s="8" t="s">
        <v>10854</v>
      </c>
      <c r="D5348" s="8" t="s">
        <v>10855</v>
      </c>
      <c r="E5348" s="13">
        <v>0</v>
      </c>
      <c r="F5348" s="14">
        <v>0</v>
      </c>
    </row>
    <row r="5349" spans="1:6" x14ac:dyDescent="0.3">
      <c r="A5349" s="8">
        <v>5347</v>
      </c>
      <c r="B5349" s="8" t="s">
        <v>7694</v>
      </c>
      <c r="C5349" s="8" t="s">
        <v>10856</v>
      </c>
      <c r="D5349" s="8" t="s">
        <v>10857</v>
      </c>
      <c r="E5349" s="13">
        <v>532000</v>
      </c>
      <c r="F5349" s="14">
        <v>1063889</v>
      </c>
    </row>
    <row r="5350" spans="1:6" x14ac:dyDescent="0.3">
      <c r="A5350" s="8">
        <v>5348</v>
      </c>
      <c r="B5350" s="8" t="s">
        <v>7694</v>
      </c>
      <c r="C5350" s="8" t="s">
        <v>10858</v>
      </c>
      <c r="D5350" s="8" t="s">
        <v>10859</v>
      </c>
      <c r="E5350" s="13">
        <v>0</v>
      </c>
      <c r="F5350" s="14">
        <v>0</v>
      </c>
    </row>
    <row r="5351" spans="1:6" x14ac:dyDescent="0.3">
      <c r="A5351" s="8">
        <v>5349</v>
      </c>
      <c r="B5351" s="8" t="s">
        <v>7694</v>
      </c>
      <c r="C5351" s="8" t="s">
        <v>10860</v>
      </c>
      <c r="D5351" s="8" t="s">
        <v>10861</v>
      </c>
      <c r="E5351" s="13">
        <v>911000</v>
      </c>
      <c r="F5351" s="14">
        <v>1651852</v>
      </c>
    </row>
    <row r="5352" spans="1:6" x14ac:dyDescent="0.3">
      <c r="A5352" s="8">
        <v>5350</v>
      </c>
      <c r="B5352" s="8" t="s">
        <v>7694</v>
      </c>
      <c r="C5352" s="8" t="s">
        <v>10862</v>
      </c>
      <c r="D5352" s="8" t="s">
        <v>10863</v>
      </c>
      <c r="E5352" s="13">
        <v>0</v>
      </c>
      <c r="F5352" s="14">
        <v>2200000</v>
      </c>
    </row>
    <row r="5353" spans="1:6" x14ac:dyDescent="0.3">
      <c r="A5353" s="8">
        <v>5351</v>
      </c>
      <c r="B5353" s="8" t="s">
        <v>7694</v>
      </c>
      <c r="C5353" s="8" t="s">
        <v>10864</v>
      </c>
      <c r="D5353" s="8" t="s">
        <v>10865</v>
      </c>
      <c r="E5353" s="13">
        <v>606000</v>
      </c>
      <c r="F5353" s="14">
        <v>1043000</v>
      </c>
    </row>
    <row r="5354" spans="1:6" x14ac:dyDescent="0.3">
      <c r="A5354" s="8">
        <v>5352</v>
      </c>
      <c r="B5354" s="8" t="s">
        <v>7694</v>
      </c>
      <c r="C5354" s="8" t="s">
        <v>10866</v>
      </c>
      <c r="D5354" s="8" t="s">
        <v>10867</v>
      </c>
      <c r="E5354" s="13">
        <v>0</v>
      </c>
      <c r="F5354" s="14">
        <v>0</v>
      </c>
    </row>
    <row r="5355" spans="1:6" x14ac:dyDescent="0.3">
      <c r="A5355" s="8">
        <v>5353</v>
      </c>
      <c r="B5355" s="8" t="s">
        <v>7694</v>
      </c>
      <c r="C5355" s="8" t="s">
        <v>10868</v>
      </c>
      <c r="D5355" s="8" t="s">
        <v>10869</v>
      </c>
      <c r="E5355" s="13">
        <v>118000</v>
      </c>
      <c r="F5355" s="14">
        <v>236111</v>
      </c>
    </row>
    <row r="5356" spans="1:6" x14ac:dyDescent="0.3">
      <c r="A5356" s="8">
        <v>5354</v>
      </c>
      <c r="B5356" s="8" t="s">
        <v>7694</v>
      </c>
      <c r="C5356" s="8" t="s">
        <v>10870</v>
      </c>
      <c r="D5356" s="8" t="s">
        <v>10871</v>
      </c>
      <c r="E5356" s="13">
        <v>172000</v>
      </c>
      <c r="F5356" s="14">
        <v>343519</v>
      </c>
    </row>
    <row r="5357" spans="1:6" x14ac:dyDescent="0.3">
      <c r="A5357" s="8">
        <v>5355</v>
      </c>
      <c r="B5357" s="8" t="s">
        <v>7694</v>
      </c>
      <c r="C5357" s="8" t="s">
        <v>10872</v>
      </c>
      <c r="D5357" s="8" t="s">
        <v>10873</v>
      </c>
      <c r="E5357" s="13">
        <v>0</v>
      </c>
      <c r="F5357" s="14">
        <v>625455</v>
      </c>
    </row>
    <row r="5358" spans="1:6" x14ac:dyDescent="0.3">
      <c r="A5358" s="8">
        <v>5356</v>
      </c>
      <c r="B5358" s="8" t="s">
        <v>7694</v>
      </c>
      <c r="C5358" s="8" t="s">
        <v>10874</v>
      </c>
      <c r="D5358" s="8" t="s">
        <v>10875</v>
      </c>
      <c r="E5358" s="13">
        <v>0</v>
      </c>
      <c r="F5358" s="14">
        <v>2180000</v>
      </c>
    </row>
    <row r="5359" spans="1:6" x14ac:dyDescent="0.3">
      <c r="A5359" s="8">
        <v>5357</v>
      </c>
      <c r="B5359" s="8" t="s">
        <v>7694</v>
      </c>
      <c r="C5359" s="8" t="s">
        <v>10876</v>
      </c>
      <c r="D5359" s="8" t="s">
        <v>10877</v>
      </c>
      <c r="E5359" s="13">
        <v>0</v>
      </c>
      <c r="F5359" s="14">
        <v>0</v>
      </c>
    </row>
    <row r="5360" spans="1:6" x14ac:dyDescent="0.3">
      <c r="A5360" s="8">
        <v>5358</v>
      </c>
      <c r="B5360" s="8" t="s">
        <v>7694</v>
      </c>
      <c r="C5360" s="8" t="s">
        <v>10878</v>
      </c>
      <c r="D5360" s="8" t="s">
        <v>10879</v>
      </c>
      <c r="E5360" s="13">
        <v>0</v>
      </c>
      <c r="F5360" s="14">
        <v>520000</v>
      </c>
    </row>
    <row r="5361" spans="1:6" x14ac:dyDescent="0.3">
      <c r="A5361" s="8">
        <v>5359</v>
      </c>
      <c r="B5361" s="8" t="s">
        <v>7694</v>
      </c>
      <c r="C5361" s="8" t="s">
        <v>10880</v>
      </c>
      <c r="D5361" s="8" t="s">
        <v>10881</v>
      </c>
      <c r="E5361" s="13">
        <v>241000</v>
      </c>
      <c r="F5361" s="14">
        <v>482407</v>
      </c>
    </row>
    <row r="5362" spans="1:6" x14ac:dyDescent="0.3">
      <c r="A5362" s="8">
        <v>5360</v>
      </c>
      <c r="B5362" s="8" t="s">
        <v>7694</v>
      </c>
      <c r="C5362" s="8" t="s">
        <v>10882</v>
      </c>
      <c r="D5362" s="8" t="s">
        <v>10883</v>
      </c>
      <c r="E5362" s="13">
        <v>0</v>
      </c>
      <c r="F5362" s="14">
        <v>0</v>
      </c>
    </row>
    <row r="5363" spans="1:6" x14ac:dyDescent="0.3">
      <c r="A5363" s="8">
        <v>5361</v>
      </c>
      <c r="B5363" s="8" t="s">
        <v>7694</v>
      </c>
      <c r="C5363" s="8" t="s">
        <v>10884</v>
      </c>
      <c r="D5363" s="8" t="s">
        <v>10885</v>
      </c>
      <c r="E5363" s="13">
        <v>0</v>
      </c>
      <c r="F5363" s="14">
        <v>0</v>
      </c>
    </row>
    <row r="5364" spans="1:6" x14ac:dyDescent="0.3">
      <c r="A5364" s="8">
        <v>5362</v>
      </c>
      <c r="B5364" s="8" t="s">
        <v>7694</v>
      </c>
      <c r="C5364" s="8" t="s">
        <v>10886</v>
      </c>
      <c r="D5364" s="8" t="s">
        <v>10887</v>
      </c>
      <c r="E5364" s="13">
        <v>133000</v>
      </c>
      <c r="F5364" s="14">
        <v>265741</v>
      </c>
    </row>
    <row r="5365" spans="1:6" x14ac:dyDescent="0.3">
      <c r="A5365" s="8">
        <v>5363</v>
      </c>
      <c r="B5365" s="8" t="s">
        <v>7694</v>
      </c>
      <c r="C5365" s="8" t="s">
        <v>10888</v>
      </c>
      <c r="D5365" s="8" t="s">
        <v>10889</v>
      </c>
      <c r="E5365" s="13">
        <v>260000</v>
      </c>
      <c r="F5365" s="14">
        <v>520370</v>
      </c>
    </row>
    <row r="5366" spans="1:6" x14ac:dyDescent="0.3">
      <c r="A5366" s="8">
        <v>5364</v>
      </c>
      <c r="B5366" s="8" t="s">
        <v>7694</v>
      </c>
      <c r="C5366" s="8" t="s">
        <v>10890</v>
      </c>
      <c r="D5366" s="8" t="s">
        <v>10891</v>
      </c>
      <c r="E5366" s="13">
        <v>0</v>
      </c>
      <c r="F5366" s="14">
        <v>429091</v>
      </c>
    </row>
    <row r="5367" spans="1:6" x14ac:dyDescent="0.3">
      <c r="A5367" s="8">
        <v>5365</v>
      </c>
      <c r="B5367" s="8" t="s">
        <v>10697</v>
      </c>
      <c r="C5367" s="8" t="s">
        <v>10892</v>
      </c>
      <c r="D5367" s="8" t="s">
        <v>10893</v>
      </c>
      <c r="E5367" s="13">
        <v>0</v>
      </c>
      <c r="F5367" s="14">
        <v>0</v>
      </c>
    </row>
    <row r="5368" spans="1:6" x14ac:dyDescent="0.3">
      <c r="A5368" s="8">
        <v>5366</v>
      </c>
      <c r="B5368" s="8" t="s">
        <v>10697</v>
      </c>
      <c r="C5368" s="8" t="s">
        <v>10894</v>
      </c>
      <c r="D5368" s="8" t="s">
        <v>10895</v>
      </c>
      <c r="E5368" s="13">
        <v>0</v>
      </c>
      <c r="F5368" s="14">
        <v>0</v>
      </c>
    </row>
    <row r="5369" spans="1:6" x14ac:dyDescent="0.3">
      <c r="A5369" s="8">
        <v>5367</v>
      </c>
      <c r="B5369" s="8" t="s">
        <v>10697</v>
      </c>
      <c r="C5369" s="8" t="s">
        <v>10896</v>
      </c>
      <c r="D5369" s="8" t="s">
        <v>10897</v>
      </c>
      <c r="E5369" s="13">
        <v>33000</v>
      </c>
      <c r="F5369" s="14">
        <v>66667</v>
      </c>
    </row>
    <row r="5370" spans="1:6" x14ac:dyDescent="0.3">
      <c r="A5370" s="8">
        <v>5368</v>
      </c>
      <c r="B5370" s="8" t="s">
        <v>10697</v>
      </c>
      <c r="C5370" s="8" t="s">
        <v>10898</v>
      </c>
      <c r="D5370" s="8" t="s">
        <v>10899</v>
      </c>
      <c r="E5370" s="13">
        <v>0</v>
      </c>
      <c r="F5370" s="14">
        <v>0</v>
      </c>
    </row>
    <row r="5371" spans="1:6" x14ac:dyDescent="0.3">
      <c r="A5371" s="8">
        <v>5369</v>
      </c>
      <c r="B5371" s="8" t="s">
        <v>10697</v>
      </c>
      <c r="C5371" s="8" t="s">
        <v>10900</v>
      </c>
      <c r="D5371" s="8" t="s">
        <v>10901</v>
      </c>
      <c r="E5371" s="13">
        <v>0</v>
      </c>
      <c r="F5371" s="14">
        <v>0</v>
      </c>
    </row>
    <row r="5372" spans="1:6" x14ac:dyDescent="0.3">
      <c r="A5372" s="8">
        <v>5370</v>
      </c>
      <c r="B5372" s="8" t="s">
        <v>10697</v>
      </c>
      <c r="C5372" s="8" t="s">
        <v>10902</v>
      </c>
      <c r="D5372" s="8" t="s">
        <v>10903</v>
      </c>
      <c r="E5372" s="13">
        <v>1860000</v>
      </c>
      <c r="F5372" s="14">
        <v>2950000</v>
      </c>
    </row>
    <row r="5373" spans="1:6" x14ac:dyDescent="0.3">
      <c r="A5373" s="8">
        <v>5371</v>
      </c>
      <c r="B5373" s="8" t="s">
        <v>10697</v>
      </c>
      <c r="C5373" s="8" t="s">
        <v>10904</v>
      </c>
      <c r="D5373" s="8" t="s">
        <v>10905</v>
      </c>
      <c r="E5373" s="13">
        <v>0</v>
      </c>
      <c r="F5373" s="14">
        <v>0</v>
      </c>
    </row>
    <row r="5374" spans="1:6" x14ac:dyDescent="0.3">
      <c r="A5374" s="8">
        <v>5372</v>
      </c>
      <c r="B5374" s="8" t="s">
        <v>10697</v>
      </c>
      <c r="C5374" s="8" t="s">
        <v>10906</v>
      </c>
      <c r="D5374" s="8" t="s">
        <v>10907</v>
      </c>
      <c r="E5374" s="13">
        <v>0</v>
      </c>
      <c r="F5374" s="14">
        <v>0</v>
      </c>
    </row>
    <row r="5375" spans="1:6" x14ac:dyDescent="0.3">
      <c r="A5375" s="8">
        <v>5373</v>
      </c>
      <c r="B5375" s="8" t="s">
        <v>10697</v>
      </c>
      <c r="C5375" s="8" t="s">
        <v>10908</v>
      </c>
      <c r="D5375" s="8" t="s">
        <v>10909</v>
      </c>
      <c r="E5375" s="13">
        <v>0</v>
      </c>
      <c r="F5375" s="14">
        <v>0</v>
      </c>
    </row>
    <row r="5376" spans="1:6" x14ac:dyDescent="0.3">
      <c r="A5376" s="8">
        <v>5374</v>
      </c>
      <c r="B5376" s="8" t="s">
        <v>10697</v>
      </c>
      <c r="C5376" s="8" t="s">
        <v>10910</v>
      </c>
      <c r="D5376" s="8" t="s">
        <v>10911</v>
      </c>
      <c r="E5376" s="13">
        <v>0</v>
      </c>
      <c r="F5376" s="14">
        <v>0</v>
      </c>
    </row>
    <row r="5377" spans="1:6" x14ac:dyDescent="0.3">
      <c r="A5377" s="8">
        <v>5375</v>
      </c>
      <c r="B5377" s="8" t="s">
        <v>10697</v>
      </c>
      <c r="C5377" s="8" t="s">
        <v>10912</v>
      </c>
      <c r="D5377" s="8" t="s">
        <v>10913</v>
      </c>
      <c r="E5377" s="13">
        <v>22000</v>
      </c>
      <c r="F5377" s="14">
        <v>43519</v>
      </c>
    </row>
    <row r="5378" spans="1:6" x14ac:dyDescent="0.3">
      <c r="A5378" s="8">
        <v>5376</v>
      </c>
      <c r="B5378" s="8" t="s">
        <v>10697</v>
      </c>
      <c r="C5378" s="8" t="s">
        <v>10914</v>
      </c>
      <c r="D5378" s="8" t="s">
        <v>10915</v>
      </c>
      <c r="E5378" s="13">
        <v>33000</v>
      </c>
      <c r="F5378" s="14">
        <v>66667</v>
      </c>
    </row>
    <row r="5379" spans="1:6" x14ac:dyDescent="0.3">
      <c r="A5379" s="8">
        <v>5377</v>
      </c>
      <c r="B5379" s="8" t="s">
        <v>10697</v>
      </c>
      <c r="C5379" s="8" t="s">
        <v>10916</v>
      </c>
      <c r="D5379" s="8" t="s">
        <v>10917</v>
      </c>
      <c r="E5379" s="13">
        <v>230000</v>
      </c>
      <c r="F5379" s="14">
        <v>460000</v>
      </c>
    </row>
    <row r="5380" spans="1:6" x14ac:dyDescent="0.3">
      <c r="A5380" s="8">
        <v>5378</v>
      </c>
      <c r="B5380" s="8" t="s">
        <v>10697</v>
      </c>
      <c r="C5380" s="8" t="s">
        <v>10918</v>
      </c>
      <c r="D5380" s="8" t="s">
        <v>10919</v>
      </c>
      <c r="E5380" s="13">
        <v>0</v>
      </c>
      <c r="F5380" s="14">
        <v>0</v>
      </c>
    </row>
    <row r="5381" spans="1:6" x14ac:dyDescent="0.3">
      <c r="A5381" s="8">
        <v>5379</v>
      </c>
      <c r="B5381" s="8" t="s">
        <v>10697</v>
      </c>
      <c r="C5381" s="8" t="s">
        <v>10920</v>
      </c>
      <c r="D5381" s="8" t="s">
        <v>10921</v>
      </c>
      <c r="E5381" s="13">
        <v>0</v>
      </c>
      <c r="F5381" s="14">
        <v>0</v>
      </c>
    </row>
    <row r="5382" spans="1:6" x14ac:dyDescent="0.3">
      <c r="A5382" s="8">
        <v>5380</v>
      </c>
      <c r="B5382" s="8" t="s">
        <v>10697</v>
      </c>
      <c r="C5382" s="8" t="s">
        <v>10922</v>
      </c>
      <c r="D5382" s="8" t="s">
        <v>10923</v>
      </c>
      <c r="E5382" s="13">
        <v>111111</v>
      </c>
      <c r="F5382" s="14">
        <v>222222</v>
      </c>
    </row>
    <row r="5383" spans="1:6" x14ac:dyDescent="0.3">
      <c r="A5383" s="8">
        <v>5381</v>
      </c>
      <c r="B5383" s="8" t="s">
        <v>10697</v>
      </c>
      <c r="C5383" s="8" t="s">
        <v>10924</v>
      </c>
      <c r="D5383" s="8" t="s">
        <v>10925</v>
      </c>
      <c r="E5383" s="13">
        <v>0</v>
      </c>
      <c r="F5383" s="14">
        <v>0</v>
      </c>
    </row>
    <row r="5384" spans="1:6" x14ac:dyDescent="0.3">
      <c r="A5384" s="8">
        <v>5382</v>
      </c>
      <c r="B5384" s="8" t="s">
        <v>10697</v>
      </c>
      <c r="C5384" s="8" t="s">
        <v>10926</v>
      </c>
      <c r="D5384" s="8" t="s">
        <v>10927</v>
      </c>
      <c r="E5384" s="13">
        <v>0</v>
      </c>
      <c r="F5384" s="14">
        <v>0</v>
      </c>
    </row>
    <row r="5385" spans="1:6" x14ac:dyDescent="0.3">
      <c r="A5385" s="8">
        <v>5383</v>
      </c>
      <c r="B5385" s="8" t="s">
        <v>10928</v>
      </c>
      <c r="C5385" s="8" t="s">
        <v>10929</v>
      </c>
      <c r="D5385" s="8" t="s">
        <v>10930</v>
      </c>
      <c r="E5385" s="13">
        <v>0</v>
      </c>
      <c r="F5385" s="14">
        <v>0</v>
      </c>
    </row>
    <row r="5386" spans="1:6" x14ac:dyDescent="0.3">
      <c r="A5386" s="8">
        <v>5384</v>
      </c>
      <c r="B5386" s="8" t="s">
        <v>10928</v>
      </c>
      <c r="C5386" s="8" t="s">
        <v>10931</v>
      </c>
      <c r="D5386" s="8" t="s">
        <v>10932</v>
      </c>
      <c r="E5386" s="13">
        <v>0</v>
      </c>
      <c r="F5386" s="14">
        <v>0</v>
      </c>
    </row>
    <row r="5387" spans="1:6" x14ac:dyDescent="0.3">
      <c r="A5387" s="8">
        <v>5385</v>
      </c>
      <c r="B5387" s="8" t="s">
        <v>10928</v>
      </c>
      <c r="C5387" s="8" t="s">
        <v>10933</v>
      </c>
      <c r="D5387" s="8" t="s">
        <v>10934</v>
      </c>
      <c r="E5387" s="13">
        <v>0</v>
      </c>
      <c r="F5387" s="14">
        <v>0</v>
      </c>
    </row>
    <row r="5388" spans="1:6" x14ac:dyDescent="0.3">
      <c r="A5388" s="8">
        <v>5386</v>
      </c>
      <c r="B5388" s="8" t="s">
        <v>10928</v>
      </c>
      <c r="C5388" s="8" t="s">
        <v>10935</v>
      </c>
      <c r="D5388" s="8" t="s">
        <v>10936</v>
      </c>
      <c r="E5388" s="13">
        <v>0</v>
      </c>
      <c r="F5388" s="14">
        <v>0</v>
      </c>
    </row>
    <row r="5389" spans="1:6" x14ac:dyDescent="0.3">
      <c r="A5389" s="8">
        <v>5387</v>
      </c>
      <c r="B5389" s="8" t="s">
        <v>7694</v>
      </c>
      <c r="C5389" s="8" t="s">
        <v>10937</v>
      </c>
      <c r="D5389" s="8" t="s">
        <v>10938</v>
      </c>
      <c r="E5389" s="13">
        <v>299000</v>
      </c>
      <c r="F5389" s="14">
        <v>553704</v>
      </c>
    </row>
    <row r="5390" spans="1:6" x14ac:dyDescent="0.3">
      <c r="A5390" s="8">
        <v>5388</v>
      </c>
      <c r="B5390" s="8" t="s">
        <v>7694</v>
      </c>
      <c r="C5390" s="8" t="s">
        <v>10939</v>
      </c>
      <c r="D5390" s="8" t="s">
        <v>10940</v>
      </c>
      <c r="E5390" s="13">
        <v>113000</v>
      </c>
      <c r="F5390" s="14">
        <v>225926</v>
      </c>
    </row>
    <row r="5391" spans="1:6" x14ac:dyDescent="0.3">
      <c r="A5391" s="8">
        <v>5389</v>
      </c>
      <c r="B5391" s="8" t="s">
        <v>7694</v>
      </c>
      <c r="C5391" s="8" t="s">
        <v>10941</v>
      </c>
      <c r="D5391" s="8" t="s">
        <v>10942</v>
      </c>
      <c r="E5391" s="13">
        <v>0</v>
      </c>
      <c r="F5391" s="14">
        <v>1442727</v>
      </c>
    </row>
    <row r="5392" spans="1:6" x14ac:dyDescent="0.3">
      <c r="A5392" s="8">
        <v>5390</v>
      </c>
      <c r="B5392" s="8" t="s">
        <v>7694</v>
      </c>
      <c r="C5392" s="8" t="s">
        <v>10943</v>
      </c>
      <c r="D5392" s="8" t="s">
        <v>10944</v>
      </c>
      <c r="E5392" s="13">
        <v>0</v>
      </c>
      <c r="F5392" s="14">
        <v>0</v>
      </c>
    </row>
    <row r="5393" spans="1:6" x14ac:dyDescent="0.3">
      <c r="A5393" s="8">
        <v>5391</v>
      </c>
      <c r="B5393" s="8" t="s">
        <v>7694</v>
      </c>
      <c r="C5393" s="8" t="s">
        <v>10945</v>
      </c>
      <c r="D5393" s="8" t="s">
        <v>10946</v>
      </c>
      <c r="E5393" s="13">
        <v>0</v>
      </c>
      <c r="F5393" s="14">
        <v>1735455</v>
      </c>
    </row>
    <row r="5394" spans="1:6" x14ac:dyDescent="0.3">
      <c r="A5394" s="8">
        <v>5392</v>
      </c>
      <c r="B5394" s="8" t="s">
        <v>7694</v>
      </c>
      <c r="C5394" s="8" t="s">
        <v>10947</v>
      </c>
      <c r="D5394" s="8" t="s">
        <v>10948</v>
      </c>
      <c r="E5394" s="13">
        <v>0</v>
      </c>
      <c r="F5394" s="14">
        <v>0</v>
      </c>
    </row>
    <row r="5395" spans="1:6" x14ac:dyDescent="0.3">
      <c r="A5395" s="8">
        <v>5393</v>
      </c>
      <c r="B5395" s="8" t="s">
        <v>7694</v>
      </c>
      <c r="C5395" s="8" t="s">
        <v>10949</v>
      </c>
      <c r="D5395" s="8" t="s">
        <v>10950</v>
      </c>
      <c r="E5395" s="13">
        <v>0</v>
      </c>
      <c r="F5395" s="14">
        <v>0</v>
      </c>
    </row>
    <row r="5396" spans="1:6" x14ac:dyDescent="0.3">
      <c r="A5396" s="8">
        <v>5394</v>
      </c>
      <c r="B5396" s="8" t="s">
        <v>7694</v>
      </c>
      <c r="C5396" s="8" t="s">
        <v>10951</v>
      </c>
      <c r="D5396" s="8" t="s">
        <v>10952</v>
      </c>
      <c r="E5396" s="13">
        <v>72000</v>
      </c>
      <c r="F5396" s="14">
        <v>143519</v>
      </c>
    </row>
    <row r="5397" spans="1:6" x14ac:dyDescent="0.3">
      <c r="A5397" s="8">
        <v>5395</v>
      </c>
      <c r="B5397" s="8" t="s">
        <v>7694</v>
      </c>
      <c r="C5397" s="8" t="s">
        <v>10953</v>
      </c>
      <c r="D5397" s="8" t="s">
        <v>10954</v>
      </c>
      <c r="E5397" s="13">
        <v>0</v>
      </c>
      <c r="F5397" s="14">
        <v>0</v>
      </c>
    </row>
    <row r="5398" spans="1:6" x14ac:dyDescent="0.3">
      <c r="A5398" s="8">
        <v>5396</v>
      </c>
      <c r="B5398" s="8" t="s">
        <v>7694</v>
      </c>
      <c r="C5398" s="8" t="s">
        <v>10955</v>
      </c>
      <c r="D5398" s="8" t="s">
        <v>10956</v>
      </c>
      <c r="E5398" s="13">
        <v>0</v>
      </c>
      <c r="F5398" s="14">
        <v>0</v>
      </c>
    </row>
    <row r="5399" spans="1:6" x14ac:dyDescent="0.3">
      <c r="A5399" s="8">
        <v>5397</v>
      </c>
      <c r="B5399" s="8" t="s">
        <v>7694</v>
      </c>
      <c r="C5399" s="8" t="s">
        <v>10957</v>
      </c>
      <c r="D5399" s="8" t="s">
        <v>10958</v>
      </c>
      <c r="E5399" s="13">
        <v>365000</v>
      </c>
      <c r="F5399" s="14">
        <v>729630</v>
      </c>
    </row>
    <row r="5400" spans="1:6" x14ac:dyDescent="0.3">
      <c r="A5400" s="8">
        <v>5398</v>
      </c>
      <c r="B5400" s="8" t="s">
        <v>7694</v>
      </c>
      <c r="C5400" s="8" t="s">
        <v>10959</v>
      </c>
      <c r="D5400" s="8" t="s">
        <v>10960</v>
      </c>
      <c r="E5400" s="13">
        <v>2753000</v>
      </c>
      <c r="F5400" s="14">
        <v>4600000</v>
      </c>
    </row>
    <row r="5401" spans="1:6" x14ac:dyDescent="0.3">
      <c r="A5401" s="8">
        <v>5399</v>
      </c>
      <c r="B5401" s="8" t="s">
        <v>7694</v>
      </c>
      <c r="C5401" s="8" t="s">
        <v>10961</v>
      </c>
      <c r="D5401" s="8" t="s">
        <v>10962</v>
      </c>
      <c r="E5401" s="13">
        <v>0</v>
      </c>
      <c r="F5401" s="14">
        <v>0</v>
      </c>
    </row>
    <row r="5402" spans="1:6" x14ac:dyDescent="0.3">
      <c r="A5402" s="8">
        <v>5400</v>
      </c>
      <c r="B5402" s="8" t="s">
        <v>7694</v>
      </c>
      <c r="C5402" s="8" t="s">
        <v>10963</v>
      </c>
      <c r="D5402" s="8" t="s">
        <v>10964</v>
      </c>
      <c r="E5402" s="13">
        <v>0</v>
      </c>
      <c r="F5402" s="14">
        <v>814545</v>
      </c>
    </row>
    <row r="5403" spans="1:6" x14ac:dyDescent="0.3">
      <c r="A5403" s="8">
        <v>5401</v>
      </c>
      <c r="B5403" s="8" t="s">
        <v>7694</v>
      </c>
      <c r="C5403" s="8" t="s">
        <v>10965</v>
      </c>
      <c r="D5403" s="8" t="s">
        <v>10966</v>
      </c>
      <c r="E5403" s="13">
        <v>0</v>
      </c>
      <c r="F5403" s="14">
        <v>0</v>
      </c>
    </row>
    <row r="5404" spans="1:6" x14ac:dyDescent="0.3">
      <c r="A5404" s="8">
        <v>5402</v>
      </c>
      <c r="B5404" s="8" t="s">
        <v>7694</v>
      </c>
      <c r="C5404" s="8" t="s">
        <v>10967</v>
      </c>
      <c r="D5404" s="8" t="s">
        <v>10968</v>
      </c>
      <c r="E5404" s="13">
        <v>0</v>
      </c>
      <c r="F5404" s="14">
        <v>8000000</v>
      </c>
    </row>
    <row r="5405" spans="1:6" x14ac:dyDescent="0.3">
      <c r="A5405" s="8">
        <v>5403</v>
      </c>
      <c r="B5405" s="8" t="s">
        <v>7694</v>
      </c>
      <c r="C5405" s="8" t="s">
        <v>10969</v>
      </c>
      <c r="D5405" s="8" t="s">
        <v>10970</v>
      </c>
      <c r="E5405" s="13">
        <v>152800</v>
      </c>
      <c r="F5405" s="14">
        <v>305556</v>
      </c>
    </row>
    <row r="5406" spans="1:6" x14ac:dyDescent="0.3">
      <c r="A5406" s="8">
        <v>5404</v>
      </c>
      <c r="B5406" s="8" t="s">
        <v>7694</v>
      </c>
      <c r="C5406" s="8" t="s">
        <v>10971</v>
      </c>
      <c r="D5406" s="8" t="s">
        <v>10972</v>
      </c>
      <c r="E5406" s="13">
        <v>0</v>
      </c>
      <c r="F5406" s="14">
        <v>0</v>
      </c>
    </row>
    <row r="5407" spans="1:6" x14ac:dyDescent="0.3">
      <c r="A5407" s="8">
        <v>5405</v>
      </c>
      <c r="B5407" s="8" t="s">
        <v>7694</v>
      </c>
      <c r="C5407" s="8" t="s">
        <v>10973</v>
      </c>
      <c r="D5407" s="8" t="s">
        <v>10974</v>
      </c>
      <c r="E5407" s="13">
        <v>0</v>
      </c>
      <c r="F5407" s="14">
        <v>0</v>
      </c>
    </row>
    <row r="5408" spans="1:6" x14ac:dyDescent="0.3">
      <c r="A5408" s="8">
        <v>5406</v>
      </c>
      <c r="B5408" s="8" t="s">
        <v>7694</v>
      </c>
      <c r="C5408" s="8" t="s">
        <v>10975</v>
      </c>
      <c r="D5408" s="8" t="s">
        <v>10976</v>
      </c>
      <c r="E5408" s="13">
        <v>0</v>
      </c>
      <c r="F5408" s="14">
        <v>0</v>
      </c>
    </row>
    <row r="5409" spans="1:6" x14ac:dyDescent="0.3">
      <c r="A5409" s="8">
        <v>5407</v>
      </c>
      <c r="B5409" s="8" t="s">
        <v>7694</v>
      </c>
      <c r="C5409" s="8" t="s">
        <v>10977</v>
      </c>
      <c r="D5409" s="8" t="s">
        <v>10978</v>
      </c>
      <c r="E5409" s="13">
        <v>0</v>
      </c>
      <c r="F5409" s="14">
        <v>0</v>
      </c>
    </row>
    <row r="5410" spans="1:6" x14ac:dyDescent="0.3">
      <c r="A5410" s="8">
        <v>5408</v>
      </c>
      <c r="B5410" s="8" t="s">
        <v>7694</v>
      </c>
      <c r="C5410" s="8" t="s">
        <v>10979</v>
      </c>
      <c r="D5410" s="8" t="s">
        <v>10980</v>
      </c>
      <c r="E5410" s="13">
        <v>202000</v>
      </c>
      <c r="F5410" s="14">
        <v>403704</v>
      </c>
    </row>
    <row r="5411" spans="1:6" x14ac:dyDescent="0.3">
      <c r="A5411" s="8">
        <v>5409</v>
      </c>
      <c r="B5411" s="8" t="s">
        <v>7694</v>
      </c>
      <c r="C5411" s="8" t="s">
        <v>10981</v>
      </c>
      <c r="D5411" s="8" t="s">
        <v>10982</v>
      </c>
      <c r="E5411" s="13">
        <v>0</v>
      </c>
      <c r="F5411" s="14">
        <v>0</v>
      </c>
    </row>
    <row r="5412" spans="1:6" x14ac:dyDescent="0.3">
      <c r="A5412" s="8">
        <v>5410</v>
      </c>
      <c r="B5412" s="8" t="s">
        <v>7694</v>
      </c>
      <c r="C5412" s="8" t="s">
        <v>10983</v>
      </c>
      <c r="D5412" s="8" t="s">
        <v>10984</v>
      </c>
      <c r="E5412" s="13">
        <v>0</v>
      </c>
      <c r="F5412" s="14">
        <v>0</v>
      </c>
    </row>
    <row r="5413" spans="1:6" x14ac:dyDescent="0.3">
      <c r="A5413" s="8">
        <v>5411</v>
      </c>
      <c r="B5413" s="8" t="s">
        <v>7694</v>
      </c>
      <c r="C5413" s="8" t="s">
        <v>10985</v>
      </c>
      <c r="D5413" s="8" t="s">
        <v>10986</v>
      </c>
      <c r="E5413" s="13">
        <v>0</v>
      </c>
      <c r="F5413" s="14">
        <v>0</v>
      </c>
    </row>
    <row r="5414" spans="1:6" x14ac:dyDescent="0.3">
      <c r="A5414" s="8">
        <v>5412</v>
      </c>
      <c r="B5414" s="8" t="s">
        <v>7694</v>
      </c>
      <c r="C5414" s="8" t="s">
        <v>10987</v>
      </c>
      <c r="D5414" s="8" t="s">
        <v>10988</v>
      </c>
      <c r="E5414" s="13">
        <v>1050000</v>
      </c>
      <c r="F5414" s="14">
        <v>2100000</v>
      </c>
    </row>
    <row r="5415" spans="1:6" x14ac:dyDescent="0.3">
      <c r="A5415" s="8">
        <v>5413</v>
      </c>
      <c r="B5415" s="8" t="s">
        <v>7694</v>
      </c>
      <c r="C5415" s="8" t="s">
        <v>10989</v>
      </c>
      <c r="D5415" s="8" t="s">
        <v>10990</v>
      </c>
      <c r="E5415" s="13">
        <v>295000</v>
      </c>
      <c r="F5415" s="14">
        <v>590000</v>
      </c>
    </row>
    <row r="5416" spans="1:6" x14ac:dyDescent="0.3">
      <c r="A5416" s="8">
        <v>5414</v>
      </c>
      <c r="B5416" s="8" t="s">
        <v>7694</v>
      </c>
      <c r="C5416" s="8" t="s">
        <v>10991</v>
      </c>
      <c r="D5416" s="8" t="s">
        <v>10992</v>
      </c>
      <c r="E5416" s="13">
        <v>0</v>
      </c>
      <c r="F5416" s="14">
        <v>600000</v>
      </c>
    </row>
    <row r="5417" spans="1:6" x14ac:dyDescent="0.3">
      <c r="A5417" s="8">
        <v>5415</v>
      </c>
      <c r="B5417" s="8" t="s">
        <v>7694</v>
      </c>
      <c r="C5417" s="8" t="s">
        <v>10993</v>
      </c>
      <c r="D5417" s="8" t="s">
        <v>10994</v>
      </c>
      <c r="E5417" s="13">
        <v>0</v>
      </c>
      <c r="F5417" s="14">
        <v>0</v>
      </c>
    </row>
    <row r="5418" spans="1:6" x14ac:dyDescent="0.3">
      <c r="A5418" s="8">
        <v>5416</v>
      </c>
      <c r="B5418" s="8" t="s">
        <v>7694</v>
      </c>
      <c r="C5418" s="8" t="s">
        <v>10995</v>
      </c>
      <c r="D5418" s="8" t="s">
        <v>10996</v>
      </c>
      <c r="E5418" s="13">
        <v>0</v>
      </c>
      <c r="F5418" s="14">
        <v>0</v>
      </c>
    </row>
    <row r="5419" spans="1:6" x14ac:dyDescent="0.3">
      <c r="A5419" s="8">
        <v>5417</v>
      </c>
      <c r="B5419" s="8" t="s">
        <v>7694</v>
      </c>
      <c r="C5419" s="8" t="s">
        <v>10997</v>
      </c>
      <c r="D5419" s="8" t="s">
        <v>10998</v>
      </c>
      <c r="E5419" s="13">
        <v>0</v>
      </c>
      <c r="F5419" s="14">
        <v>0</v>
      </c>
    </row>
    <row r="5420" spans="1:6" x14ac:dyDescent="0.3">
      <c r="A5420" s="8">
        <v>5418</v>
      </c>
      <c r="B5420" s="8" t="s">
        <v>7694</v>
      </c>
      <c r="C5420" s="8" t="s">
        <v>10999</v>
      </c>
      <c r="D5420" s="8" t="s">
        <v>11000</v>
      </c>
      <c r="E5420" s="13">
        <v>0</v>
      </c>
      <c r="F5420" s="14">
        <v>520000</v>
      </c>
    </row>
    <row r="5421" spans="1:6" x14ac:dyDescent="0.3">
      <c r="A5421" s="8">
        <v>5419</v>
      </c>
      <c r="B5421" s="8" t="s">
        <v>7694</v>
      </c>
      <c r="C5421" s="8" t="s">
        <v>11001</v>
      </c>
      <c r="D5421" s="8" t="s">
        <v>11002</v>
      </c>
      <c r="E5421" s="13">
        <v>0</v>
      </c>
      <c r="F5421" s="14">
        <v>0</v>
      </c>
    </row>
    <row r="5422" spans="1:6" x14ac:dyDescent="0.3">
      <c r="A5422" s="8">
        <v>5420</v>
      </c>
      <c r="B5422" s="8" t="s">
        <v>7694</v>
      </c>
      <c r="C5422" s="8" t="s">
        <v>11003</v>
      </c>
      <c r="D5422" s="8" t="s">
        <v>11004</v>
      </c>
      <c r="E5422" s="13">
        <v>0</v>
      </c>
      <c r="F5422" s="14">
        <v>0</v>
      </c>
    </row>
    <row r="5423" spans="1:6" x14ac:dyDescent="0.3">
      <c r="A5423" s="8">
        <v>5421</v>
      </c>
      <c r="B5423" s="8" t="s">
        <v>7694</v>
      </c>
      <c r="C5423" s="8" t="s">
        <v>11005</v>
      </c>
      <c r="D5423" s="8" t="s">
        <v>11006</v>
      </c>
      <c r="E5423" s="13">
        <v>0</v>
      </c>
      <c r="F5423" s="14">
        <v>0</v>
      </c>
    </row>
    <row r="5424" spans="1:6" x14ac:dyDescent="0.3">
      <c r="A5424" s="8">
        <v>5422</v>
      </c>
      <c r="B5424" s="8" t="s">
        <v>7694</v>
      </c>
      <c r="C5424" s="8" t="s">
        <v>11007</v>
      </c>
      <c r="D5424" s="8" t="s">
        <v>11008</v>
      </c>
      <c r="E5424" s="13">
        <v>0</v>
      </c>
      <c r="F5424" s="14">
        <v>0</v>
      </c>
    </row>
    <row r="5425" spans="1:6" x14ac:dyDescent="0.3">
      <c r="A5425" s="8">
        <v>5423</v>
      </c>
      <c r="B5425" s="8" t="s">
        <v>7694</v>
      </c>
      <c r="C5425" s="8" t="s">
        <v>11009</v>
      </c>
      <c r="D5425" s="8" t="s">
        <v>11010</v>
      </c>
      <c r="E5425" s="13">
        <v>0</v>
      </c>
      <c r="F5425" s="14">
        <v>0</v>
      </c>
    </row>
    <row r="5426" spans="1:6" x14ac:dyDescent="0.3">
      <c r="A5426" s="8">
        <v>5424</v>
      </c>
      <c r="B5426" s="8" t="s">
        <v>7694</v>
      </c>
      <c r="C5426" s="8" t="s">
        <v>11011</v>
      </c>
      <c r="D5426" s="8" t="s">
        <v>11012</v>
      </c>
      <c r="E5426" s="13">
        <v>0</v>
      </c>
      <c r="F5426" s="14">
        <v>0</v>
      </c>
    </row>
    <row r="5427" spans="1:6" x14ac:dyDescent="0.3">
      <c r="A5427" s="8">
        <v>5425</v>
      </c>
      <c r="B5427" s="8" t="s">
        <v>7694</v>
      </c>
      <c r="C5427" s="8" t="s">
        <v>11013</v>
      </c>
      <c r="D5427" s="8" t="s">
        <v>11014</v>
      </c>
      <c r="E5427" s="13">
        <v>0</v>
      </c>
      <c r="F5427" s="14">
        <v>8000000</v>
      </c>
    </row>
    <row r="5428" spans="1:6" x14ac:dyDescent="0.3">
      <c r="A5428" s="8">
        <v>5426</v>
      </c>
      <c r="B5428" s="8" t="s">
        <v>7694</v>
      </c>
      <c r="C5428" s="8" t="s">
        <v>11015</v>
      </c>
      <c r="D5428" s="8" t="s">
        <v>11016</v>
      </c>
      <c r="E5428" s="13">
        <v>0</v>
      </c>
      <c r="F5428" s="14">
        <v>0</v>
      </c>
    </row>
    <row r="5429" spans="1:6" x14ac:dyDescent="0.3">
      <c r="A5429" s="8">
        <v>5427</v>
      </c>
      <c r="B5429" s="8" t="s">
        <v>7694</v>
      </c>
      <c r="C5429" s="8" t="s">
        <v>11017</v>
      </c>
      <c r="D5429" s="8" t="s">
        <v>11018</v>
      </c>
      <c r="E5429" s="13">
        <v>0</v>
      </c>
      <c r="F5429" s="14">
        <v>0</v>
      </c>
    </row>
    <row r="5430" spans="1:6" x14ac:dyDescent="0.3">
      <c r="A5430" s="8">
        <v>5428</v>
      </c>
      <c r="B5430" s="8" t="s">
        <v>7694</v>
      </c>
      <c r="C5430" s="8" t="s">
        <v>11019</v>
      </c>
      <c r="D5430" s="8" t="s">
        <v>11020</v>
      </c>
      <c r="E5430" s="13">
        <v>0</v>
      </c>
      <c r="F5430" s="14">
        <v>0</v>
      </c>
    </row>
    <row r="5431" spans="1:6" x14ac:dyDescent="0.3">
      <c r="A5431" s="8">
        <v>5429</v>
      </c>
      <c r="B5431" s="8" t="s">
        <v>7694</v>
      </c>
      <c r="C5431" s="8" t="s">
        <v>11021</v>
      </c>
      <c r="D5431" s="8" t="s">
        <v>11022</v>
      </c>
      <c r="E5431" s="13">
        <v>0</v>
      </c>
      <c r="F5431" s="14">
        <v>851818</v>
      </c>
    </row>
    <row r="5432" spans="1:6" x14ac:dyDescent="0.3">
      <c r="A5432" s="8">
        <v>5430</v>
      </c>
      <c r="B5432" s="8" t="s">
        <v>7694</v>
      </c>
      <c r="C5432" s="8" t="s">
        <v>11023</v>
      </c>
      <c r="D5432" s="8" t="s">
        <v>11024</v>
      </c>
      <c r="E5432" s="13">
        <v>370000</v>
      </c>
      <c r="F5432" s="14">
        <v>740909</v>
      </c>
    </row>
    <row r="5433" spans="1:6" x14ac:dyDescent="0.3">
      <c r="A5433" s="8">
        <v>5431</v>
      </c>
      <c r="B5433" s="8" t="s">
        <v>7694</v>
      </c>
      <c r="C5433" s="8" t="s">
        <v>11025</v>
      </c>
      <c r="D5433" s="8" t="s">
        <v>11026</v>
      </c>
      <c r="E5433" s="13">
        <v>0</v>
      </c>
      <c r="F5433" s="14">
        <v>0</v>
      </c>
    </row>
    <row r="5434" spans="1:6" x14ac:dyDescent="0.3">
      <c r="A5434" s="8">
        <v>5432</v>
      </c>
      <c r="B5434" s="8" t="s">
        <v>7694</v>
      </c>
      <c r="C5434" s="8" t="s">
        <v>11027</v>
      </c>
      <c r="D5434" s="8" t="s">
        <v>11028</v>
      </c>
      <c r="E5434" s="13">
        <v>480000</v>
      </c>
      <c r="F5434" s="14">
        <v>960185</v>
      </c>
    </row>
    <row r="5435" spans="1:6" x14ac:dyDescent="0.3">
      <c r="A5435" s="8">
        <v>5433</v>
      </c>
      <c r="B5435" s="8" t="s">
        <v>7694</v>
      </c>
      <c r="C5435" s="8" t="s">
        <v>11029</v>
      </c>
      <c r="D5435" s="8" t="s">
        <v>11030</v>
      </c>
      <c r="E5435" s="13">
        <v>26000</v>
      </c>
      <c r="F5435" s="14">
        <v>51818</v>
      </c>
    </row>
    <row r="5436" spans="1:6" x14ac:dyDescent="0.3">
      <c r="A5436" s="8">
        <v>5434</v>
      </c>
      <c r="B5436" s="8" t="s">
        <v>7694</v>
      </c>
      <c r="C5436" s="8" t="s">
        <v>11031</v>
      </c>
      <c r="D5436" s="8" t="s">
        <v>11032</v>
      </c>
      <c r="E5436" s="13">
        <v>37000</v>
      </c>
      <c r="F5436" s="14">
        <v>73636</v>
      </c>
    </row>
    <row r="5437" spans="1:6" x14ac:dyDescent="0.3">
      <c r="A5437" s="8">
        <v>5435</v>
      </c>
      <c r="B5437" s="8" t="s">
        <v>9478</v>
      </c>
      <c r="C5437" s="8" t="s">
        <v>11033</v>
      </c>
      <c r="D5437" s="8" t="s">
        <v>11034</v>
      </c>
      <c r="E5437" s="13">
        <v>0</v>
      </c>
      <c r="F5437" s="14">
        <v>0</v>
      </c>
    </row>
    <row r="5438" spans="1:6" x14ac:dyDescent="0.3">
      <c r="A5438" s="8">
        <v>5436</v>
      </c>
      <c r="B5438" s="8" t="s">
        <v>9478</v>
      </c>
      <c r="C5438" s="8" t="s">
        <v>11035</v>
      </c>
      <c r="D5438" s="8" t="s">
        <v>11036</v>
      </c>
      <c r="E5438" s="13">
        <v>0</v>
      </c>
      <c r="F5438" s="14">
        <v>0</v>
      </c>
    </row>
    <row r="5439" spans="1:6" x14ac:dyDescent="0.3">
      <c r="A5439" s="8">
        <v>5437</v>
      </c>
      <c r="B5439" s="8" t="s">
        <v>9478</v>
      </c>
      <c r="C5439" s="8" t="s">
        <v>11037</v>
      </c>
      <c r="D5439" s="8" t="s">
        <v>11038</v>
      </c>
      <c r="E5439" s="13">
        <v>0</v>
      </c>
      <c r="F5439" s="14">
        <v>0</v>
      </c>
    </row>
    <row r="5440" spans="1:6" x14ac:dyDescent="0.3">
      <c r="A5440" s="8">
        <v>5438</v>
      </c>
      <c r="B5440" s="8" t="s">
        <v>9478</v>
      </c>
      <c r="C5440" s="8" t="s">
        <v>11039</v>
      </c>
      <c r="D5440" s="8" t="s">
        <v>11040</v>
      </c>
      <c r="E5440" s="13">
        <v>0</v>
      </c>
      <c r="F5440" s="14">
        <v>0</v>
      </c>
    </row>
    <row r="5441" spans="1:6" x14ac:dyDescent="0.3">
      <c r="A5441" s="8">
        <v>5439</v>
      </c>
      <c r="B5441" s="8" t="s">
        <v>9478</v>
      </c>
      <c r="C5441" s="8" t="s">
        <v>11041</v>
      </c>
      <c r="D5441" s="8" t="s">
        <v>11042</v>
      </c>
      <c r="E5441" s="13">
        <v>0</v>
      </c>
      <c r="F5441" s="14">
        <v>0</v>
      </c>
    </row>
    <row r="5442" spans="1:6" x14ac:dyDescent="0.3">
      <c r="A5442" s="8">
        <v>5440</v>
      </c>
      <c r="B5442" s="8" t="s">
        <v>9478</v>
      </c>
      <c r="C5442" s="8" t="s">
        <v>11043</v>
      </c>
      <c r="D5442" s="8" t="s">
        <v>11044</v>
      </c>
      <c r="E5442" s="13">
        <v>0</v>
      </c>
      <c r="F5442" s="14">
        <v>0</v>
      </c>
    </row>
    <row r="5443" spans="1:6" x14ac:dyDescent="0.3">
      <c r="A5443" s="8">
        <v>5441</v>
      </c>
      <c r="B5443" s="8" t="s">
        <v>9478</v>
      </c>
      <c r="C5443" s="8" t="s">
        <v>11045</v>
      </c>
      <c r="D5443" s="8" t="s">
        <v>11046</v>
      </c>
      <c r="E5443" s="13">
        <v>0</v>
      </c>
      <c r="F5443" s="14">
        <v>0</v>
      </c>
    </row>
    <row r="5444" spans="1:6" x14ac:dyDescent="0.3">
      <c r="A5444" s="8">
        <v>5442</v>
      </c>
      <c r="B5444" s="8" t="s">
        <v>9478</v>
      </c>
      <c r="C5444" s="8" t="s">
        <v>11047</v>
      </c>
      <c r="D5444" s="8" t="s">
        <v>11048</v>
      </c>
      <c r="E5444" s="13">
        <v>0</v>
      </c>
      <c r="F5444" s="14">
        <v>0</v>
      </c>
    </row>
    <row r="5445" spans="1:6" x14ac:dyDescent="0.3">
      <c r="A5445" s="8">
        <v>5443</v>
      </c>
      <c r="B5445" s="8" t="s">
        <v>9478</v>
      </c>
      <c r="C5445" s="8" t="s">
        <v>11049</v>
      </c>
      <c r="D5445" s="8" t="s">
        <v>109</v>
      </c>
      <c r="E5445" s="13">
        <v>74000</v>
      </c>
      <c r="F5445" s="14">
        <v>148148</v>
      </c>
    </row>
    <row r="5446" spans="1:6" x14ac:dyDescent="0.3">
      <c r="A5446" s="8">
        <v>5444</v>
      </c>
      <c r="B5446" s="8" t="s">
        <v>9478</v>
      </c>
      <c r="C5446" s="8" t="s">
        <v>11050</v>
      </c>
      <c r="D5446" s="8" t="s">
        <v>93</v>
      </c>
      <c r="E5446" s="13">
        <v>45300</v>
      </c>
      <c r="F5446" s="14">
        <v>90556</v>
      </c>
    </row>
    <row r="5447" spans="1:6" x14ac:dyDescent="0.3">
      <c r="A5447" s="8">
        <v>5445</v>
      </c>
      <c r="B5447" s="8" t="s">
        <v>9478</v>
      </c>
      <c r="C5447" s="8" t="s">
        <v>11051</v>
      </c>
      <c r="D5447" s="8" t="s">
        <v>121</v>
      </c>
      <c r="E5447" s="13">
        <v>295000</v>
      </c>
      <c r="F5447" s="14">
        <v>589815</v>
      </c>
    </row>
    <row r="5448" spans="1:6" x14ac:dyDescent="0.3">
      <c r="A5448" s="8">
        <v>5446</v>
      </c>
      <c r="B5448" s="8" t="s">
        <v>9478</v>
      </c>
      <c r="C5448" s="8" t="s">
        <v>11052</v>
      </c>
      <c r="D5448" s="8" t="s">
        <v>11053</v>
      </c>
      <c r="E5448" s="13">
        <v>96000</v>
      </c>
      <c r="F5448" s="14">
        <v>191818</v>
      </c>
    </row>
    <row r="5449" spans="1:6" x14ac:dyDescent="0.3">
      <c r="A5449" s="8">
        <v>5447</v>
      </c>
      <c r="B5449" s="8" t="s">
        <v>9478</v>
      </c>
      <c r="C5449" s="8" t="s">
        <v>11054</v>
      </c>
      <c r="D5449" s="8" t="s">
        <v>11055</v>
      </c>
      <c r="E5449" s="13">
        <v>0</v>
      </c>
      <c r="F5449" s="14">
        <v>0</v>
      </c>
    </row>
    <row r="5450" spans="1:6" x14ac:dyDescent="0.3">
      <c r="A5450" s="8">
        <v>5448</v>
      </c>
      <c r="B5450" s="8" t="s">
        <v>9478</v>
      </c>
      <c r="C5450" s="8" t="s">
        <v>11056</v>
      </c>
      <c r="D5450" s="8" t="s">
        <v>124</v>
      </c>
      <c r="E5450" s="13">
        <v>135000</v>
      </c>
      <c r="F5450" s="14">
        <v>270370</v>
      </c>
    </row>
    <row r="5451" spans="1:6" x14ac:dyDescent="0.3">
      <c r="A5451" s="8">
        <v>5449</v>
      </c>
      <c r="B5451" s="8" t="s">
        <v>10667</v>
      </c>
      <c r="C5451" s="8" t="s">
        <v>11057</v>
      </c>
      <c r="D5451" s="8" t="s">
        <v>11058</v>
      </c>
      <c r="E5451" s="13">
        <v>0</v>
      </c>
      <c r="F5451" s="14">
        <v>0</v>
      </c>
    </row>
    <row r="5452" spans="1:6" x14ac:dyDescent="0.3">
      <c r="A5452" s="8">
        <v>5450</v>
      </c>
      <c r="B5452" s="8" t="s">
        <v>10667</v>
      </c>
      <c r="C5452" s="8" t="s">
        <v>11059</v>
      </c>
      <c r="D5452" s="8" t="s">
        <v>11060</v>
      </c>
      <c r="E5452" s="13">
        <v>0</v>
      </c>
      <c r="F5452" s="14">
        <v>0</v>
      </c>
    </row>
    <row r="5453" spans="1:6" x14ac:dyDescent="0.3">
      <c r="A5453" s="8">
        <v>5451</v>
      </c>
      <c r="B5453" s="8" t="s">
        <v>10667</v>
      </c>
      <c r="C5453" s="8" t="s">
        <v>11061</v>
      </c>
      <c r="D5453" s="8" t="s">
        <v>11062</v>
      </c>
      <c r="E5453" s="13">
        <v>0</v>
      </c>
      <c r="F5453" s="14">
        <v>0</v>
      </c>
    </row>
    <row r="5454" spans="1:6" x14ac:dyDescent="0.3">
      <c r="A5454" s="8">
        <v>5452</v>
      </c>
      <c r="B5454" s="8" t="s">
        <v>10667</v>
      </c>
      <c r="C5454" s="8" t="s">
        <v>11063</v>
      </c>
      <c r="D5454" s="8" t="s">
        <v>11064</v>
      </c>
      <c r="E5454" s="13">
        <v>0</v>
      </c>
      <c r="F5454" s="14">
        <v>0</v>
      </c>
    </row>
    <row r="5455" spans="1:6" x14ac:dyDescent="0.3">
      <c r="A5455" s="8">
        <v>5453</v>
      </c>
      <c r="B5455" s="8" t="s">
        <v>10667</v>
      </c>
      <c r="C5455" s="8" t="s">
        <v>11065</v>
      </c>
      <c r="D5455" s="8" t="s">
        <v>11066</v>
      </c>
      <c r="E5455" s="13">
        <v>0</v>
      </c>
      <c r="F5455" s="14">
        <v>0</v>
      </c>
    </row>
    <row r="5456" spans="1:6" x14ac:dyDescent="0.3">
      <c r="A5456" s="8">
        <v>5454</v>
      </c>
      <c r="B5456" s="8" t="s">
        <v>10667</v>
      </c>
      <c r="C5456" s="8" t="s">
        <v>11067</v>
      </c>
      <c r="D5456" s="8" t="s">
        <v>11068</v>
      </c>
      <c r="E5456" s="13">
        <v>0</v>
      </c>
      <c r="F5456" s="14">
        <v>0</v>
      </c>
    </row>
    <row r="5457" spans="1:6" x14ac:dyDescent="0.3">
      <c r="A5457" s="8">
        <v>5455</v>
      </c>
      <c r="B5457" s="8" t="s">
        <v>10667</v>
      </c>
      <c r="C5457" s="8" t="s">
        <v>11069</v>
      </c>
      <c r="D5457" s="8" t="s">
        <v>11070</v>
      </c>
      <c r="E5457" s="13">
        <v>0</v>
      </c>
      <c r="F5457" s="14">
        <v>0</v>
      </c>
    </row>
    <row r="5458" spans="1:6" x14ac:dyDescent="0.3">
      <c r="A5458" s="8">
        <v>5456</v>
      </c>
      <c r="B5458" s="8" t="s">
        <v>10667</v>
      </c>
      <c r="C5458" s="8" t="s">
        <v>11071</v>
      </c>
      <c r="D5458" s="8" t="s">
        <v>11072</v>
      </c>
      <c r="E5458" s="13">
        <v>0</v>
      </c>
      <c r="F5458" s="14">
        <v>0</v>
      </c>
    </row>
    <row r="5459" spans="1:6" x14ac:dyDescent="0.3">
      <c r="A5459" s="8">
        <v>5457</v>
      </c>
      <c r="B5459" s="8" t="s">
        <v>10667</v>
      </c>
      <c r="C5459" s="8" t="s">
        <v>11073</v>
      </c>
      <c r="D5459" s="8" t="s">
        <v>11074</v>
      </c>
      <c r="E5459" s="13">
        <v>0</v>
      </c>
      <c r="F5459" s="14">
        <v>0</v>
      </c>
    </row>
    <row r="5460" spans="1:6" x14ac:dyDescent="0.3">
      <c r="A5460" s="8">
        <v>5458</v>
      </c>
      <c r="B5460" s="8" t="s">
        <v>10684</v>
      </c>
      <c r="C5460" s="8" t="s">
        <v>11075</v>
      </c>
      <c r="D5460" s="8" t="s">
        <v>11076</v>
      </c>
      <c r="E5460" s="13">
        <v>0</v>
      </c>
      <c r="F5460" s="14">
        <v>0</v>
      </c>
    </row>
    <row r="5461" spans="1:6" x14ac:dyDescent="0.3">
      <c r="A5461" s="8">
        <v>5459</v>
      </c>
      <c r="B5461" s="8" t="s">
        <v>10684</v>
      </c>
      <c r="C5461" s="8" t="s">
        <v>11077</v>
      </c>
      <c r="D5461" s="8" t="s">
        <v>11078</v>
      </c>
      <c r="E5461" s="13">
        <v>0</v>
      </c>
      <c r="F5461" s="14">
        <v>0</v>
      </c>
    </row>
    <row r="5462" spans="1:6" x14ac:dyDescent="0.3">
      <c r="A5462" s="8">
        <v>5460</v>
      </c>
      <c r="B5462" s="8" t="s">
        <v>10684</v>
      </c>
      <c r="C5462" s="8" t="s">
        <v>11079</v>
      </c>
      <c r="D5462" s="8" t="s">
        <v>11080</v>
      </c>
      <c r="E5462" s="13">
        <v>0</v>
      </c>
      <c r="F5462" s="14">
        <v>0</v>
      </c>
    </row>
    <row r="5463" spans="1:6" x14ac:dyDescent="0.3">
      <c r="A5463" s="8">
        <v>5461</v>
      </c>
      <c r="B5463" s="8" t="s">
        <v>10684</v>
      </c>
      <c r="C5463" s="8" t="s">
        <v>11081</v>
      </c>
      <c r="D5463" s="8" t="s">
        <v>11082</v>
      </c>
      <c r="E5463" s="13">
        <v>0</v>
      </c>
      <c r="F5463" s="14">
        <v>0</v>
      </c>
    </row>
    <row r="5464" spans="1:6" x14ac:dyDescent="0.3">
      <c r="A5464" s="8">
        <v>5462</v>
      </c>
      <c r="B5464" s="8" t="s">
        <v>10684</v>
      </c>
      <c r="C5464" s="8" t="s">
        <v>11083</v>
      </c>
      <c r="D5464" s="8" t="s">
        <v>11084</v>
      </c>
      <c r="E5464" s="13">
        <v>0</v>
      </c>
      <c r="F5464" s="14">
        <v>0</v>
      </c>
    </row>
    <row r="5465" spans="1:6" x14ac:dyDescent="0.3">
      <c r="A5465" s="8">
        <v>5463</v>
      </c>
      <c r="B5465" s="8" t="s">
        <v>10684</v>
      </c>
      <c r="C5465" s="8" t="s">
        <v>11085</v>
      </c>
      <c r="D5465" s="8" t="s">
        <v>11086</v>
      </c>
      <c r="E5465" s="13">
        <v>0</v>
      </c>
      <c r="F5465" s="14">
        <v>0</v>
      </c>
    </row>
    <row r="5466" spans="1:6" x14ac:dyDescent="0.3">
      <c r="A5466" s="8">
        <v>5464</v>
      </c>
      <c r="B5466" s="8" t="s">
        <v>10684</v>
      </c>
      <c r="C5466" s="8" t="s">
        <v>11087</v>
      </c>
      <c r="D5466" s="8" t="s">
        <v>11088</v>
      </c>
      <c r="E5466" s="13">
        <v>0</v>
      </c>
      <c r="F5466" s="14">
        <v>0</v>
      </c>
    </row>
    <row r="5467" spans="1:6" x14ac:dyDescent="0.3">
      <c r="A5467" s="8">
        <v>5465</v>
      </c>
      <c r="B5467" s="8" t="s">
        <v>7694</v>
      </c>
      <c r="C5467" s="8" t="s">
        <v>11089</v>
      </c>
      <c r="D5467" s="8" t="s">
        <v>11090</v>
      </c>
      <c r="E5467" s="13">
        <v>0</v>
      </c>
      <c r="F5467" s="14">
        <v>0</v>
      </c>
    </row>
    <row r="5468" spans="1:6" x14ac:dyDescent="0.3">
      <c r="A5468" s="8">
        <v>5466</v>
      </c>
      <c r="B5468" s="8" t="s">
        <v>9463</v>
      </c>
      <c r="C5468" s="8" t="s">
        <v>11091</v>
      </c>
      <c r="D5468" s="8" t="s">
        <v>11092</v>
      </c>
      <c r="E5468" s="13">
        <v>0</v>
      </c>
      <c r="F5468" s="14">
        <v>24000</v>
      </c>
    </row>
    <row r="5469" spans="1:6" x14ac:dyDescent="0.3">
      <c r="A5469" s="8">
        <v>5467</v>
      </c>
      <c r="B5469" s="8" t="s">
        <v>9463</v>
      </c>
      <c r="C5469" s="8" t="s">
        <v>11093</v>
      </c>
      <c r="D5469" s="8" t="s">
        <v>11094</v>
      </c>
      <c r="E5469" s="13">
        <v>3870</v>
      </c>
      <c r="F5469" s="14">
        <v>6000</v>
      </c>
    </row>
    <row r="5470" spans="1:6" x14ac:dyDescent="0.3">
      <c r="A5470" s="8">
        <v>5468</v>
      </c>
      <c r="B5470" s="8" t="s">
        <v>9463</v>
      </c>
      <c r="C5470" s="8" t="s">
        <v>11095</v>
      </c>
      <c r="D5470" s="8" t="s">
        <v>11096</v>
      </c>
      <c r="E5470" s="13">
        <v>22000</v>
      </c>
      <c r="F5470" s="14">
        <v>44444</v>
      </c>
    </row>
    <row r="5471" spans="1:6" x14ac:dyDescent="0.3">
      <c r="A5471" s="8">
        <v>5469</v>
      </c>
      <c r="B5471" s="8" t="s">
        <v>9463</v>
      </c>
      <c r="C5471" s="8" t="s">
        <v>11097</v>
      </c>
      <c r="D5471" s="8" t="s">
        <v>11098</v>
      </c>
      <c r="E5471" s="13">
        <v>0</v>
      </c>
      <c r="F5471" s="14">
        <v>0</v>
      </c>
    </row>
    <row r="5472" spans="1:6" x14ac:dyDescent="0.3">
      <c r="A5472" s="8">
        <v>5470</v>
      </c>
      <c r="B5472" s="8" t="s">
        <v>9463</v>
      </c>
      <c r="C5472" s="8" t="s">
        <v>11099</v>
      </c>
      <c r="D5472" s="8" t="s">
        <v>11100</v>
      </c>
      <c r="E5472" s="13">
        <v>170000</v>
      </c>
      <c r="F5472" s="14">
        <v>339815</v>
      </c>
    </row>
    <row r="5473" spans="1:6" x14ac:dyDescent="0.3">
      <c r="A5473" s="8">
        <v>5471</v>
      </c>
      <c r="B5473" s="8" t="s">
        <v>9463</v>
      </c>
      <c r="C5473" s="8" t="s">
        <v>11101</v>
      </c>
      <c r="D5473" s="8" t="s">
        <v>11102</v>
      </c>
      <c r="E5473" s="13">
        <v>0</v>
      </c>
      <c r="F5473" s="14">
        <v>0</v>
      </c>
    </row>
    <row r="5474" spans="1:6" x14ac:dyDescent="0.3">
      <c r="A5474" s="8">
        <v>5472</v>
      </c>
      <c r="B5474" s="8" t="s">
        <v>9478</v>
      </c>
      <c r="C5474" s="8" t="s">
        <v>11103</v>
      </c>
      <c r="D5474" s="8" t="s">
        <v>32</v>
      </c>
      <c r="E5474" s="13">
        <v>86000</v>
      </c>
      <c r="F5474" s="14">
        <v>172222</v>
      </c>
    </row>
    <row r="5475" spans="1:6" x14ac:dyDescent="0.3">
      <c r="A5475" s="8">
        <v>5473</v>
      </c>
      <c r="B5475" s="8" t="s">
        <v>9478</v>
      </c>
      <c r="C5475" s="8" t="s">
        <v>11104</v>
      </c>
      <c r="D5475" s="8" t="s">
        <v>11105</v>
      </c>
      <c r="E5475" s="13">
        <v>0</v>
      </c>
      <c r="F5475" s="14">
        <v>0</v>
      </c>
    </row>
    <row r="5476" spans="1:6" x14ac:dyDescent="0.3">
      <c r="A5476" s="8">
        <v>5474</v>
      </c>
      <c r="B5476" s="8" t="s">
        <v>9478</v>
      </c>
      <c r="C5476" s="8" t="s">
        <v>11106</v>
      </c>
      <c r="D5476" s="8" t="s">
        <v>11107</v>
      </c>
      <c r="E5476" s="13">
        <v>0</v>
      </c>
      <c r="F5476" s="14">
        <v>0</v>
      </c>
    </row>
    <row r="5477" spans="1:6" x14ac:dyDescent="0.3">
      <c r="A5477" s="8">
        <v>5475</v>
      </c>
      <c r="B5477" s="8" t="s">
        <v>9478</v>
      </c>
      <c r="C5477" s="8" t="s">
        <v>11108</v>
      </c>
      <c r="D5477" s="8" t="s">
        <v>11109</v>
      </c>
      <c r="E5477" s="13">
        <v>0</v>
      </c>
      <c r="F5477" s="14">
        <v>0</v>
      </c>
    </row>
    <row r="5478" spans="1:6" x14ac:dyDescent="0.3">
      <c r="A5478" s="8">
        <v>5476</v>
      </c>
      <c r="B5478" s="8" t="s">
        <v>9478</v>
      </c>
      <c r="C5478" s="8" t="s">
        <v>11110</v>
      </c>
      <c r="D5478" s="8" t="s">
        <v>11111</v>
      </c>
      <c r="E5478" s="13">
        <v>0</v>
      </c>
      <c r="F5478" s="14">
        <v>0</v>
      </c>
    </row>
    <row r="5479" spans="1:6" x14ac:dyDescent="0.3">
      <c r="A5479" s="8">
        <v>5477</v>
      </c>
      <c r="B5479" s="8" t="s">
        <v>9478</v>
      </c>
      <c r="C5479" s="8" t="s">
        <v>11112</v>
      </c>
      <c r="D5479" s="8" t="s">
        <v>11113</v>
      </c>
      <c r="E5479" s="13">
        <v>0</v>
      </c>
      <c r="F5479" s="14">
        <v>0</v>
      </c>
    </row>
    <row r="5480" spans="1:6" x14ac:dyDescent="0.3">
      <c r="A5480" s="8">
        <v>5478</v>
      </c>
      <c r="B5480" s="8" t="s">
        <v>9478</v>
      </c>
      <c r="C5480" s="8" t="s">
        <v>11114</v>
      </c>
      <c r="D5480" s="8" t="s">
        <v>52</v>
      </c>
      <c r="E5480" s="13">
        <v>168000</v>
      </c>
      <c r="F5480" s="14">
        <v>336111</v>
      </c>
    </row>
    <row r="5481" spans="1:6" x14ac:dyDescent="0.3">
      <c r="A5481" s="8">
        <v>5479</v>
      </c>
      <c r="B5481" s="8" t="s">
        <v>9478</v>
      </c>
      <c r="C5481" s="8" t="s">
        <v>11115</v>
      </c>
      <c r="D5481" s="8" t="s">
        <v>11116</v>
      </c>
      <c r="E5481" s="13">
        <v>0</v>
      </c>
      <c r="F5481" s="14">
        <v>0</v>
      </c>
    </row>
    <row r="5482" spans="1:6" x14ac:dyDescent="0.3">
      <c r="A5482" s="8">
        <v>5480</v>
      </c>
      <c r="B5482" s="8" t="s">
        <v>9478</v>
      </c>
      <c r="C5482" s="8" t="s">
        <v>11117</v>
      </c>
      <c r="D5482" s="8" t="s">
        <v>11118</v>
      </c>
      <c r="E5482" s="13">
        <v>0</v>
      </c>
      <c r="F5482" s="14">
        <v>0</v>
      </c>
    </row>
    <row r="5483" spans="1:6" x14ac:dyDescent="0.3">
      <c r="A5483" s="8">
        <v>5481</v>
      </c>
      <c r="B5483" s="8" t="s">
        <v>9478</v>
      </c>
      <c r="C5483" s="8" t="s">
        <v>11119</v>
      </c>
      <c r="D5483" s="8" t="s">
        <v>11120</v>
      </c>
      <c r="E5483" s="13">
        <v>0</v>
      </c>
      <c r="F5483" s="14">
        <v>0</v>
      </c>
    </row>
    <row r="5484" spans="1:6" x14ac:dyDescent="0.3">
      <c r="A5484" s="8">
        <v>5482</v>
      </c>
      <c r="B5484" s="8" t="s">
        <v>9478</v>
      </c>
      <c r="C5484" s="8" t="s">
        <v>11121</v>
      </c>
      <c r="D5484" s="8" t="s">
        <v>11122</v>
      </c>
      <c r="E5484" s="13">
        <v>0</v>
      </c>
      <c r="F5484" s="14">
        <v>0</v>
      </c>
    </row>
    <row r="5485" spans="1:6" x14ac:dyDescent="0.3">
      <c r="A5485" s="8">
        <v>5483</v>
      </c>
      <c r="B5485" s="8" t="s">
        <v>9478</v>
      </c>
      <c r="C5485" s="8" t="s">
        <v>11123</v>
      </c>
      <c r="D5485" s="8" t="s">
        <v>85</v>
      </c>
      <c r="E5485" s="13">
        <v>67500</v>
      </c>
      <c r="F5485" s="14">
        <v>135185</v>
      </c>
    </row>
    <row r="5486" spans="1:6" x14ac:dyDescent="0.3">
      <c r="A5486" s="8">
        <v>5484</v>
      </c>
      <c r="B5486" s="8" t="s">
        <v>9478</v>
      </c>
      <c r="C5486" s="8" t="s">
        <v>11124</v>
      </c>
      <c r="D5486" s="8" t="s">
        <v>11125</v>
      </c>
      <c r="E5486" s="13">
        <v>0</v>
      </c>
      <c r="F5486" s="14">
        <v>0</v>
      </c>
    </row>
    <row r="5487" spans="1:6" x14ac:dyDescent="0.3">
      <c r="A5487" s="8">
        <v>5485</v>
      </c>
      <c r="B5487" s="8" t="s">
        <v>9478</v>
      </c>
      <c r="C5487" s="8" t="s">
        <v>11126</v>
      </c>
      <c r="D5487" s="8" t="s">
        <v>11127</v>
      </c>
      <c r="E5487" s="13">
        <v>0</v>
      </c>
      <c r="F5487" s="14">
        <v>0</v>
      </c>
    </row>
    <row r="5488" spans="1:6" x14ac:dyDescent="0.3">
      <c r="A5488" s="8">
        <v>5486</v>
      </c>
      <c r="B5488" s="8" t="s">
        <v>9478</v>
      </c>
      <c r="C5488" s="8" t="s">
        <v>11128</v>
      </c>
      <c r="D5488" s="8" t="s">
        <v>11129</v>
      </c>
      <c r="E5488" s="13">
        <v>0</v>
      </c>
      <c r="F5488" s="14">
        <v>0</v>
      </c>
    </row>
    <row r="5489" spans="1:6" x14ac:dyDescent="0.3">
      <c r="A5489" s="8">
        <v>5487</v>
      </c>
      <c r="B5489" s="8" t="s">
        <v>9478</v>
      </c>
      <c r="C5489" s="8" t="s">
        <v>11130</v>
      </c>
      <c r="D5489" s="8" t="s">
        <v>11131</v>
      </c>
      <c r="E5489" s="13">
        <v>0</v>
      </c>
      <c r="F5489" s="14">
        <v>0</v>
      </c>
    </row>
    <row r="5490" spans="1:6" x14ac:dyDescent="0.3">
      <c r="A5490" s="8">
        <v>5488</v>
      </c>
      <c r="B5490" s="8" t="s">
        <v>9478</v>
      </c>
      <c r="C5490" s="8" t="s">
        <v>11132</v>
      </c>
      <c r="D5490" s="8" t="s">
        <v>11133</v>
      </c>
      <c r="E5490" s="13">
        <v>0</v>
      </c>
      <c r="F5490" s="14">
        <v>0</v>
      </c>
    </row>
    <row r="5491" spans="1:6" x14ac:dyDescent="0.3">
      <c r="A5491" s="8">
        <v>5489</v>
      </c>
      <c r="B5491" s="8" t="s">
        <v>9478</v>
      </c>
      <c r="C5491" s="8" t="s">
        <v>11134</v>
      </c>
      <c r="D5491" s="8" t="s">
        <v>11135</v>
      </c>
      <c r="E5491" s="13">
        <v>0</v>
      </c>
      <c r="F5491" s="14">
        <v>0</v>
      </c>
    </row>
    <row r="5492" spans="1:6" x14ac:dyDescent="0.3">
      <c r="A5492" s="8">
        <v>5490</v>
      </c>
      <c r="B5492" s="8" t="s">
        <v>9478</v>
      </c>
      <c r="C5492" s="8" t="s">
        <v>11136</v>
      </c>
      <c r="D5492" s="8" t="s">
        <v>11137</v>
      </c>
      <c r="E5492" s="13">
        <v>0</v>
      </c>
      <c r="F5492" s="14">
        <v>0</v>
      </c>
    </row>
    <row r="5493" spans="1:6" x14ac:dyDescent="0.3">
      <c r="A5493" s="8">
        <v>5491</v>
      </c>
      <c r="B5493" s="8" t="s">
        <v>9478</v>
      </c>
      <c r="C5493" s="8" t="s">
        <v>11138</v>
      </c>
      <c r="D5493" s="8" t="s">
        <v>11139</v>
      </c>
      <c r="E5493" s="13">
        <v>0</v>
      </c>
      <c r="F5493" s="14">
        <v>0</v>
      </c>
    </row>
    <row r="5494" spans="1:6" x14ac:dyDescent="0.3">
      <c r="A5494" s="8">
        <v>5492</v>
      </c>
      <c r="B5494" s="8" t="s">
        <v>7694</v>
      </c>
      <c r="C5494" s="8" t="s">
        <v>11140</v>
      </c>
      <c r="D5494" s="8" t="s">
        <v>11141</v>
      </c>
      <c r="E5494" s="13">
        <v>0</v>
      </c>
      <c r="F5494" s="14">
        <v>0</v>
      </c>
    </row>
    <row r="5495" spans="1:6" x14ac:dyDescent="0.3">
      <c r="A5495" s="8">
        <v>5493</v>
      </c>
      <c r="B5495" s="8" t="s">
        <v>9463</v>
      </c>
      <c r="C5495" s="8" t="s">
        <v>11142</v>
      </c>
      <c r="D5495" s="8" t="s">
        <v>11143</v>
      </c>
      <c r="E5495" s="13">
        <v>0</v>
      </c>
      <c r="F5495" s="14">
        <v>32000</v>
      </c>
    </row>
    <row r="5496" spans="1:6" x14ac:dyDescent="0.3">
      <c r="A5496" s="8">
        <v>5494</v>
      </c>
      <c r="B5496" s="8" t="s">
        <v>9463</v>
      </c>
      <c r="C5496" s="8" t="s">
        <v>11144</v>
      </c>
      <c r="D5496" s="8" t="s">
        <v>11145</v>
      </c>
      <c r="E5496" s="13">
        <v>12700</v>
      </c>
      <c r="F5496" s="14">
        <v>25000</v>
      </c>
    </row>
    <row r="5497" spans="1:6" x14ac:dyDescent="0.3">
      <c r="A5497" s="8">
        <v>5495</v>
      </c>
      <c r="B5497" s="8" t="s">
        <v>9463</v>
      </c>
      <c r="C5497" s="8" t="s">
        <v>11146</v>
      </c>
      <c r="D5497" s="8" t="s">
        <v>11147</v>
      </c>
      <c r="E5497" s="13">
        <v>80000</v>
      </c>
      <c r="F5497" s="14">
        <v>160185</v>
      </c>
    </row>
    <row r="5498" spans="1:6" x14ac:dyDescent="0.3">
      <c r="A5498" s="8">
        <v>5496</v>
      </c>
      <c r="B5498" s="8" t="s">
        <v>9463</v>
      </c>
      <c r="C5498" s="8" t="s">
        <v>11148</v>
      </c>
      <c r="D5498" s="8" t="s">
        <v>11149</v>
      </c>
      <c r="E5498" s="13">
        <v>0</v>
      </c>
      <c r="F5498" s="14">
        <v>0</v>
      </c>
    </row>
    <row r="5499" spans="1:6" x14ac:dyDescent="0.3">
      <c r="A5499" s="8">
        <v>5497</v>
      </c>
      <c r="B5499" s="8" t="s">
        <v>9463</v>
      </c>
      <c r="C5499" s="8" t="s">
        <v>11150</v>
      </c>
      <c r="D5499" s="8" t="s">
        <v>11151</v>
      </c>
      <c r="E5499" s="13">
        <v>46296</v>
      </c>
      <c r="F5499" s="14">
        <v>92593</v>
      </c>
    </row>
    <row r="5500" spans="1:6" x14ac:dyDescent="0.3">
      <c r="A5500" s="8">
        <v>5498</v>
      </c>
      <c r="B5500" s="8" t="s">
        <v>9463</v>
      </c>
      <c r="C5500" s="8" t="s">
        <v>11152</v>
      </c>
      <c r="D5500" s="8" t="s">
        <v>11153</v>
      </c>
      <c r="E5500" s="13">
        <v>0</v>
      </c>
      <c r="F5500" s="14">
        <v>0</v>
      </c>
    </row>
    <row r="5501" spans="1:6" x14ac:dyDescent="0.3">
      <c r="A5501" s="8">
        <v>5499</v>
      </c>
      <c r="B5501" s="8" t="s">
        <v>9463</v>
      </c>
      <c r="C5501" s="8" t="s">
        <v>11154</v>
      </c>
      <c r="D5501" s="8" t="s">
        <v>11155</v>
      </c>
      <c r="E5501" s="13">
        <v>157407</v>
      </c>
      <c r="F5501" s="14">
        <v>314815</v>
      </c>
    </row>
    <row r="5502" spans="1:6" x14ac:dyDescent="0.3">
      <c r="A5502" s="8">
        <v>5500</v>
      </c>
      <c r="B5502" s="8" t="s">
        <v>9478</v>
      </c>
      <c r="C5502" s="8" t="s">
        <v>11156</v>
      </c>
      <c r="D5502" s="8" t="s">
        <v>39</v>
      </c>
      <c r="E5502" s="13">
        <v>106000</v>
      </c>
      <c r="F5502" s="14">
        <v>212037</v>
      </c>
    </row>
    <row r="5503" spans="1:6" x14ac:dyDescent="0.3">
      <c r="A5503" s="8">
        <v>5501</v>
      </c>
      <c r="B5503" s="8" t="s">
        <v>9478</v>
      </c>
      <c r="C5503" s="8" t="s">
        <v>11157</v>
      </c>
      <c r="D5503" s="8" t="s">
        <v>11158</v>
      </c>
      <c r="E5503" s="13">
        <v>0</v>
      </c>
      <c r="F5503" s="14">
        <v>0</v>
      </c>
    </row>
    <row r="5504" spans="1:6" x14ac:dyDescent="0.3">
      <c r="A5504" s="8">
        <v>5502</v>
      </c>
      <c r="B5504" s="8" t="s">
        <v>9478</v>
      </c>
      <c r="C5504" s="8" t="s">
        <v>11159</v>
      </c>
      <c r="D5504" s="8" t="s">
        <v>11160</v>
      </c>
      <c r="E5504" s="13">
        <v>0</v>
      </c>
      <c r="F5504" s="14">
        <v>0</v>
      </c>
    </row>
    <row r="5505" spans="1:6" x14ac:dyDescent="0.3">
      <c r="A5505" s="8">
        <v>5503</v>
      </c>
      <c r="B5505" s="8" t="s">
        <v>9478</v>
      </c>
      <c r="C5505" s="8" t="s">
        <v>11161</v>
      </c>
      <c r="D5505" s="8" t="s">
        <v>11162</v>
      </c>
      <c r="E5505" s="13">
        <v>0</v>
      </c>
      <c r="F5505" s="14">
        <v>0</v>
      </c>
    </row>
    <row r="5506" spans="1:6" x14ac:dyDescent="0.3">
      <c r="A5506" s="8">
        <v>5504</v>
      </c>
      <c r="B5506" s="8" t="s">
        <v>9478</v>
      </c>
      <c r="C5506" s="8" t="s">
        <v>11163</v>
      </c>
      <c r="D5506" s="8" t="s">
        <v>11164</v>
      </c>
      <c r="E5506" s="13">
        <v>0</v>
      </c>
      <c r="F5506" s="14">
        <v>0</v>
      </c>
    </row>
    <row r="5507" spans="1:6" x14ac:dyDescent="0.3">
      <c r="A5507" s="8">
        <v>5505</v>
      </c>
      <c r="B5507" s="8" t="s">
        <v>9478</v>
      </c>
      <c r="C5507" s="8" t="s">
        <v>11165</v>
      </c>
      <c r="D5507" s="8" t="s">
        <v>11166</v>
      </c>
      <c r="E5507" s="13">
        <v>0</v>
      </c>
      <c r="F5507" s="14">
        <v>0</v>
      </c>
    </row>
    <row r="5508" spans="1:6" x14ac:dyDescent="0.3">
      <c r="A5508" s="8">
        <v>5506</v>
      </c>
      <c r="B5508" s="8" t="s">
        <v>9478</v>
      </c>
      <c r="C5508" s="8" t="s">
        <v>11167</v>
      </c>
      <c r="D5508" s="8" t="s">
        <v>11168</v>
      </c>
      <c r="E5508" s="13">
        <v>0</v>
      </c>
      <c r="F5508" s="14">
        <v>0</v>
      </c>
    </row>
    <row r="5509" spans="1:6" x14ac:dyDescent="0.3">
      <c r="A5509" s="8">
        <v>5507</v>
      </c>
      <c r="B5509" s="8" t="s">
        <v>9478</v>
      </c>
      <c r="C5509" s="8" t="s">
        <v>11169</v>
      </c>
      <c r="D5509" s="8" t="s">
        <v>11170</v>
      </c>
      <c r="E5509" s="13">
        <v>0</v>
      </c>
      <c r="F5509" s="14">
        <v>0</v>
      </c>
    </row>
    <row r="5510" spans="1:6" x14ac:dyDescent="0.3">
      <c r="A5510" s="8">
        <v>5508</v>
      </c>
      <c r="B5510" s="8" t="s">
        <v>9478</v>
      </c>
      <c r="C5510" s="8" t="s">
        <v>11171</v>
      </c>
      <c r="D5510" s="8" t="s">
        <v>11172</v>
      </c>
      <c r="E5510" s="13">
        <v>0</v>
      </c>
      <c r="F5510" s="14">
        <v>0</v>
      </c>
    </row>
    <row r="5511" spans="1:6" x14ac:dyDescent="0.3">
      <c r="A5511" s="8">
        <v>5509</v>
      </c>
      <c r="B5511" s="8" t="s">
        <v>9478</v>
      </c>
      <c r="C5511" s="8" t="s">
        <v>11173</v>
      </c>
      <c r="D5511" s="8" t="s">
        <v>11174</v>
      </c>
      <c r="E5511" s="13">
        <v>0</v>
      </c>
      <c r="F5511" s="14">
        <v>0</v>
      </c>
    </row>
    <row r="5512" spans="1:6" x14ac:dyDescent="0.3">
      <c r="A5512" s="8">
        <v>5510</v>
      </c>
      <c r="B5512" s="8" t="s">
        <v>9478</v>
      </c>
      <c r="C5512" s="8" t="s">
        <v>11175</v>
      </c>
      <c r="D5512" s="8" t="s">
        <v>11176</v>
      </c>
      <c r="E5512" s="13">
        <v>0</v>
      </c>
      <c r="F5512" s="14">
        <v>0</v>
      </c>
    </row>
    <row r="5513" spans="1:6" x14ac:dyDescent="0.3">
      <c r="A5513" s="8">
        <v>5511</v>
      </c>
      <c r="B5513" s="8" t="s">
        <v>9478</v>
      </c>
      <c r="C5513" s="8" t="s">
        <v>11177</v>
      </c>
      <c r="D5513" s="8" t="s">
        <v>11178</v>
      </c>
      <c r="E5513" s="13">
        <v>0</v>
      </c>
      <c r="F5513" s="14">
        <v>0</v>
      </c>
    </row>
    <row r="5514" spans="1:6" x14ac:dyDescent="0.3">
      <c r="A5514" s="8">
        <v>5512</v>
      </c>
      <c r="B5514" s="8" t="s">
        <v>9478</v>
      </c>
      <c r="C5514" s="8" t="s">
        <v>11179</v>
      </c>
      <c r="D5514" s="8" t="s">
        <v>11180</v>
      </c>
      <c r="E5514" s="13">
        <v>0</v>
      </c>
      <c r="F5514" s="14">
        <v>0</v>
      </c>
    </row>
    <row r="5515" spans="1:6" x14ac:dyDescent="0.3">
      <c r="A5515" s="8">
        <v>5513</v>
      </c>
      <c r="B5515" s="8" t="s">
        <v>9478</v>
      </c>
      <c r="C5515" s="8" t="s">
        <v>11181</v>
      </c>
      <c r="D5515" s="8" t="s">
        <v>11182</v>
      </c>
      <c r="E5515" s="13">
        <v>0</v>
      </c>
      <c r="F5515" s="14">
        <v>0</v>
      </c>
    </row>
    <row r="5516" spans="1:6" x14ac:dyDescent="0.3">
      <c r="A5516" s="8">
        <v>5514</v>
      </c>
      <c r="B5516" s="8" t="s">
        <v>9478</v>
      </c>
      <c r="C5516" s="8" t="s">
        <v>11183</v>
      </c>
      <c r="D5516" s="8" t="s">
        <v>95</v>
      </c>
      <c r="E5516" s="13">
        <v>137000</v>
      </c>
      <c r="F5516" s="14">
        <v>274074</v>
      </c>
    </row>
    <row r="5517" spans="1:6" x14ac:dyDescent="0.3">
      <c r="A5517" s="8">
        <v>5515</v>
      </c>
      <c r="B5517" s="8" t="s">
        <v>9478</v>
      </c>
      <c r="C5517" s="8" t="s">
        <v>11184</v>
      </c>
      <c r="D5517" s="8" t="s">
        <v>11185</v>
      </c>
      <c r="E5517" s="13">
        <v>0</v>
      </c>
      <c r="F5517" s="14">
        <v>0</v>
      </c>
    </row>
    <row r="5518" spans="1:6" x14ac:dyDescent="0.3">
      <c r="A5518" s="8">
        <v>5516</v>
      </c>
      <c r="B5518" s="8" t="s">
        <v>9478</v>
      </c>
      <c r="C5518" s="8" t="s">
        <v>11186</v>
      </c>
      <c r="D5518" s="8" t="s">
        <v>11187</v>
      </c>
      <c r="E5518" s="13">
        <v>0</v>
      </c>
      <c r="F5518" s="14">
        <v>0</v>
      </c>
    </row>
    <row r="5519" spans="1:6" x14ac:dyDescent="0.3">
      <c r="A5519" s="8">
        <v>5517</v>
      </c>
      <c r="B5519" s="8" t="s">
        <v>9478</v>
      </c>
      <c r="C5519" s="8" t="s">
        <v>11188</v>
      </c>
      <c r="D5519" s="8" t="s">
        <v>11189</v>
      </c>
      <c r="E5519" s="13">
        <v>0</v>
      </c>
      <c r="F5519" s="14">
        <v>0</v>
      </c>
    </row>
    <row r="5520" spans="1:6" x14ac:dyDescent="0.3">
      <c r="A5520" s="8">
        <v>5518</v>
      </c>
      <c r="B5520" s="8" t="s">
        <v>9478</v>
      </c>
      <c r="C5520" s="8" t="s">
        <v>11190</v>
      </c>
      <c r="D5520" s="8" t="s">
        <v>11191</v>
      </c>
      <c r="E5520" s="13">
        <v>0</v>
      </c>
      <c r="F5520" s="14">
        <v>0</v>
      </c>
    </row>
    <row r="5521" spans="1:6" x14ac:dyDescent="0.3">
      <c r="A5521" s="8">
        <v>5519</v>
      </c>
      <c r="B5521" s="8" t="s">
        <v>9478</v>
      </c>
      <c r="C5521" s="8" t="s">
        <v>11192</v>
      </c>
      <c r="D5521" s="8" t="s">
        <v>11193</v>
      </c>
      <c r="E5521" s="13">
        <v>0</v>
      </c>
      <c r="F5521" s="14">
        <v>0</v>
      </c>
    </row>
    <row r="5522" spans="1:6" x14ac:dyDescent="0.3">
      <c r="A5522" s="8">
        <v>5520</v>
      </c>
      <c r="B5522" s="8" t="s">
        <v>9478</v>
      </c>
      <c r="C5522" s="8" t="s">
        <v>11194</v>
      </c>
      <c r="D5522" s="8" t="s">
        <v>11195</v>
      </c>
      <c r="E5522" s="13">
        <v>154000</v>
      </c>
      <c r="F5522" s="14">
        <v>308182</v>
      </c>
    </row>
    <row r="5523" spans="1:6" x14ac:dyDescent="0.3">
      <c r="A5523" s="8">
        <v>5521</v>
      </c>
      <c r="B5523" s="8" t="s">
        <v>9478</v>
      </c>
      <c r="C5523" s="8" t="s">
        <v>11196</v>
      </c>
      <c r="D5523" s="8" t="s">
        <v>11197</v>
      </c>
      <c r="E5523" s="13">
        <v>0</v>
      </c>
      <c r="F5523" s="14">
        <v>0</v>
      </c>
    </row>
    <row r="5524" spans="1:6" x14ac:dyDescent="0.3">
      <c r="A5524" s="8">
        <v>5522</v>
      </c>
      <c r="B5524" s="8" t="s">
        <v>7694</v>
      </c>
      <c r="C5524" s="8" t="s">
        <v>11198</v>
      </c>
      <c r="D5524" s="8" t="s">
        <v>11199</v>
      </c>
      <c r="E5524" s="13">
        <v>0</v>
      </c>
      <c r="F5524" s="14">
        <v>0</v>
      </c>
    </row>
    <row r="5525" spans="1:6" x14ac:dyDescent="0.3">
      <c r="A5525" s="8">
        <v>5523</v>
      </c>
      <c r="B5525" s="8" t="s">
        <v>7694</v>
      </c>
      <c r="C5525" s="8" t="s">
        <v>11200</v>
      </c>
      <c r="D5525" s="8" t="s">
        <v>11201</v>
      </c>
      <c r="E5525" s="13">
        <v>0</v>
      </c>
      <c r="F5525" s="14">
        <v>0</v>
      </c>
    </row>
    <row r="5526" spans="1:6" x14ac:dyDescent="0.3">
      <c r="A5526" s="8">
        <v>5524</v>
      </c>
      <c r="B5526" s="8" t="s">
        <v>7694</v>
      </c>
      <c r="C5526" s="8" t="s">
        <v>11202</v>
      </c>
      <c r="D5526" s="8" t="s">
        <v>11203</v>
      </c>
      <c r="E5526" s="13">
        <v>0</v>
      </c>
      <c r="F5526" s="14">
        <v>84150000</v>
      </c>
    </row>
    <row r="5527" spans="1:6" x14ac:dyDescent="0.3">
      <c r="A5527" s="8">
        <v>5525</v>
      </c>
      <c r="B5527" s="8" t="s">
        <v>7694</v>
      </c>
      <c r="C5527" s="8" t="s">
        <v>11204</v>
      </c>
      <c r="D5527" s="8" t="s">
        <v>11205</v>
      </c>
      <c r="E5527" s="13">
        <v>0</v>
      </c>
      <c r="F5527" s="14">
        <v>0</v>
      </c>
    </row>
    <row r="5528" spans="1:6" x14ac:dyDescent="0.3">
      <c r="A5528" s="8">
        <v>5526</v>
      </c>
      <c r="B5528" s="8" t="s">
        <v>7694</v>
      </c>
      <c r="C5528" s="8" t="s">
        <v>11206</v>
      </c>
      <c r="D5528" s="8" t="s">
        <v>11207</v>
      </c>
      <c r="E5528" s="13">
        <v>763636</v>
      </c>
      <c r="F5528" s="14">
        <v>1009091</v>
      </c>
    </row>
    <row r="5529" spans="1:6" x14ac:dyDescent="0.3">
      <c r="A5529" s="8">
        <v>5527</v>
      </c>
      <c r="B5529" s="8" t="s">
        <v>7694</v>
      </c>
      <c r="C5529" s="8" t="s">
        <v>11208</v>
      </c>
      <c r="D5529" s="8" t="s">
        <v>11209</v>
      </c>
      <c r="E5529" s="13">
        <v>0</v>
      </c>
      <c r="F5529" s="14">
        <v>0</v>
      </c>
    </row>
    <row r="5530" spans="1:6" x14ac:dyDescent="0.3">
      <c r="A5530" s="8">
        <v>5528</v>
      </c>
      <c r="B5530" s="8" t="s">
        <v>7694</v>
      </c>
      <c r="C5530" s="8" t="s">
        <v>11210</v>
      </c>
      <c r="D5530" s="8" t="s">
        <v>11211</v>
      </c>
      <c r="E5530" s="13">
        <v>0</v>
      </c>
      <c r="F5530" s="14">
        <v>72600000</v>
      </c>
    </row>
    <row r="5531" spans="1:6" x14ac:dyDescent="0.3">
      <c r="A5531" s="8">
        <v>5529</v>
      </c>
      <c r="B5531" s="8" t="s">
        <v>7694</v>
      </c>
      <c r="C5531" s="8" t="s">
        <v>11212</v>
      </c>
      <c r="D5531" s="8" t="s">
        <v>11213</v>
      </c>
      <c r="E5531" s="13">
        <v>0</v>
      </c>
      <c r="F5531" s="14">
        <v>253880000</v>
      </c>
    </row>
    <row r="5532" spans="1:6" x14ac:dyDescent="0.3">
      <c r="A5532" s="8">
        <v>5530</v>
      </c>
      <c r="B5532" s="8" t="s">
        <v>7694</v>
      </c>
      <c r="C5532" s="8" t="s">
        <v>11214</v>
      </c>
      <c r="D5532" s="8" t="s">
        <v>11215</v>
      </c>
      <c r="E5532" s="13">
        <v>0</v>
      </c>
      <c r="F5532" s="14">
        <v>141130000</v>
      </c>
    </row>
    <row r="5533" spans="1:6" x14ac:dyDescent="0.3">
      <c r="A5533" s="8">
        <v>5531</v>
      </c>
      <c r="B5533" s="8" t="s">
        <v>7694</v>
      </c>
      <c r="C5533" s="8" t="s">
        <v>11216</v>
      </c>
      <c r="D5533" s="8" t="s">
        <v>11217</v>
      </c>
      <c r="E5533" s="13">
        <v>0</v>
      </c>
      <c r="F5533" s="14">
        <v>180400000</v>
      </c>
    </row>
    <row r="5534" spans="1:6" x14ac:dyDescent="0.3">
      <c r="A5534" s="8">
        <v>5532</v>
      </c>
      <c r="B5534" s="8" t="s">
        <v>7694</v>
      </c>
      <c r="C5534" s="8" t="s">
        <v>11218</v>
      </c>
      <c r="D5534" s="8" t="s">
        <v>11219</v>
      </c>
      <c r="E5534" s="13">
        <v>0</v>
      </c>
      <c r="F5534" s="14">
        <v>265270000</v>
      </c>
    </row>
    <row r="5535" spans="1:6" x14ac:dyDescent="0.3">
      <c r="A5535" s="8">
        <v>5533</v>
      </c>
      <c r="B5535" s="8" t="s">
        <v>9463</v>
      </c>
      <c r="C5535" s="8" t="s">
        <v>11220</v>
      </c>
      <c r="D5535" s="8" t="s">
        <v>11221</v>
      </c>
      <c r="E5535" s="13">
        <v>0</v>
      </c>
      <c r="F5535" s="14">
        <v>36000</v>
      </c>
    </row>
    <row r="5536" spans="1:6" x14ac:dyDescent="0.3">
      <c r="A5536" s="8">
        <v>5534</v>
      </c>
      <c r="B5536" s="8" t="s">
        <v>9463</v>
      </c>
      <c r="C5536" s="8" t="s">
        <v>11222</v>
      </c>
      <c r="D5536" s="8" t="s">
        <v>11223</v>
      </c>
      <c r="E5536" s="13">
        <v>35185</v>
      </c>
      <c r="F5536" s="14">
        <v>70370</v>
      </c>
    </row>
    <row r="5537" spans="1:6" x14ac:dyDescent="0.3">
      <c r="A5537" s="8">
        <v>5535</v>
      </c>
      <c r="B5537" s="8" t="s">
        <v>9463</v>
      </c>
      <c r="C5537" s="8" t="s">
        <v>11224</v>
      </c>
      <c r="D5537" s="8" t="s">
        <v>11225</v>
      </c>
      <c r="E5537" s="13">
        <v>185185</v>
      </c>
      <c r="F5537" s="14">
        <v>370370</v>
      </c>
    </row>
    <row r="5538" spans="1:6" x14ac:dyDescent="0.3">
      <c r="A5538" s="8">
        <v>5536</v>
      </c>
      <c r="B5538" s="8" t="s">
        <v>9463</v>
      </c>
      <c r="C5538" s="8" t="s">
        <v>11226</v>
      </c>
      <c r="D5538" s="8" t="s">
        <v>11227</v>
      </c>
      <c r="E5538" s="13">
        <v>185185</v>
      </c>
      <c r="F5538" s="14">
        <v>370370</v>
      </c>
    </row>
    <row r="5539" spans="1:6" x14ac:dyDescent="0.3">
      <c r="A5539" s="8">
        <v>5537</v>
      </c>
      <c r="B5539" s="8" t="s">
        <v>9463</v>
      </c>
      <c r="C5539" s="8" t="s">
        <v>11228</v>
      </c>
      <c r="D5539" s="8" t="s">
        <v>11229</v>
      </c>
      <c r="E5539" s="13">
        <v>0</v>
      </c>
      <c r="F5539" s="14">
        <v>0</v>
      </c>
    </row>
    <row r="5540" spans="1:6" x14ac:dyDescent="0.3">
      <c r="A5540" s="8">
        <v>5538</v>
      </c>
      <c r="B5540" s="8" t="s">
        <v>9463</v>
      </c>
      <c r="C5540" s="8" t="s">
        <v>11230</v>
      </c>
      <c r="D5540" s="8" t="s">
        <v>11231</v>
      </c>
      <c r="E5540" s="13">
        <v>140000</v>
      </c>
      <c r="F5540" s="14">
        <v>279630</v>
      </c>
    </row>
    <row r="5541" spans="1:6" x14ac:dyDescent="0.3">
      <c r="A5541" s="8">
        <v>5539</v>
      </c>
      <c r="B5541" s="8" t="s">
        <v>9478</v>
      </c>
      <c r="C5541" s="8" t="s">
        <v>11232</v>
      </c>
      <c r="D5541" s="8" t="s">
        <v>58</v>
      </c>
      <c r="E5541" s="13">
        <v>185000</v>
      </c>
      <c r="F5541" s="14">
        <v>370370</v>
      </c>
    </row>
    <row r="5542" spans="1:6" x14ac:dyDescent="0.3">
      <c r="A5542" s="8">
        <v>5540</v>
      </c>
      <c r="B5542" s="8" t="s">
        <v>9478</v>
      </c>
      <c r="C5542" s="8" t="s">
        <v>11233</v>
      </c>
      <c r="D5542" s="8" t="s">
        <v>27</v>
      </c>
      <c r="E5542" s="13">
        <v>84000</v>
      </c>
      <c r="F5542" s="14">
        <v>167593</v>
      </c>
    </row>
    <row r="5543" spans="1:6" x14ac:dyDescent="0.3">
      <c r="A5543" s="8">
        <v>5541</v>
      </c>
      <c r="B5543" s="8" t="s">
        <v>9478</v>
      </c>
      <c r="C5543" s="8" t="s">
        <v>11234</v>
      </c>
      <c r="D5543" s="8" t="s">
        <v>48</v>
      </c>
      <c r="E5543" s="13">
        <v>98000</v>
      </c>
      <c r="F5543" s="14">
        <v>196296</v>
      </c>
    </row>
    <row r="5544" spans="1:6" x14ac:dyDescent="0.3">
      <c r="A5544" s="8">
        <v>5542</v>
      </c>
      <c r="B5544" s="8" t="s">
        <v>9478</v>
      </c>
      <c r="C5544" s="8" t="s">
        <v>11235</v>
      </c>
      <c r="D5544" s="8" t="s">
        <v>11236</v>
      </c>
      <c r="E5544" s="13">
        <v>0</v>
      </c>
      <c r="F5544" s="14">
        <v>0</v>
      </c>
    </row>
    <row r="5545" spans="1:6" x14ac:dyDescent="0.3">
      <c r="A5545" s="8">
        <v>5543</v>
      </c>
      <c r="B5545" s="8" t="s">
        <v>9478</v>
      </c>
      <c r="C5545" s="8" t="s">
        <v>11237</v>
      </c>
      <c r="D5545" s="8" t="s">
        <v>11238</v>
      </c>
      <c r="E5545" s="13">
        <v>0</v>
      </c>
      <c r="F5545" s="14">
        <v>0</v>
      </c>
    </row>
    <row r="5546" spans="1:6" x14ac:dyDescent="0.3">
      <c r="A5546" s="8">
        <v>5544</v>
      </c>
      <c r="B5546" s="8" t="s">
        <v>9478</v>
      </c>
      <c r="C5546" s="8" t="s">
        <v>11239</v>
      </c>
      <c r="D5546" s="8" t="s">
        <v>64</v>
      </c>
      <c r="E5546" s="13">
        <v>105000</v>
      </c>
      <c r="F5546" s="14">
        <v>210185</v>
      </c>
    </row>
    <row r="5547" spans="1:6" x14ac:dyDescent="0.3">
      <c r="A5547" s="8">
        <v>5545</v>
      </c>
      <c r="B5547" s="8" t="s">
        <v>9478</v>
      </c>
      <c r="C5547" s="8" t="s">
        <v>11240</v>
      </c>
      <c r="D5547" s="8" t="s">
        <v>54</v>
      </c>
      <c r="E5547" s="13">
        <v>117000</v>
      </c>
      <c r="F5547" s="14">
        <v>234259</v>
      </c>
    </row>
    <row r="5548" spans="1:6" x14ac:dyDescent="0.3">
      <c r="A5548" s="8">
        <v>5546</v>
      </c>
      <c r="B5548" s="8" t="s">
        <v>9478</v>
      </c>
      <c r="C5548" s="8" t="s">
        <v>11241</v>
      </c>
      <c r="D5548" s="8" t="s">
        <v>73</v>
      </c>
      <c r="E5548" s="13">
        <v>123000</v>
      </c>
      <c r="F5548" s="14">
        <v>246296</v>
      </c>
    </row>
    <row r="5549" spans="1:6" x14ac:dyDescent="0.3">
      <c r="A5549" s="8">
        <v>5547</v>
      </c>
      <c r="B5549" s="8" t="s">
        <v>9463</v>
      </c>
      <c r="C5549" s="8" t="s">
        <v>11242</v>
      </c>
      <c r="D5549" s="8" t="s">
        <v>11243</v>
      </c>
      <c r="E5549" s="13">
        <v>20000</v>
      </c>
      <c r="F5549" s="14">
        <v>39815</v>
      </c>
    </row>
    <row r="5550" spans="1:6" x14ac:dyDescent="0.3">
      <c r="A5550" s="8">
        <v>5548</v>
      </c>
      <c r="B5550" s="8" t="s">
        <v>9463</v>
      </c>
      <c r="C5550" s="8" t="s">
        <v>11244</v>
      </c>
      <c r="D5550" s="8" t="s">
        <v>11245</v>
      </c>
      <c r="E5550" s="13">
        <v>65000</v>
      </c>
      <c r="F5550" s="14">
        <v>129630</v>
      </c>
    </row>
    <row r="5551" spans="1:6" x14ac:dyDescent="0.3">
      <c r="A5551" s="8">
        <v>5549</v>
      </c>
      <c r="B5551" s="8" t="s">
        <v>9463</v>
      </c>
      <c r="C5551" s="8" t="s">
        <v>11246</v>
      </c>
      <c r="D5551" s="8" t="s">
        <v>11247</v>
      </c>
      <c r="E5551" s="13">
        <v>0</v>
      </c>
      <c r="F5551" s="14">
        <v>0</v>
      </c>
    </row>
    <row r="5552" spans="1:6" x14ac:dyDescent="0.3">
      <c r="A5552" s="8">
        <v>5550</v>
      </c>
      <c r="B5552" s="8" t="s">
        <v>9478</v>
      </c>
      <c r="C5552" s="8" t="s">
        <v>11248</v>
      </c>
      <c r="D5552" s="8" t="s">
        <v>11249</v>
      </c>
      <c r="E5552" s="13">
        <v>0</v>
      </c>
      <c r="F5552" s="14">
        <v>0</v>
      </c>
    </row>
    <row r="5553" spans="1:6" x14ac:dyDescent="0.3">
      <c r="A5553" s="8">
        <v>5551</v>
      </c>
      <c r="B5553" s="8" t="s">
        <v>9478</v>
      </c>
      <c r="C5553" s="8" t="s">
        <v>11250</v>
      </c>
      <c r="D5553" s="8" t="s">
        <v>11251</v>
      </c>
      <c r="E5553" s="13">
        <v>0</v>
      </c>
      <c r="F5553" s="14">
        <v>0</v>
      </c>
    </row>
    <row r="5554" spans="1:6" x14ac:dyDescent="0.3">
      <c r="A5554" s="8">
        <v>5552</v>
      </c>
      <c r="B5554" s="8" t="s">
        <v>9478</v>
      </c>
      <c r="C5554" s="8" t="s">
        <v>11252</v>
      </c>
      <c r="D5554" s="8" t="s">
        <v>66</v>
      </c>
      <c r="E5554" s="13">
        <v>96000</v>
      </c>
      <c r="F5554" s="14">
        <v>191667</v>
      </c>
    </row>
    <row r="5555" spans="1:6" x14ac:dyDescent="0.3">
      <c r="A5555" s="8">
        <v>5553</v>
      </c>
      <c r="B5555" s="8" t="s">
        <v>9478</v>
      </c>
      <c r="C5555" s="8" t="s">
        <v>11253</v>
      </c>
      <c r="D5555" s="8" t="s">
        <v>11254</v>
      </c>
      <c r="E5555" s="13">
        <v>0</v>
      </c>
      <c r="F5555" s="14">
        <v>0</v>
      </c>
    </row>
    <row r="5556" spans="1:6" x14ac:dyDescent="0.3">
      <c r="A5556" s="8">
        <v>5554</v>
      </c>
      <c r="B5556" s="8" t="s">
        <v>9478</v>
      </c>
      <c r="C5556" s="8" t="s">
        <v>11255</v>
      </c>
      <c r="D5556" s="8" t="s">
        <v>11256</v>
      </c>
      <c r="E5556" s="13">
        <v>0</v>
      </c>
      <c r="F5556" s="14">
        <v>0</v>
      </c>
    </row>
    <row r="5557" spans="1:6" x14ac:dyDescent="0.3">
      <c r="A5557" s="8">
        <v>5555</v>
      </c>
      <c r="B5557" s="8" t="s">
        <v>9478</v>
      </c>
      <c r="C5557" s="8" t="s">
        <v>11257</v>
      </c>
      <c r="D5557" s="8" t="s">
        <v>11258</v>
      </c>
      <c r="E5557" s="13">
        <v>0</v>
      </c>
      <c r="F5557" s="14">
        <v>0</v>
      </c>
    </row>
    <row r="5558" spans="1:6" x14ac:dyDescent="0.3">
      <c r="A5558" s="8">
        <v>5556</v>
      </c>
      <c r="B5558" s="8" t="s">
        <v>9478</v>
      </c>
      <c r="C5558" s="8" t="s">
        <v>11259</v>
      </c>
      <c r="D5558" s="8" t="s">
        <v>11260</v>
      </c>
      <c r="E5558" s="13">
        <v>0</v>
      </c>
      <c r="F5558" s="14">
        <v>0</v>
      </c>
    </row>
    <row r="5559" spans="1:6" x14ac:dyDescent="0.3">
      <c r="A5559" s="8">
        <v>5557</v>
      </c>
      <c r="B5559" s="8" t="s">
        <v>9478</v>
      </c>
      <c r="C5559" s="8" t="s">
        <v>11261</v>
      </c>
      <c r="D5559" s="8" t="s">
        <v>11262</v>
      </c>
      <c r="E5559" s="13">
        <v>0</v>
      </c>
      <c r="F5559" s="14">
        <v>0</v>
      </c>
    </row>
    <row r="5560" spans="1:6" x14ac:dyDescent="0.3">
      <c r="A5560" s="8">
        <v>5558</v>
      </c>
      <c r="B5560" s="8" t="s">
        <v>9478</v>
      </c>
      <c r="C5560" s="8" t="s">
        <v>11263</v>
      </c>
      <c r="D5560" s="8" t="s">
        <v>11264</v>
      </c>
      <c r="E5560" s="13">
        <v>0</v>
      </c>
      <c r="F5560" s="14">
        <v>0</v>
      </c>
    </row>
    <row r="5561" spans="1:6" x14ac:dyDescent="0.3">
      <c r="A5561" s="8">
        <v>5559</v>
      </c>
      <c r="B5561" s="8" t="s">
        <v>9478</v>
      </c>
      <c r="C5561" s="8" t="s">
        <v>11265</v>
      </c>
      <c r="D5561" s="8" t="s">
        <v>11266</v>
      </c>
      <c r="E5561" s="13">
        <v>0</v>
      </c>
      <c r="F5561" s="14">
        <v>0</v>
      </c>
    </row>
    <row r="5562" spans="1:6" x14ac:dyDescent="0.3">
      <c r="A5562" s="8">
        <v>5560</v>
      </c>
      <c r="B5562" s="8" t="s">
        <v>9478</v>
      </c>
      <c r="C5562" s="8" t="s">
        <v>11267</v>
      </c>
      <c r="D5562" s="8" t="s">
        <v>11268</v>
      </c>
      <c r="E5562" s="13">
        <v>0</v>
      </c>
      <c r="F5562" s="14">
        <v>0</v>
      </c>
    </row>
    <row r="5563" spans="1:6" x14ac:dyDescent="0.3">
      <c r="A5563" s="8">
        <v>5561</v>
      </c>
      <c r="B5563" s="8" t="s">
        <v>9478</v>
      </c>
      <c r="C5563" s="8" t="s">
        <v>11269</v>
      </c>
      <c r="D5563" s="8" t="s">
        <v>11270</v>
      </c>
      <c r="E5563" s="13">
        <v>0</v>
      </c>
      <c r="F5563" s="14">
        <v>0</v>
      </c>
    </row>
    <row r="5564" spans="1:6" x14ac:dyDescent="0.3">
      <c r="A5564" s="8">
        <v>5562</v>
      </c>
      <c r="B5564" s="8" t="s">
        <v>9478</v>
      </c>
      <c r="C5564" s="8" t="s">
        <v>11271</v>
      </c>
      <c r="D5564" s="8" t="s">
        <v>11272</v>
      </c>
      <c r="E5564" s="13">
        <v>0</v>
      </c>
      <c r="F5564" s="14">
        <v>0</v>
      </c>
    </row>
    <row r="5565" spans="1:6" x14ac:dyDescent="0.3">
      <c r="A5565" s="8">
        <v>5563</v>
      </c>
      <c r="B5565" s="8" t="s">
        <v>9478</v>
      </c>
      <c r="C5565" s="8" t="s">
        <v>11273</v>
      </c>
      <c r="D5565" s="8" t="s">
        <v>11274</v>
      </c>
      <c r="E5565" s="13">
        <v>0</v>
      </c>
      <c r="F5565" s="14">
        <v>0</v>
      </c>
    </row>
    <row r="5566" spans="1:6" x14ac:dyDescent="0.3">
      <c r="A5566" s="8">
        <v>5564</v>
      </c>
      <c r="B5566" s="8" t="s">
        <v>9478</v>
      </c>
      <c r="C5566" s="8" t="s">
        <v>11275</v>
      </c>
      <c r="D5566" s="8" t="s">
        <v>11276</v>
      </c>
      <c r="E5566" s="13">
        <v>0</v>
      </c>
      <c r="F5566" s="14">
        <v>0</v>
      </c>
    </row>
    <row r="5567" spans="1:6" x14ac:dyDescent="0.3">
      <c r="A5567" s="8">
        <v>5565</v>
      </c>
      <c r="B5567" s="8" t="s">
        <v>9478</v>
      </c>
      <c r="C5567" s="8" t="s">
        <v>11277</v>
      </c>
      <c r="D5567" s="8" t="s">
        <v>11278</v>
      </c>
      <c r="E5567" s="13">
        <v>0</v>
      </c>
      <c r="F5567" s="14">
        <v>0</v>
      </c>
    </row>
    <row r="5568" spans="1:6" x14ac:dyDescent="0.3">
      <c r="A5568" s="8">
        <v>5566</v>
      </c>
      <c r="B5568" s="8" t="s">
        <v>9478</v>
      </c>
      <c r="C5568" s="8" t="s">
        <v>11279</v>
      </c>
      <c r="D5568" s="8" t="s">
        <v>11280</v>
      </c>
      <c r="E5568" s="13">
        <v>0</v>
      </c>
      <c r="F5568" s="14">
        <v>0</v>
      </c>
    </row>
    <row r="5569" spans="1:6" x14ac:dyDescent="0.3">
      <c r="A5569" s="8">
        <v>5567</v>
      </c>
      <c r="B5569" s="8" t="s">
        <v>9478</v>
      </c>
      <c r="C5569" s="8" t="s">
        <v>11281</v>
      </c>
      <c r="D5569" s="8" t="s">
        <v>11282</v>
      </c>
      <c r="E5569" s="13">
        <v>0</v>
      </c>
      <c r="F5569" s="14">
        <v>0</v>
      </c>
    </row>
    <row r="5570" spans="1:6" x14ac:dyDescent="0.3">
      <c r="A5570" s="8">
        <v>5568</v>
      </c>
      <c r="B5570" s="8" t="s">
        <v>9478</v>
      </c>
      <c r="C5570" s="8" t="s">
        <v>11283</v>
      </c>
      <c r="D5570" s="8" t="s">
        <v>11284</v>
      </c>
      <c r="E5570" s="13">
        <v>106000</v>
      </c>
      <c r="F5570" s="14">
        <v>211818</v>
      </c>
    </row>
    <row r="5571" spans="1:6" x14ac:dyDescent="0.3">
      <c r="A5571" s="8">
        <v>5569</v>
      </c>
      <c r="B5571" s="8" t="s">
        <v>9478</v>
      </c>
      <c r="C5571" s="8" t="s">
        <v>11285</v>
      </c>
      <c r="D5571" s="8" t="s">
        <v>11286</v>
      </c>
      <c r="E5571" s="13">
        <v>0</v>
      </c>
      <c r="F5571" s="14">
        <v>0</v>
      </c>
    </row>
    <row r="5572" spans="1:6" x14ac:dyDescent="0.3">
      <c r="A5572" s="8">
        <v>5570</v>
      </c>
      <c r="B5572" s="8" t="s">
        <v>9478</v>
      </c>
      <c r="C5572" s="8" t="s">
        <v>11287</v>
      </c>
      <c r="D5572" s="8" t="s">
        <v>11288</v>
      </c>
      <c r="E5572" s="13">
        <v>0</v>
      </c>
      <c r="F5572" s="14">
        <v>0</v>
      </c>
    </row>
    <row r="5573" spans="1:6" x14ac:dyDescent="0.3">
      <c r="A5573" s="8">
        <v>5571</v>
      </c>
      <c r="B5573" s="8" t="s">
        <v>10667</v>
      </c>
      <c r="C5573" s="8" t="s">
        <v>11289</v>
      </c>
      <c r="D5573" s="8" t="s">
        <v>11290</v>
      </c>
      <c r="E5573" s="13">
        <v>0</v>
      </c>
      <c r="F5573" s="14">
        <v>0</v>
      </c>
    </row>
    <row r="5574" spans="1:6" x14ac:dyDescent="0.3">
      <c r="A5574" s="8">
        <v>5572</v>
      </c>
      <c r="B5574" s="8" t="s">
        <v>10667</v>
      </c>
      <c r="C5574" s="8" t="s">
        <v>11291</v>
      </c>
      <c r="D5574" s="8" t="s">
        <v>11292</v>
      </c>
      <c r="E5574" s="13">
        <v>0</v>
      </c>
      <c r="F5574" s="14">
        <v>0</v>
      </c>
    </row>
    <row r="5575" spans="1:6" x14ac:dyDescent="0.3">
      <c r="A5575" s="8">
        <v>5573</v>
      </c>
      <c r="B5575" s="8" t="s">
        <v>10667</v>
      </c>
      <c r="C5575" s="8" t="s">
        <v>11293</v>
      </c>
      <c r="D5575" s="8" t="s">
        <v>11294</v>
      </c>
      <c r="E5575" s="13">
        <v>0</v>
      </c>
      <c r="F5575" s="14">
        <v>0</v>
      </c>
    </row>
    <row r="5576" spans="1:6" x14ac:dyDescent="0.3">
      <c r="A5576" s="8">
        <v>5574</v>
      </c>
      <c r="B5576" s="8" t="s">
        <v>10667</v>
      </c>
      <c r="C5576" s="8" t="s">
        <v>11295</v>
      </c>
      <c r="D5576" s="8" t="s">
        <v>11296</v>
      </c>
      <c r="E5576" s="13">
        <v>0</v>
      </c>
      <c r="F5576" s="14">
        <v>0</v>
      </c>
    </row>
    <row r="5577" spans="1:6" x14ac:dyDescent="0.3">
      <c r="A5577" s="8">
        <v>5575</v>
      </c>
      <c r="B5577" s="8" t="s">
        <v>10667</v>
      </c>
      <c r="C5577" s="8" t="s">
        <v>11297</v>
      </c>
      <c r="D5577" s="8" t="s">
        <v>11298</v>
      </c>
      <c r="E5577" s="13">
        <v>0</v>
      </c>
      <c r="F5577" s="14">
        <v>0</v>
      </c>
    </row>
    <row r="5578" spans="1:6" x14ac:dyDescent="0.3">
      <c r="A5578" s="8">
        <v>5576</v>
      </c>
      <c r="B5578" s="8" t="s">
        <v>10667</v>
      </c>
      <c r="C5578" s="8" t="s">
        <v>11299</v>
      </c>
      <c r="D5578" s="8" t="s">
        <v>11300</v>
      </c>
      <c r="E5578" s="13">
        <v>0</v>
      </c>
      <c r="F5578" s="14">
        <v>0</v>
      </c>
    </row>
    <row r="5579" spans="1:6" x14ac:dyDescent="0.3">
      <c r="A5579" s="8">
        <v>5577</v>
      </c>
      <c r="B5579" s="8" t="s">
        <v>7694</v>
      </c>
      <c r="C5579" s="8" t="s">
        <v>11301</v>
      </c>
      <c r="D5579" s="8" t="s">
        <v>11302</v>
      </c>
      <c r="E5579" s="13">
        <v>0</v>
      </c>
      <c r="F5579" s="14">
        <v>0</v>
      </c>
    </row>
    <row r="5580" spans="1:6" x14ac:dyDescent="0.3">
      <c r="A5580" s="8">
        <v>5578</v>
      </c>
      <c r="B5580" s="8" t="s">
        <v>7694</v>
      </c>
      <c r="C5580" s="8" t="s">
        <v>11303</v>
      </c>
      <c r="D5580" s="8" t="s">
        <v>11304</v>
      </c>
      <c r="E5580" s="13">
        <v>0</v>
      </c>
      <c r="F5580" s="14">
        <v>0</v>
      </c>
    </row>
    <row r="5581" spans="1:6" x14ac:dyDescent="0.3">
      <c r="A5581" s="8">
        <v>5579</v>
      </c>
      <c r="B5581" s="8" t="s">
        <v>7694</v>
      </c>
      <c r="C5581" s="8" t="s">
        <v>11305</v>
      </c>
      <c r="D5581" s="8" t="s">
        <v>11306</v>
      </c>
      <c r="E5581" s="13">
        <v>0</v>
      </c>
      <c r="F5581" s="14">
        <v>0</v>
      </c>
    </row>
    <row r="5582" spans="1:6" x14ac:dyDescent="0.3">
      <c r="A5582" s="8">
        <v>5580</v>
      </c>
      <c r="B5582" s="8" t="s">
        <v>7694</v>
      </c>
      <c r="C5582" s="8" t="s">
        <v>11307</v>
      </c>
      <c r="D5582" s="8" t="s">
        <v>11308</v>
      </c>
      <c r="E5582" s="13">
        <v>0</v>
      </c>
      <c r="F5582" s="14">
        <v>0</v>
      </c>
    </row>
    <row r="5583" spans="1:6" x14ac:dyDescent="0.3">
      <c r="A5583" s="8">
        <v>5581</v>
      </c>
      <c r="B5583" s="8" t="s">
        <v>7694</v>
      </c>
      <c r="C5583" s="8" t="s">
        <v>11309</v>
      </c>
      <c r="D5583" s="8" t="s">
        <v>11310</v>
      </c>
      <c r="E5583" s="13">
        <v>0</v>
      </c>
      <c r="F5583" s="14">
        <v>0</v>
      </c>
    </row>
    <row r="5584" spans="1:6" x14ac:dyDescent="0.3">
      <c r="A5584" s="8">
        <v>5582</v>
      </c>
      <c r="B5584" s="8" t="s">
        <v>7694</v>
      </c>
      <c r="C5584" s="8" t="s">
        <v>11311</v>
      </c>
      <c r="D5584" s="8" t="s">
        <v>11312</v>
      </c>
      <c r="E5584" s="13">
        <v>0</v>
      </c>
      <c r="F5584" s="14">
        <v>814545</v>
      </c>
    </row>
    <row r="5585" spans="1:6" x14ac:dyDescent="0.3">
      <c r="A5585" s="8">
        <v>5583</v>
      </c>
      <c r="B5585" s="8" t="s">
        <v>7694</v>
      </c>
      <c r="C5585" s="8" t="s">
        <v>11313</v>
      </c>
      <c r="D5585" s="8" t="s">
        <v>11314</v>
      </c>
      <c r="E5585" s="13">
        <v>370000</v>
      </c>
      <c r="F5585" s="14">
        <v>740909</v>
      </c>
    </row>
    <row r="5586" spans="1:6" x14ac:dyDescent="0.3">
      <c r="A5586" s="8">
        <v>5584</v>
      </c>
      <c r="B5586" s="8" t="s">
        <v>7694</v>
      </c>
      <c r="C5586" s="8" t="s">
        <v>11315</v>
      </c>
      <c r="D5586" s="8" t="s">
        <v>11316</v>
      </c>
      <c r="E5586" s="13">
        <v>0</v>
      </c>
      <c r="F5586" s="14">
        <v>0</v>
      </c>
    </row>
    <row r="5587" spans="1:6" x14ac:dyDescent="0.3">
      <c r="A5587" s="8">
        <v>5585</v>
      </c>
      <c r="B5587" s="8" t="s">
        <v>7694</v>
      </c>
      <c r="C5587" s="8" t="s">
        <v>11317</v>
      </c>
      <c r="D5587" s="8" t="s">
        <v>11318</v>
      </c>
      <c r="E5587" s="13">
        <v>0</v>
      </c>
      <c r="F5587" s="14">
        <v>0</v>
      </c>
    </row>
    <row r="5588" spans="1:6" x14ac:dyDescent="0.3">
      <c r="A5588" s="8">
        <v>5586</v>
      </c>
      <c r="B5588" s="8" t="s">
        <v>7694</v>
      </c>
      <c r="C5588" s="8" t="s">
        <v>11319</v>
      </c>
      <c r="D5588" s="8" t="s">
        <v>11320</v>
      </c>
      <c r="E5588" s="13">
        <v>0</v>
      </c>
      <c r="F5588" s="14">
        <v>212727</v>
      </c>
    </row>
    <row r="5589" spans="1:6" x14ac:dyDescent="0.3">
      <c r="A5589" s="8">
        <v>5587</v>
      </c>
      <c r="B5589" s="8" t="s">
        <v>7694</v>
      </c>
      <c r="C5589" s="8" t="s">
        <v>11321</v>
      </c>
      <c r="D5589" s="8" t="s">
        <v>11322</v>
      </c>
      <c r="E5589" s="13">
        <v>230000</v>
      </c>
      <c r="F5589" s="14">
        <v>460000</v>
      </c>
    </row>
    <row r="5590" spans="1:6" x14ac:dyDescent="0.3">
      <c r="A5590" s="8">
        <v>5588</v>
      </c>
      <c r="B5590" s="8" t="s">
        <v>7694</v>
      </c>
      <c r="C5590" s="8" t="s">
        <v>11323</v>
      </c>
      <c r="D5590" s="8" t="s">
        <v>11324</v>
      </c>
      <c r="E5590" s="13">
        <v>0</v>
      </c>
      <c r="F5590" s="14">
        <v>17500000</v>
      </c>
    </row>
    <row r="5591" spans="1:6" x14ac:dyDescent="0.3">
      <c r="A5591" s="8">
        <v>5589</v>
      </c>
      <c r="B5591" s="8" t="s">
        <v>7694</v>
      </c>
      <c r="C5591" s="8" t="s">
        <v>11325</v>
      </c>
      <c r="D5591" s="8" t="s">
        <v>11326</v>
      </c>
      <c r="E5591" s="13">
        <v>0</v>
      </c>
      <c r="F5591" s="14">
        <v>23200000</v>
      </c>
    </row>
    <row r="5592" spans="1:6" x14ac:dyDescent="0.3">
      <c r="A5592" s="8">
        <v>5590</v>
      </c>
      <c r="B5592" s="8" t="s">
        <v>7694</v>
      </c>
      <c r="C5592" s="8" t="s">
        <v>11327</v>
      </c>
      <c r="D5592" s="8" t="s">
        <v>11328</v>
      </c>
      <c r="E5592" s="13">
        <v>0</v>
      </c>
      <c r="F5592" s="14">
        <v>694545</v>
      </c>
    </row>
    <row r="5593" spans="1:6" x14ac:dyDescent="0.3">
      <c r="A5593" s="8">
        <v>5591</v>
      </c>
      <c r="B5593" s="8" t="s">
        <v>7694</v>
      </c>
      <c r="C5593" s="8" t="s">
        <v>11329</v>
      </c>
      <c r="D5593" s="8" t="s">
        <v>11330</v>
      </c>
      <c r="E5593" s="13">
        <v>0</v>
      </c>
      <c r="F5593" s="14">
        <v>0</v>
      </c>
    </row>
    <row r="5594" spans="1:6" x14ac:dyDescent="0.3">
      <c r="A5594" s="8">
        <v>5592</v>
      </c>
      <c r="B5594" s="8" t="s">
        <v>7694</v>
      </c>
      <c r="C5594" s="8" t="s">
        <v>11331</v>
      </c>
      <c r="D5594" s="8" t="s">
        <v>11332</v>
      </c>
      <c r="E5594" s="13">
        <v>0</v>
      </c>
      <c r="F5594" s="14">
        <v>0</v>
      </c>
    </row>
    <row r="5595" spans="1:6" x14ac:dyDescent="0.3">
      <c r="A5595" s="8">
        <v>5593</v>
      </c>
      <c r="B5595" s="8" t="s">
        <v>7694</v>
      </c>
      <c r="C5595" s="8" t="s">
        <v>11333</v>
      </c>
      <c r="D5595" s="8" t="s">
        <v>11334</v>
      </c>
      <c r="E5595" s="13">
        <v>0</v>
      </c>
      <c r="F5595" s="14">
        <v>0</v>
      </c>
    </row>
    <row r="5596" spans="1:6" x14ac:dyDescent="0.3">
      <c r="A5596" s="8">
        <v>5594</v>
      </c>
      <c r="B5596" s="8" t="s">
        <v>7694</v>
      </c>
      <c r="C5596" s="8" t="s">
        <v>11335</v>
      </c>
      <c r="D5596" s="8" t="s">
        <v>11336</v>
      </c>
      <c r="E5596" s="13">
        <v>0</v>
      </c>
      <c r="F5596" s="14">
        <v>0</v>
      </c>
    </row>
    <row r="5597" spans="1:6" x14ac:dyDescent="0.3">
      <c r="A5597" s="8">
        <v>5595</v>
      </c>
      <c r="B5597" s="8" t="s">
        <v>7694</v>
      </c>
      <c r="C5597" s="8" t="s">
        <v>11337</v>
      </c>
      <c r="D5597" s="8" t="s">
        <v>11338</v>
      </c>
      <c r="E5597" s="13">
        <v>0</v>
      </c>
      <c r="F5597" s="14">
        <v>0</v>
      </c>
    </row>
    <row r="5598" spans="1:6" x14ac:dyDescent="0.3">
      <c r="A5598" s="8">
        <v>5596</v>
      </c>
      <c r="B5598" s="8" t="s">
        <v>7694</v>
      </c>
      <c r="C5598" s="8" t="s">
        <v>11339</v>
      </c>
      <c r="D5598" s="8" t="s">
        <v>11340</v>
      </c>
      <c r="E5598" s="13">
        <v>0</v>
      </c>
      <c r="F5598" s="14">
        <v>148500000</v>
      </c>
    </row>
    <row r="5599" spans="1:6" x14ac:dyDescent="0.3">
      <c r="A5599" s="8">
        <v>5597</v>
      </c>
      <c r="B5599" s="8" t="s">
        <v>7694</v>
      </c>
      <c r="C5599" s="8" t="s">
        <v>11341</v>
      </c>
      <c r="D5599" s="8" t="s">
        <v>11342</v>
      </c>
      <c r="E5599" s="13">
        <v>0</v>
      </c>
      <c r="F5599" s="14">
        <v>0</v>
      </c>
    </row>
    <row r="5600" spans="1:6" x14ac:dyDescent="0.3">
      <c r="A5600" s="8">
        <v>5598</v>
      </c>
      <c r="B5600" s="8" t="s">
        <v>7694</v>
      </c>
      <c r="C5600" s="8" t="s">
        <v>11343</v>
      </c>
      <c r="D5600" s="8" t="s">
        <v>11344</v>
      </c>
      <c r="E5600" s="13">
        <v>0</v>
      </c>
      <c r="F5600" s="14">
        <v>0</v>
      </c>
    </row>
    <row r="5601" spans="1:6" x14ac:dyDescent="0.3">
      <c r="A5601" s="8">
        <v>5599</v>
      </c>
      <c r="B5601" s="8" t="s">
        <v>7694</v>
      </c>
      <c r="C5601" s="8" t="s">
        <v>11345</v>
      </c>
      <c r="D5601" s="8" t="s">
        <v>11346</v>
      </c>
      <c r="E5601" s="13">
        <v>0</v>
      </c>
      <c r="F5601" s="14">
        <v>37950000</v>
      </c>
    </row>
    <row r="5602" spans="1:6" x14ac:dyDescent="0.3">
      <c r="A5602" s="8">
        <v>5600</v>
      </c>
      <c r="B5602" s="8" t="s">
        <v>7694</v>
      </c>
      <c r="C5602" s="8" t="s">
        <v>11347</v>
      </c>
      <c r="D5602" s="8" t="s">
        <v>11348</v>
      </c>
      <c r="E5602" s="13">
        <v>0</v>
      </c>
      <c r="F5602" s="14">
        <v>70400000</v>
      </c>
    </row>
    <row r="5603" spans="1:6" x14ac:dyDescent="0.3">
      <c r="A5603" s="8">
        <v>5601</v>
      </c>
      <c r="B5603" s="8" t="s">
        <v>6516</v>
      </c>
      <c r="C5603" s="8" t="s">
        <v>11349</v>
      </c>
      <c r="D5603" s="8" t="s">
        <v>11350</v>
      </c>
      <c r="E5603" s="13">
        <v>0</v>
      </c>
      <c r="F5603" s="14">
        <v>0</v>
      </c>
    </row>
    <row r="5604" spans="1:6" x14ac:dyDescent="0.3">
      <c r="A5604" s="8">
        <v>5602</v>
      </c>
      <c r="B5604" s="8" t="s">
        <v>6516</v>
      </c>
      <c r="C5604" s="8" t="s">
        <v>11351</v>
      </c>
      <c r="D5604" s="8" t="s">
        <v>11352</v>
      </c>
      <c r="E5604" s="13">
        <v>0</v>
      </c>
      <c r="F5604" s="14">
        <v>0</v>
      </c>
    </row>
    <row r="5605" spans="1:6" x14ac:dyDescent="0.3">
      <c r="A5605" s="8">
        <v>5603</v>
      </c>
      <c r="B5605" s="8" t="s">
        <v>6516</v>
      </c>
      <c r="C5605" s="8" t="s">
        <v>11353</v>
      </c>
      <c r="D5605" s="8" t="s">
        <v>11354</v>
      </c>
      <c r="E5605" s="13">
        <v>0</v>
      </c>
      <c r="F5605" s="14">
        <v>0</v>
      </c>
    </row>
    <row r="5606" spans="1:6" x14ac:dyDescent="0.3">
      <c r="A5606" s="8">
        <v>5604</v>
      </c>
      <c r="B5606" s="8" t="s">
        <v>6516</v>
      </c>
      <c r="C5606" s="8" t="s">
        <v>11355</v>
      </c>
      <c r="D5606" s="8" t="s">
        <v>11356</v>
      </c>
      <c r="E5606" s="13">
        <v>0</v>
      </c>
      <c r="F5606" s="14">
        <v>0</v>
      </c>
    </row>
    <row r="5607" spans="1:6" x14ac:dyDescent="0.3">
      <c r="A5607" s="8">
        <v>5605</v>
      </c>
      <c r="B5607" s="8" t="s">
        <v>6516</v>
      </c>
      <c r="C5607" s="8" t="s">
        <v>11357</v>
      </c>
      <c r="D5607" s="8" t="s">
        <v>11358</v>
      </c>
      <c r="E5607" s="13">
        <v>0</v>
      </c>
      <c r="F5607" s="14">
        <v>0</v>
      </c>
    </row>
    <row r="5608" spans="1:6" x14ac:dyDescent="0.3">
      <c r="A5608" s="8">
        <v>5606</v>
      </c>
      <c r="B5608" s="8" t="s">
        <v>6516</v>
      </c>
      <c r="C5608" s="8" t="s">
        <v>11359</v>
      </c>
      <c r="D5608" s="8" t="s">
        <v>11360</v>
      </c>
      <c r="E5608" s="13">
        <v>0</v>
      </c>
      <c r="F5608" s="14">
        <v>1212963</v>
      </c>
    </row>
    <row r="5609" spans="1:6" x14ac:dyDescent="0.3">
      <c r="A5609" s="8">
        <v>5607</v>
      </c>
      <c r="B5609" s="8" t="s">
        <v>6516</v>
      </c>
      <c r="C5609" s="8" t="s">
        <v>11361</v>
      </c>
      <c r="D5609" s="8" t="s">
        <v>11362</v>
      </c>
      <c r="E5609" s="13">
        <v>0</v>
      </c>
      <c r="F5609" s="14">
        <v>0</v>
      </c>
    </row>
    <row r="5610" spans="1:6" x14ac:dyDescent="0.3">
      <c r="A5610" s="8">
        <v>5608</v>
      </c>
      <c r="B5610" s="8" t="s">
        <v>6516</v>
      </c>
      <c r="C5610" s="8" t="s">
        <v>11363</v>
      </c>
      <c r="D5610" s="8" t="s">
        <v>11364</v>
      </c>
      <c r="E5610" s="13">
        <v>0</v>
      </c>
      <c r="F5610" s="14">
        <v>1501852</v>
      </c>
    </row>
    <row r="5611" spans="1:6" x14ac:dyDescent="0.3">
      <c r="A5611" s="8">
        <v>5609</v>
      </c>
      <c r="B5611" s="8" t="s">
        <v>6516</v>
      </c>
      <c r="C5611" s="8" t="s">
        <v>11365</v>
      </c>
      <c r="D5611" s="8" t="s">
        <v>11366</v>
      </c>
      <c r="E5611" s="13">
        <v>0</v>
      </c>
      <c r="F5611" s="14">
        <v>0</v>
      </c>
    </row>
    <row r="5612" spans="1:6" x14ac:dyDescent="0.3">
      <c r="A5612" s="8">
        <v>5610</v>
      </c>
      <c r="B5612" s="8" t="s">
        <v>6516</v>
      </c>
      <c r="C5612" s="8" t="s">
        <v>11367</v>
      </c>
      <c r="D5612" s="8" t="s">
        <v>11368</v>
      </c>
      <c r="E5612" s="13">
        <v>0</v>
      </c>
      <c r="F5612" s="14">
        <v>0</v>
      </c>
    </row>
    <row r="5613" spans="1:6" x14ac:dyDescent="0.3">
      <c r="A5613" s="8">
        <v>5611</v>
      </c>
      <c r="B5613" s="8" t="s">
        <v>6516</v>
      </c>
      <c r="C5613" s="8" t="s">
        <v>11369</v>
      </c>
      <c r="D5613" s="8" t="s">
        <v>11370</v>
      </c>
      <c r="E5613" s="13">
        <v>0</v>
      </c>
      <c r="F5613" s="14">
        <v>0</v>
      </c>
    </row>
    <row r="5614" spans="1:6" x14ac:dyDescent="0.3">
      <c r="A5614" s="8">
        <v>5612</v>
      </c>
      <c r="B5614" s="8" t="s">
        <v>6516</v>
      </c>
      <c r="C5614" s="8" t="s">
        <v>11371</v>
      </c>
      <c r="D5614" s="8" t="s">
        <v>11372</v>
      </c>
      <c r="E5614" s="13">
        <v>0</v>
      </c>
      <c r="F5614" s="14">
        <v>0</v>
      </c>
    </row>
    <row r="5615" spans="1:6" x14ac:dyDescent="0.3">
      <c r="A5615" s="8">
        <v>5613</v>
      </c>
      <c r="B5615" s="8" t="s">
        <v>6516</v>
      </c>
      <c r="C5615" s="8" t="s">
        <v>11373</v>
      </c>
      <c r="D5615" s="8" t="s">
        <v>11374</v>
      </c>
      <c r="E5615" s="13">
        <v>0</v>
      </c>
      <c r="F5615" s="14">
        <v>0</v>
      </c>
    </row>
    <row r="5616" spans="1:6" x14ac:dyDescent="0.3">
      <c r="A5616" s="8">
        <v>5614</v>
      </c>
      <c r="B5616" s="8" t="s">
        <v>6516</v>
      </c>
      <c r="C5616" s="8" t="s">
        <v>11375</v>
      </c>
      <c r="D5616" s="8" t="s">
        <v>11376</v>
      </c>
      <c r="E5616" s="13">
        <v>0</v>
      </c>
      <c r="F5616" s="14">
        <v>0</v>
      </c>
    </row>
    <row r="5617" spans="1:6" x14ac:dyDescent="0.3">
      <c r="A5617" s="8">
        <v>5615</v>
      </c>
      <c r="B5617" s="8" t="s">
        <v>7355</v>
      </c>
      <c r="C5617" s="8" t="s">
        <v>11377</v>
      </c>
      <c r="D5617" s="8" t="s">
        <v>11378</v>
      </c>
      <c r="E5617" s="13">
        <v>0</v>
      </c>
      <c r="F5617" s="14">
        <v>0</v>
      </c>
    </row>
    <row r="5618" spans="1:6" x14ac:dyDescent="0.3">
      <c r="A5618" s="8">
        <v>5616</v>
      </c>
      <c r="B5618" s="8" t="s">
        <v>7355</v>
      </c>
      <c r="C5618" s="8" t="s">
        <v>11379</v>
      </c>
      <c r="D5618" s="8" t="s">
        <v>11380</v>
      </c>
      <c r="E5618" s="13">
        <v>371000</v>
      </c>
      <c r="F5618" s="14">
        <v>639000</v>
      </c>
    </row>
    <row r="5619" spans="1:6" x14ac:dyDescent="0.3">
      <c r="A5619" s="8">
        <v>5617</v>
      </c>
      <c r="B5619" s="8" t="s">
        <v>7355</v>
      </c>
      <c r="C5619" s="8" t="s">
        <v>11381</v>
      </c>
      <c r="D5619" s="8" t="s">
        <v>11382</v>
      </c>
      <c r="E5619" s="13">
        <v>0</v>
      </c>
      <c r="F5619" s="14">
        <v>0</v>
      </c>
    </row>
    <row r="5620" spans="1:6" x14ac:dyDescent="0.3">
      <c r="A5620" s="8">
        <v>5618</v>
      </c>
      <c r="B5620" s="8" t="s">
        <v>7355</v>
      </c>
      <c r="C5620" s="8" t="s">
        <v>11383</v>
      </c>
      <c r="D5620" s="8" t="s">
        <v>11384</v>
      </c>
      <c r="E5620" s="13">
        <v>231000</v>
      </c>
      <c r="F5620" s="14">
        <v>462037</v>
      </c>
    </row>
    <row r="5621" spans="1:6" x14ac:dyDescent="0.3">
      <c r="A5621" s="8">
        <v>5619</v>
      </c>
      <c r="B5621" s="8" t="s">
        <v>7355</v>
      </c>
      <c r="C5621" s="8" t="s">
        <v>11385</v>
      </c>
      <c r="D5621" s="8" t="s">
        <v>11386</v>
      </c>
      <c r="E5621" s="13">
        <v>0</v>
      </c>
      <c r="F5621" s="14">
        <v>0</v>
      </c>
    </row>
    <row r="5622" spans="1:6" x14ac:dyDescent="0.3">
      <c r="A5622" s="8">
        <v>5620</v>
      </c>
      <c r="B5622" s="8" t="s">
        <v>7355</v>
      </c>
      <c r="C5622" s="8" t="s">
        <v>11387</v>
      </c>
      <c r="D5622" s="8" t="s">
        <v>11388</v>
      </c>
      <c r="E5622" s="13">
        <v>229000</v>
      </c>
      <c r="F5622" s="14">
        <v>458333</v>
      </c>
    </row>
    <row r="5623" spans="1:6" x14ac:dyDescent="0.3">
      <c r="A5623" s="8">
        <v>5621</v>
      </c>
      <c r="B5623" s="8" t="s">
        <v>7355</v>
      </c>
      <c r="C5623" s="8" t="s">
        <v>11389</v>
      </c>
      <c r="D5623" s="8" t="s">
        <v>11390</v>
      </c>
      <c r="E5623" s="13">
        <v>6174000</v>
      </c>
      <c r="F5623" s="14">
        <v>9800000</v>
      </c>
    </row>
    <row r="5624" spans="1:6" x14ac:dyDescent="0.3">
      <c r="A5624" s="8">
        <v>5622</v>
      </c>
      <c r="B5624" s="8" t="s">
        <v>7355</v>
      </c>
      <c r="C5624" s="8" t="s">
        <v>11391</v>
      </c>
      <c r="D5624" s="8" t="s">
        <v>11392</v>
      </c>
      <c r="E5624" s="13">
        <v>0</v>
      </c>
      <c r="F5624" s="14">
        <v>0</v>
      </c>
    </row>
    <row r="5625" spans="1:6" x14ac:dyDescent="0.3">
      <c r="A5625" s="8">
        <v>5623</v>
      </c>
      <c r="B5625" s="8" t="s">
        <v>7368</v>
      </c>
      <c r="C5625" s="8" t="s">
        <v>11393</v>
      </c>
      <c r="D5625" s="8" t="s">
        <v>11394</v>
      </c>
      <c r="E5625" s="13">
        <v>0</v>
      </c>
      <c r="F5625" s="14">
        <v>0</v>
      </c>
    </row>
    <row r="5626" spans="1:6" x14ac:dyDescent="0.3">
      <c r="A5626" s="8">
        <v>5624</v>
      </c>
      <c r="B5626" s="8" t="s">
        <v>7368</v>
      </c>
      <c r="C5626" s="8" t="s">
        <v>11395</v>
      </c>
      <c r="D5626" s="8" t="s">
        <v>11396</v>
      </c>
      <c r="E5626" s="13">
        <v>72200</v>
      </c>
      <c r="F5626" s="14">
        <v>145000</v>
      </c>
    </row>
    <row r="5627" spans="1:6" x14ac:dyDescent="0.3">
      <c r="A5627" s="8">
        <v>5625</v>
      </c>
      <c r="B5627" s="8" t="s">
        <v>7694</v>
      </c>
      <c r="C5627" s="8" t="s">
        <v>11397</v>
      </c>
      <c r="D5627" s="8" t="s">
        <v>11398</v>
      </c>
      <c r="E5627" s="13">
        <v>142400</v>
      </c>
      <c r="F5627" s="14">
        <v>256000</v>
      </c>
    </row>
    <row r="5628" spans="1:6" x14ac:dyDescent="0.3">
      <c r="A5628" s="8">
        <v>5626</v>
      </c>
      <c r="B5628" s="8" t="s">
        <v>7694</v>
      </c>
      <c r="C5628" s="8" t="s">
        <v>11399</v>
      </c>
      <c r="D5628" s="8" t="s">
        <v>11400</v>
      </c>
      <c r="E5628" s="13">
        <v>911000</v>
      </c>
      <c r="F5628" s="14">
        <v>1651852</v>
      </c>
    </row>
    <row r="5629" spans="1:6" x14ac:dyDescent="0.3">
      <c r="A5629" s="8">
        <v>5627</v>
      </c>
      <c r="B5629" s="8" t="s">
        <v>7694</v>
      </c>
      <c r="C5629" s="8" t="s">
        <v>11401</v>
      </c>
      <c r="D5629" s="8" t="s">
        <v>11402</v>
      </c>
      <c r="E5629" s="13">
        <v>117000</v>
      </c>
      <c r="F5629" s="14">
        <v>234259</v>
      </c>
    </row>
    <row r="5630" spans="1:6" x14ac:dyDescent="0.3">
      <c r="A5630" s="8">
        <v>5628</v>
      </c>
      <c r="B5630" s="8" t="s">
        <v>7694</v>
      </c>
      <c r="C5630" s="8" t="s">
        <v>11403</v>
      </c>
      <c r="D5630" s="8" t="s">
        <v>11404</v>
      </c>
      <c r="E5630" s="13">
        <v>77200</v>
      </c>
      <c r="F5630" s="14">
        <v>154630</v>
      </c>
    </row>
    <row r="5631" spans="1:6" x14ac:dyDescent="0.3">
      <c r="A5631" s="8">
        <v>5629</v>
      </c>
      <c r="B5631" s="8" t="s">
        <v>7694</v>
      </c>
      <c r="C5631" s="8" t="s">
        <v>11405</v>
      </c>
      <c r="D5631" s="8" t="s">
        <v>11406</v>
      </c>
      <c r="E5631" s="13">
        <v>0</v>
      </c>
      <c r="F5631" s="14">
        <v>380000</v>
      </c>
    </row>
    <row r="5632" spans="1:6" x14ac:dyDescent="0.3">
      <c r="A5632" s="8">
        <v>5630</v>
      </c>
      <c r="B5632" s="8" t="s">
        <v>7694</v>
      </c>
      <c r="C5632" s="8" t="s">
        <v>11407</v>
      </c>
      <c r="D5632" s="8" t="s">
        <v>11408</v>
      </c>
      <c r="E5632" s="13">
        <v>97000</v>
      </c>
      <c r="F5632" s="14">
        <v>193519</v>
      </c>
    </row>
    <row r="5633" spans="1:6" x14ac:dyDescent="0.3">
      <c r="A5633" s="8">
        <v>5631</v>
      </c>
      <c r="B5633" s="8" t="s">
        <v>7694</v>
      </c>
      <c r="C5633" s="8" t="s">
        <v>11409</v>
      </c>
      <c r="D5633" s="8" t="s">
        <v>11410</v>
      </c>
      <c r="E5633" s="13">
        <v>0</v>
      </c>
      <c r="F5633" s="14">
        <v>0</v>
      </c>
    </row>
    <row r="5634" spans="1:6" x14ac:dyDescent="0.3">
      <c r="A5634" s="8">
        <v>5632</v>
      </c>
      <c r="B5634" s="8" t="s">
        <v>7694</v>
      </c>
      <c r="C5634" s="8" t="s">
        <v>11411</v>
      </c>
      <c r="D5634" s="8" t="s">
        <v>11412</v>
      </c>
      <c r="E5634" s="13">
        <v>0</v>
      </c>
      <c r="F5634" s="14">
        <v>936364</v>
      </c>
    </row>
    <row r="5635" spans="1:6" x14ac:dyDescent="0.3">
      <c r="A5635" s="8">
        <v>5633</v>
      </c>
      <c r="B5635" s="8" t="s">
        <v>7694</v>
      </c>
      <c r="C5635" s="8" t="s">
        <v>11413</v>
      </c>
      <c r="D5635" s="8" t="s">
        <v>11414</v>
      </c>
      <c r="E5635" s="13">
        <v>0</v>
      </c>
      <c r="F5635" s="14">
        <v>0</v>
      </c>
    </row>
    <row r="5636" spans="1:6" x14ac:dyDescent="0.3">
      <c r="A5636" s="8">
        <v>5634</v>
      </c>
      <c r="B5636" s="8" t="s">
        <v>7694</v>
      </c>
      <c r="C5636" s="8" t="s">
        <v>11415</v>
      </c>
      <c r="D5636" s="8" t="s">
        <v>11416</v>
      </c>
      <c r="E5636" s="13">
        <v>127000</v>
      </c>
      <c r="F5636" s="14">
        <v>253704</v>
      </c>
    </row>
    <row r="5637" spans="1:6" x14ac:dyDescent="0.3">
      <c r="A5637" s="8">
        <v>5635</v>
      </c>
      <c r="B5637" s="8" t="s">
        <v>7694</v>
      </c>
      <c r="C5637" s="8" t="s">
        <v>11417</v>
      </c>
      <c r="D5637" s="8" t="s">
        <v>11418</v>
      </c>
      <c r="E5637" s="13">
        <v>162000</v>
      </c>
      <c r="F5637" s="14">
        <v>324074</v>
      </c>
    </row>
    <row r="5638" spans="1:6" x14ac:dyDescent="0.3">
      <c r="A5638" s="8">
        <v>5636</v>
      </c>
      <c r="B5638" s="8" t="s">
        <v>7694</v>
      </c>
      <c r="C5638" s="8" t="s">
        <v>11419</v>
      </c>
      <c r="D5638" s="8" t="s">
        <v>11420</v>
      </c>
      <c r="E5638" s="13">
        <v>0</v>
      </c>
      <c r="F5638" s="14">
        <v>0</v>
      </c>
    </row>
    <row r="5639" spans="1:6" x14ac:dyDescent="0.3">
      <c r="A5639" s="8">
        <v>5637</v>
      </c>
      <c r="B5639" s="8" t="s">
        <v>7694</v>
      </c>
      <c r="C5639" s="8" t="s">
        <v>11421</v>
      </c>
      <c r="D5639" s="8" t="s">
        <v>11422</v>
      </c>
      <c r="E5639" s="13">
        <v>1240000</v>
      </c>
      <c r="F5639" s="14">
        <v>2479630</v>
      </c>
    </row>
    <row r="5640" spans="1:6" x14ac:dyDescent="0.3">
      <c r="A5640" s="8">
        <v>5638</v>
      </c>
      <c r="B5640" s="8" t="s">
        <v>7694</v>
      </c>
      <c r="C5640" s="8" t="s">
        <v>11423</v>
      </c>
      <c r="D5640" s="8" t="s">
        <v>11424</v>
      </c>
      <c r="E5640" s="13">
        <v>0</v>
      </c>
      <c r="F5640" s="14">
        <v>0</v>
      </c>
    </row>
    <row r="5641" spans="1:6" x14ac:dyDescent="0.3">
      <c r="A5641" s="8">
        <v>5639</v>
      </c>
      <c r="B5641" s="8" t="s">
        <v>7694</v>
      </c>
      <c r="C5641" s="8" t="s">
        <v>11425</v>
      </c>
      <c r="D5641" s="8" t="s">
        <v>11426</v>
      </c>
      <c r="E5641" s="13">
        <v>0</v>
      </c>
      <c r="F5641" s="14">
        <v>0</v>
      </c>
    </row>
    <row r="5642" spans="1:6" x14ac:dyDescent="0.3">
      <c r="A5642" s="8">
        <v>5640</v>
      </c>
      <c r="B5642" s="8" t="s">
        <v>7694</v>
      </c>
      <c r="C5642" s="8" t="s">
        <v>11427</v>
      </c>
      <c r="D5642" s="8" t="s">
        <v>11428</v>
      </c>
      <c r="E5642" s="13">
        <v>0</v>
      </c>
      <c r="F5642" s="14">
        <v>0</v>
      </c>
    </row>
    <row r="5643" spans="1:6" x14ac:dyDescent="0.3">
      <c r="A5643" s="8">
        <v>5641</v>
      </c>
      <c r="B5643" s="8" t="s">
        <v>7694</v>
      </c>
      <c r="C5643" s="8" t="s">
        <v>11429</v>
      </c>
      <c r="D5643" s="8" t="s">
        <v>11430</v>
      </c>
      <c r="E5643" s="13">
        <v>0</v>
      </c>
      <c r="F5643" s="14">
        <v>0</v>
      </c>
    </row>
    <row r="5644" spans="1:6" x14ac:dyDescent="0.3">
      <c r="A5644" s="8">
        <v>5642</v>
      </c>
      <c r="B5644" s="8" t="s">
        <v>7694</v>
      </c>
      <c r="C5644" s="8" t="s">
        <v>11431</v>
      </c>
      <c r="D5644" s="8" t="s">
        <v>11432</v>
      </c>
      <c r="E5644" s="13">
        <v>0</v>
      </c>
      <c r="F5644" s="14">
        <v>0</v>
      </c>
    </row>
    <row r="5645" spans="1:6" x14ac:dyDescent="0.3">
      <c r="A5645" s="8">
        <v>5643</v>
      </c>
      <c r="B5645" s="8" t="s">
        <v>7694</v>
      </c>
      <c r="C5645" s="8" t="s">
        <v>11433</v>
      </c>
      <c r="D5645" s="8" t="s">
        <v>11434</v>
      </c>
      <c r="E5645" s="13">
        <v>230000</v>
      </c>
      <c r="F5645" s="14">
        <v>460185</v>
      </c>
    </row>
    <row r="5646" spans="1:6" x14ac:dyDescent="0.3">
      <c r="A5646" s="8">
        <v>5644</v>
      </c>
      <c r="B5646" s="8" t="s">
        <v>7694</v>
      </c>
      <c r="C5646" s="8" t="s">
        <v>11435</v>
      </c>
      <c r="D5646" s="8" t="s">
        <v>11436</v>
      </c>
      <c r="E5646" s="13">
        <v>342600</v>
      </c>
      <c r="F5646" s="14">
        <v>685455</v>
      </c>
    </row>
    <row r="5647" spans="1:6" x14ac:dyDescent="0.3">
      <c r="A5647" s="8">
        <v>5645</v>
      </c>
      <c r="B5647" s="8" t="s">
        <v>7694</v>
      </c>
      <c r="C5647" s="8" t="s">
        <v>11437</v>
      </c>
      <c r="D5647" s="8" t="s">
        <v>11438</v>
      </c>
      <c r="E5647" s="13">
        <v>0</v>
      </c>
      <c r="F5647" s="14">
        <v>0</v>
      </c>
    </row>
    <row r="5648" spans="1:6" x14ac:dyDescent="0.3">
      <c r="A5648" s="8">
        <v>5646</v>
      </c>
      <c r="B5648" s="8" t="s">
        <v>7694</v>
      </c>
      <c r="C5648" s="8" t="s">
        <v>11439</v>
      </c>
      <c r="D5648" s="8" t="s">
        <v>11440</v>
      </c>
      <c r="E5648" s="13">
        <v>0</v>
      </c>
      <c r="F5648" s="14">
        <v>0</v>
      </c>
    </row>
    <row r="5649" spans="1:6" x14ac:dyDescent="0.3">
      <c r="A5649" s="8">
        <v>5647</v>
      </c>
      <c r="B5649" s="8" t="s">
        <v>7694</v>
      </c>
      <c r="C5649" s="8" t="s">
        <v>11441</v>
      </c>
      <c r="D5649" s="8" t="s">
        <v>11442</v>
      </c>
      <c r="E5649" s="13">
        <v>0</v>
      </c>
      <c r="F5649" s="14">
        <v>0</v>
      </c>
    </row>
    <row r="5650" spans="1:6" x14ac:dyDescent="0.3">
      <c r="A5650" s="8">
        <v>5648</v>
      </c>
      <c r="B5650" s="8" t="s">
        <v>7694</v>
      </c>
      <c r="C5650" s="8" t="s">
        <v>11443</v>
      </c>
      <c r="D5650" s="8" t="s">
        <v>11444</v>
      </c>
      <c r="E5650" s="13">
        <v>0</v>
      </c>
      <c r="F5650" s="14">
        <v>0</v>
      </c>
    </row>
    <row r="5651" spans="1:6" x14ac:dyDescent="0.3">
      <c r="A5651" s="8">
        <v>5649</v>
      </c>
      <c r="B5651" s="8" t="s">
        <v>7694</v>
      </c>
      <c r="C5651" s="8" t="s">
        <v>11445</v>
      </c>
      <c r="D5651" s="8" t="s">
        <v>11446</v>
      </c>
      <c r="E5651" s="13">
        <v>0</v>
      </c>
      <c r="F5651" s="14">
        <v>0</v>
      </c>
    </row>
    <row r="5652" spans="1:6" x14ac:dyDescent="0.3">
      <c r="A5652" s="8">
        <v>5650</v>
      </c>
      <c r="B5652" s="8" t="s">
        <v>7694</v>
      </c>
      <c r="C5652" s="8" t="s">
        <v>11447</v>
      </c>
      <c r="D5652" s="8" t="s">
        <v>11448</v>
      </c>
      <c r="E5652" s="13">
        <v>0</v>
      </c>
      <c r="F5652" s="14">
        <v>0</v>
      </c>
    </row>
    <row r="5653" spans="1:6" x14ac:dyDescent="0.3">
      <c r="A5653" s="8">
        <v>5651</v>
      </c>
      <c r="B5653" s="8" t="s">
        <v>7694</v>
      </c>
      <c r="C5653" s="8" t="s">
        <v>11449</v>
      </c>
      <c r="D5653" s="8" t="s">
        <v>11450</v>
      </c>
      <c r="E5653" s="13">
        <v>324100</v>
      </c>
      <c r="F5653" s="14">
        <v>648182</v>
      </c>
    </row>
    <row r="5654" spans="1:6" x14ac:dyDescent="0.3">
      <c r="A5654" s="8">
        <v>5652</v>
      </c>
      <c r="B5654" s="8" t="s">
        <v>7694</v>
      </c>
      <c r="C5654" s="8" t="s">
        <v>11451</v>
      </c>
      <c r="D5654" s="8" t="s">
        <v>11452</v>
      </c>
      <c r="E5654" s="13">
        <v>333400</v>
      </c>
      <c r="F5654" s="14">
        <v>666364</v>
      </c>
    </row>
    <row r="5655" spans="1:6" x14ac:dyDescent="0.3">
      <c r="A5655" s="8">
        <v>5653</v>
      </c>
      <c r="B5655" s="8" t="s">
        <v>7694</v>
      </c>
      <c r="C5655" s="8" t="s">
        <v>11453</v>
      </c>
      <c r="D5655" s="8" t="s">
        <v>11454</v>
      </c>
      <c r="E5655" s="13">
        <v>342600</v>
      </c>
      <c r="F5655" s="14">
        <v>685455</v>
      </c>
    </row>
    <row r="5656" spans="1:6" x14ac:dyDescent="0.3">
      <c r="A5656" s="8">
        <v>5654</v>
      </c>
      <c r="B5656" s="8" t="s">
        <v>7694</v>
      </c>
      <c r="C5656" s="8" t="s">
        <v>11455</v>
      </c>
      <c r="D5656" s="8" t="s">
        <v>11456</v>
      </c>
      <c r="E5656" s="13">
        <v>5740000</v>
      </c>
      <c r="F5656" s="14">
        <v>0</v>
      </c>
    </row>
    <row r="5657" spans="1:6" x14ac:dyDescent="0.3">
      <c r="A5657" s="8">
        <v>5655</v>
      </c>
      <c r="B5657" s="8" t="s">
        <v>7694</v>
      </c>
      <c r="C5657" s="8" t="s">
        <v>11457</v>
      </c>
      <c r="D5657" s="8" t="s">
        <v>11458</v>
      </c>
      <c r="E5657" s="13">
        <v>0</v>
      </c>
      <c r="F5657" s="14">
        <v>0</v>
      </c>
    </row>
    <row r="5658" spans="1:6" x14ac:dyDescent="0.3">
      <c r="A5658" s="8">
        <v>5656</v>
      </c>
      <c r="B5658" s="8" t="s">
        <v>7694</v>
      </c>
      <c r="C5658" s="8" t="s">
        <v>11459</v>
      </c>
      <c r="D5658" s="8" t="s">
        <v>11460</v>
      </c>
      <c r="E5658" s="13">
        <v>0</v>
      </c>
      <c r="F5658" s="14">
        <v>0</v>
      </c>
    </row>
    <row r="5659" spans="1:6" x14ac:dyDescent="0.3">
      <c r="A5659" s="8">
        <v>5657</v>
      </c>
      <c r="B5659" s="8" t="s">
        <v>7694</v>
      </c>
      <c r="C5659" s="8" t="s">
        <v>11461</v>
      </c>
      <c r="D5659" s="8" t="s">
        <v>11462</v>
      </c>
      <c r="E5659" s="13">
        <v>0</v>
      </c>
      <c r="F5659" s="14">
        <v>7000000</v>
      </c>
    </row>
    <row r="5660" spans="1:6" x14ac:dyDescent="0.3">
      <c r="A5660" s="8">
        <v>5658</v>
      </c>
      <c r="B5660" s="8" t="s">
        <v>7694</v>
      </c>
      <c r="C5660" s="8" t="s">
        <v>11463</v>
      </c>
      <c r="D5660" s="8" t="s">
        <v>11464</v>
      </c>
      <c r="E5660" s="13">
        <v>0</v>
      </c>
      <c r="F5660" s="14">
        <v>0</v>
      </c>
    </row>
    <row r="5661" spans="1:6" x14ac:dyDescent="0.3">
      <c r="A5661" s="8">
        <v>5659</v>
      </c>
      <c r="B5661" s="8" t="s">
        <v>7694</v>
      </c>
      <c r="C5661" s="8" t="s">
        <v>11465</v>
      </c>
      <c r="D5661" s="8" t="s">
        <v>11466</v>
      </c>
      <c r="E5661" s="13">
        <v>0</v>
      </c>
      <c r="F5661" s="14">
        <v>814545</v>
      </c>
    </row>
    <row r="5662" spans="1:6" x14ac:dyDescent="0.3">
      <c r="A5662" s="8">
        <v>5660</v>
      </c>
      <c r="B5662" s="8" t="s">
        <v>7694</v>
      </c>
      <c r="C5662" s="8" t="s">
        <v>11467</v>
      </c>
      <c r="D5662" s="8" t="s">
        <v>11468</v>
      </c>
      <c r="E5662" s="13">
        <v>0</v>
      </c>
      <c r="F5662" s="14">
        <v>0</v>
      </c>
    </row>
    <row r="5663" spans="1:6" x14ac:dyDescent="0.3">
      <c r="A5663" s="8">
        <v>5661</v>
      </c>
      <c r="B5663" s="8" t="s">
        <v>7694</v>
      </c>
      <c r="C5663" s="8" t="s">
        <v>11469</v>
      </c>
      <c r="D5663" s="8" t="s">
        <v>11470</v>
      </c>
      <c r="E5663" s="13">
        <v>370000</v>
      </c>
      <c r="F5663" s="14">
        <v>740909</v>
      </c>
    </row>
    <row r="5664" spans="1:6" x14ac:dyDescent="0.3">
      <c r="A5664" s="8">
        <v>5662</v>
      </c>
      <c r="B5664" s="8" t="s">
        <v>7694</v>
      </c>
      <c r="C5664" s="8" t="s">
        <v>11471</v>
      </c>
      <c r="D5664" s="8" t="s">
        <v>11472</v>
      </c>
      <c r="E5664" s="13">
        <v>0</v>
      </c>
      <c r="F5664" s="14">
        <v>0</v>
      </c>
    </row>
    <row r="5665" spans="1:6" x14ac:dyDescent="0.3">
      <c r="A5665" s="8">
        <v>5663</v>
      </c>
      <c r="B5665" s="8" t="s">
        <v>7694</v>
      </c>
      <c r="C5665" s="8" t="s">
        <v>11473</v>
      </c>
      <c r="D5665" s="8" t="s">
        <v>11474</v>
      </c>
      <c r="E5665" s="13">
        <v>0</v>
      </c>
      <c r="F5665" s="14">
        <v>0</v>
      </c>
    </row>
    <row r="5666" spans="1:6" x14ac:dyDescent="0.3">
      <c r="A5666" s="8">
        <v>5664</v>
      </c>
      <c r="B5666" s="8" t="s">
        <v>7694</v>
      </c>
      <c r="C5666" s="8" t="s">
        <v>11475</v>
      </c>
      <c r="D5666" s="8" t="s">
        <v>11476</v>
      </c>
      <c r="E5666" s="13">
        <v>285000</v>
      </c>
      <c r="F5666" s="14">
        <v>570370</v>
      </c>
    </row>
    <row r="5667" spans="1:6" x14ac:dyDescent="0.3">
      <c r="A5667" s="8">
        <v>5665</v>
      </c>
      <c r="B5667" s="8" t="s">
        <v>7694</v>
      </c>
      <c r="C5667" s="8" t="s">
        <v>11477</v>
      </c>
      <c r="D5667" s="8" t="s">
        <v>11478</v>
      </c>
      <c r="E5667" s="13">
        <v>450000</v>
      </c>
      <c r="F5667" s="14">
        <v>900000</v>
      </c>
    </row>
    <row r="5668" spans="1:6" x14ac:dyDescent="0.3">
      <c r="A5668" s="8">
        <v>5666</v>
      </c>
      <c r="B5668" s="8" t="s">
        <v>7694</v>
      </c>
      <c r="C5668" s="8" t="s">
        <v>11479</v>
      </c>
      <c r="D5668" s="8" t="s">
        <v>11480</v>
      </c>
      <c r="E5668" s="13">
        <v>90000</v>
      </c>
      <c r="F5668" s="14">
        <v>179630</v>
      </c>
    </row>
    <row r="5669" spans="1:6" x14ac:dyDescent="0.3">
      <c r="A5669" s="8">
        <v>5667</v>
      </c>
      <c r="B5669" s="8" t="s">
        <v>7694</v>
      </c>
      <c r="C5669" s="8" t="s">
        <v>11481</v>
      </c>
      <c r="D5669" s="8" t="s">
        <v>11482</v>
      </c>
      <c r="E5669" s="13">
        <v>333400</v>
      </c>
      <c r="F5669" s="14">
        <v>666364</v>
      </c>
    </row>
    <row r="5670" spans="1:6" x14ac:dyDescent="0.3">
      <c r="A5670" s="8">
        <v>5668</v>
      </c>
      <c r="B5670" s="8" t="s">
        <v>7694</v>
      </c>
      <c r="C5670" s="8" t="s">
        <v>11483</v>
      </c>
      <c r="D5670" s="8" t="s">
        <v>11484</v>
      </c>
      <c r="E5670" s="13">
        <v>0</v>
      </c>
      <c r="F5670" s="14">
        <v>0</v>
      </c>
    </row>
    <row r="5671" spans="1:6" x14ac:dyDescent="0.3">
      <c r="A5671" s="8">
        <v>5669</v>
      </c>
      <c r="B5671" s="8" t="s">
        <v>7694</v>
      </c>
      <c r="C5671" s="8" t="s">
        <v>11485</v>
      </c>
      <c r="D5671" s="8" t="s">
        <v>11486</v>
      </c>
      <c r="E5671" s="13">
        <v>0</v>
      </c>
      <c r="F5671" s="14">
        <v>11750000</v>
      </c>
    </row>
    <row r="5672" spans="1:6" x14ac:dyDescent="0.3">
      <c r="A5672" s="8">
        <v>5670</v>
      </c>
      <c r="B5672" s="8" t="s">
        <v>7694</v>
      </c>
      <c r="C5672" s="8" t="s">
        <v>11487</v>
      </c>
      <c r="D5672" s="8" t="s">
        <v>11488</v>
      </c>
      <c r="E5672" s="13">
        <v>0</v>
      </c>
      <c r="F5672" s="14">
        <v>0</v>
      </c>
    </row>
    <row r="5673" spans="1:6" x14ac:dyDescent="0.3">
      <c r="A5673" s="8">
        <v>5671</v>
      </c>
      <c r="B5673" s="8" t="s">
        <v>7694</v>
      </c>
      <c r="C5673" s="8" t="s">
        <v>11489</v>
      </c>
      <c r="D5673" s="8" t="s">
        <v>11490</v>
      </c>
      <c r="E5673" s="13">
        <v>0</v>
      </c>
      <c r="F5673" s="14">
        <v>418182</v>
      </c>
    </row>
    <row r="5674" spans="1:6" x14ac:dyDescent="0.3">
      <c r="A5674" s="8">
        <v>5672</v>
      </c>
      <c r="B5674" s="8" t="s">
        <v>7694</v>
      </c>
      <c r="C5674" s="8" t="s">
        <v>11491</v>
      </c>
      <c r="D5674" s="8" t="s">
        <v>11492</v>
      </c>
      <c r="E5674" s="13">
        <v>0</v>
      </c>
      <c r="F5674" s="14">
        <v>211750000</v>
      </c>
    </row>
    <row r="5675" spans="1:6" x14ac:dyDescent="0.3">
      <c r="A5675" s="8">
        <v>5673</v>
      </c>
      <c r="B5675" s="8" t="s">
        <v>7694</v>
      </c>
      <c r="C5675" s="8" t="s">
        <v>11493</v>
      </c>
      <c r="D5675" s="8" t="s">
        <v>11494</v>
      </c>
      <c r="E5675" s="13">
        <v>0</v>
      </c>
      <c r="F5675" s="14">
        <v>0</v>
      </c>
    </row>
    <row r="5676" spans="1:6" x14ac:dyDescent="0.3">
      <c r="A5676" s="8">
        <v>5674</v>
      </c>
      <c r="B5676" s="8" t="s">
        <v>7694</v>
      </c>
      <c r="C5676" s="8" t="s">
        <v>11495</v>
      </c>
      <c r="D5676" s="8" t="s">
        <v>11496</v>
      </c>
      <c r="E5676" s="13">
        <v>127000</v>
      </c>
      <c r="F5676" s="14">
        <v>253704</v>
      </c>
    </row>
    <row r="5677" spans="1:6" x14ac:dyDescent="0.3">
      <c r="A5677" s="8">
        <v>5675</v>
      </c>
      <c r="B5677" s="8" t="s">
        <v>7694</v>
      </c>
      <c r="C5677" s="8" t="s">
        <v>11497</v>
      </c>
      <c r="D5677" s="8" t="s">
        <v>11498</v>
      </c>
      <c r="E5677" s="13">
        <v>0</v>
      </c>
      <c r="F5677" s="14">
        <v>0</v>
      </c>
    </row>
    <row r="5678" spans="1:6" x14ac:dyDescent="0.3">
      <c r="A5678" s="8">
        <v>5676</v>
      </c>
      <c r="B5678" s="8" t="s">
        <v>7694</v>
      </c>
      <c r="C5678" s="8" t="s">
        <v>11499</v>
      </c>
      <c r="D5678" s="8" t="s">
        <v>11500</v>
      </c>
      <c r="E5678" s="13">
        <v>0</v>
      </c>
      <c r="F5678" s="14">
        <v>0</v>
      </c>
    </row>
    <row r="5679" spans="1:6" x14ac:dyDescent="0.3">
      <c r="A5679" s="8">
        <v>5677</v>
      </c>
      <c r="B5679" s="8" t="s">
        <v>7694</v>
      </c>
      <c r="C5679" s="8" t="s">
        <v>11501</v>
      </c>
      <c r="D5679" s="8" t="s">
        <v>11502</v>
      </c>
      <c r="E5679" s="13">
        <v>133000</v>
      </c>
      <c r="F5679" s="14">
        <v>265741</v>
      </c>
    </row>
    <row r="5680" spans="1:6" x14ac:dyDescent="0.3">
      <c r="A5680" s="8">
        <v>5678</v>
      </c>
      <c r="B5680" s="8" t="s">
        <v>7694</v>
      </c>
      <c r="C5680" s="8" t="s">
        <v>11503</v>
      </c>
      <c r="D5680" s="8" t="s">
        <v>11504</v>
      </c>
      <c r="E5680" s="13">
        <v>0</v>
      </c>
      <c r="F5680" s="14">
        <v>0</v>
      </c>
    </row>
    <row r="5681" spans="1:6" x14ac:dyDescent="0.3">
      <c r="A5681" s="8">
        <v>5679</v>
      </c>
      <c r="B5681" s="8" t="s">
        <v>7694</v>
      </c>
      <c r="C5681" s="8" t="s">
        <v>11505</v>
      </c>
      <c r="D5681" s="8" t="s">
        <v>11506</v>
      </c>
      <c r="E5681" s="13">
        <v>315000</v>
      </c>
      <c r="F5681" s="14">
        <v>629630</v>
      </c>
    </row>
    <row r="5682" spans="1:6" x14ac:dyDescent="0.3">
      <c r="A5682" s="8">
        <v>5680</v>
      </c>
      <c r="B5682" s="8" t="s">
        <v>7694</v>
      </c>
      <c r="C5682" s="8" t="s">
        <v>11507</v>
      </c>
      <c r="D5682" s="8" t="s">
        <v>11508</v>
      </c>
      <c r="E5682" s="13">
        <v>440000</v>
      </c>
      <c r="F5682" s="14">
        <v>879630</v>
      </c>
    </row>
    <row r="5683" spans="1:6" x14ac:dyDescent="0.3">
      <c r="A5683" s="8">
        <v>5681</v>
      </c>
      <c r="B5683" s="8" t="s">
        <v>7694</v>
      </c>
      <c r="C5683" s="8" t="s">
        <v>11509</v>
      </c>
      <c r="D5683" s="8" t="s">
        <v>11510</v>
      </c>
      <c r="E5683" s="13">
        <v>0</v>
      </c>
      <c r="F5683" s="14">
        <v>0</v>
      </c>
    </row>
    <row r="5684" spans="1:6" x14ac:dyDescent="0.3">
      <c r="A5684" s="8">
        <v>5682</v>
      </c>
      <c r="B5684" s="8" t="s">
        <v>7694</v>
      </c>
      <c r="C5684" s="8" t="s">
        <v>11511</v>
      </c>
      <c r="D5684" s="8" t="s">
        <v>11512</v>
      </c>
      <c r="E5684" s="13">
        <v>0</v>
      </c>
      <c r="F5684" s="14">
        <v>0</v>
      </c>
    </row>
    <row r="5685" spans="1:6" x14ac:dyDescent="0.3">
      <c r="A5685" s="8">
        <v>5683</v>
      </c>
      <c r="B5685" s="8" t="s">
        <v>7694</v>
      </c>
      <c r="C5685" s="8" t="s">
        <v>11513</v>
      </c>
      <c r="D5685" s="8" t="s">
        <v>11514</v>
      </c>
      <c r="E5685" s="13">
        <v>160200</v>
      </c>
      <c r="F5685" s="14">
        <v>320370</v>
      </c>
    </row>
    <row r="5686" spans="1:6" x14ac:dyDescent="0.3">
      <c r="A5686" s="8">
        <v>5684</v>
      </c>
      <c r="B5686" s="8" t="s">
        <v>7694</v>
      </c>
      <c r="C5686" s="8" t="s">
        <v>11515</v>
      </c>
      <c r="D5686" s="8" t="s">
        <v>11516</v>
      </c>
      <c r="E5686" s="13">
        <v>0</v>
      </c>
      <c r="F5686" s="14">
        <v>0</v>
      </c>
    </row>
    <row r="5687" spans="1:6" x14ac:dyDescent="0.3">
      <c r="A5687" s="8">
        <v>5685</v>
      </c>
      <c r="B5687" s="8" t="s">
        <v>7694</v>
      </c>
      <c r="C5687" s="8" t="s">
        <v>11517</v>
      </c>
      <c r="D5687" s="8" t="s">
        <v>11518</v>
      </c>
      <c r="E5687" s="13">
        <v>0</v>
      </c>
      <c r="F5687" s="14">
        <v>0</v>
      </c>
    </row>
    <row r="5688" spans="1:6" x14ac:dyDescent="0.3">
      <c r="A5688" s="8">
        <v>5686</v>
      </c>
      <c r="B5688" s="8" t="s">
        <v>7694</v>
      </c>
      <c r="C5688" s="8" t="s">
        <v>11519</v>
      </c>
      <c r="D5688" s="8" t="s">
        <v>11520</v>
      </c>
      <c r="E5688" s="13">
        <v>206500</v>
      </c>
      <c r="F5688" s="14">
        <v>412963</v>
      </c>
    </row>
    <row r="5689" spans="1:6" x14ac:dyDescent="0.3">
      <c r="A5689" s="8">
        <v>5687</v>
      </c>
      <c r="B5689" s="8" t="s">
        <v>7694</v>
      </c>
      <c r="C5689" s="8" t="s">
        <v>11521</v>
      </c>
      <c r="D5689" s="8" t="s">
        <v>11522</v>
      </c>
      <c r="E5689" s="13">
        <v>324100</v>
      </c>
      <c r="F5689" s="14">
        <v>648182</v>
      </c>
    </row>
    <row r="5690" spans="1:6" x14ac:dyDescent="0.3">
      <c r="A5690" s="8">
        <v>5688</v>
      </c>
      <c r="B5690" s="8" t="s">
        <v>7694</v>
      </c>
      <c r="C5690" s="8" t="s">
        <v>11523</v>
      </c>
      <c r="D5690" s="8" t="s">
        <v>11524</v>
      </c>
      <c r="E5690" s="13">
        <v>0</v>
      </c>
      <c r="F5690" s="14">
        <v>0</v>
      </c>
    </row>
    <row r="5691" spans="1:6" x14ac:dyDescent="0.3">
      <c r="A5691" s="8">
        <v>5689</v>
      </c>
      <c r="B5691" s="8" t="s">
        <v>7694</v>
      </c>
      <c r="C5691" s="8" t="s">
        <v>11525</v>
      </c>
      <c r="D5691" s="8" t="s">
        <v>11526</v>
      </c>
      <c r="E5691" s="13">
        <v>0</v>
      </c>
      <c r="F5691" s="14">
        <v>0</v>
      </c>
    </row>
    <row r="5692" spans="1:6" x14ac:dyDescent="0.3">
      <c r="A5692" s="8">
        <v>5690</v>
      </c>
      <c r="B5692" s="8" t="s">
        <v>7694</v>
      </c>
      <c r="C5692" s="8" t="s">
        <v>11527</v>
      </c>
      <c r="D5692" s="8" t="s">
        <v>11528</v>
      </c>
      <c r="E5692" s="13">
        <v>4189000</v>
      </c>
      <c r="F5692" s="14">
        <v>7000000</v>
      </c>
    </row>
    <row r="5693" spans="1:6" x14ac:dyDescent="0.3">
      <c r="A5693" s="8">
        <v>5691</v>
      </c>
      <c r="B5693" s="8" t="s">
        <v>7694</v>
      </c>
      <c r="C5693" s="8" t="s">
        <v>11529</v>
      </c>
      <c r="D5693" s="8" t="s">
        <v>11530</v>
      </c>
      <c r="E5693" s="13">
        <v>0</v>
      </c>
      <c r="F5693" s="14">
        <v>851818</v>
      </c>
    </row>
    <row r="5694" spans="1:6" x14ac:dyDescent="0.3">
      <c r="A5694" s="8">
        <v>5692</v>
      </c>
      <c r="B5694" s="8" t="s">
        <v>7694</v>
      </c>
      <c r="C5694" s="8" t="s">
        <v>11531</v>
      </c>
      <c r="D5694" s="8" t="s">
        <v>11532</v>
      </c>
      <c r="E5694" s="13">
        <v>342600</v>
      </c>
      <c r="F5694" s="14">
        <v>685455</v>
      </c>
    </row>
    <row r="5695" spans="1:6" x14ac:dyDescent="0.3">
      <c r="A5695" s="8">
        <v>5693</v>
      </c>
      <c r="B5695" s="8" t="s">
        <v>7694</v>
      </c>
      <c r="C5695" s="8" t="s">
        <v>11533</v>
      </c>
      <c r="D5695" s="8" t="s">
        <v>11534</v>
      </c>
      <c r="E5695" s="13">
        <v>342600</v>
      </c>
      <c r="F5695" s="14">
        <v>685455</v>
      </c>
    </row>
    <row r="5696" spans="1:6" x14ac:dyDescent="0.3">
      <c r="A5696" s="8">
        <v>5694</v>
      </c>
      <c r="B5696" s="8" t="s">
        <v>7694</v>
      </c>
      <c r="C5696" s="8" t="s">
        <v>11535</v>
      </c>
      <c r="D5696" s="8" t="s">
        <v>11536</v>
      </c>
      <c r="E5696" s="13">
        <v>0</v>
      </c>
      <c r="F5696" s="14">
        <v>0</v>
      </c>
    </row>
    <row r="5697" spans="1:6" x14ac:dyDescent="0.3">
      <c r="A5697" s="8">
        <v>5695</v>
      </c>
      <c r="B5697" s="8" t="s">
        <v>7694</v>
      </c>
      <c r="C5697" s="8" t="s">
        <v>11537</v>
      </c>
      <c r="D5697" s="8" t="s">
        <v>11538</v>
      </c>
      <c r="E5697" s="13">
        <v>0</v>
      </c>
      <c r="F5697" s="14">
        <v>0</v>
      </c>
    </row>
    <row r="5698" spans="1:6" x14ac:dyDescent="0.3">
      <c r="A5698" s="8">
        <v>5696</v>
      </c>
      <c r="B5698" s="8" t="s">
        <v>7694</v>
      </c>
      <c r="C5698" s="8" t="s">
        <v>11539</v>
      </c>
      <c r="D5698" s="8" t="s">
        <v>11540</v>
      </c>
      <c r="E5698" s="13">
        <v>370000</v>
      </c>
      <c r="F5698" s="14">
        <v>740909</v>
      </c>
    </row>
    <row r="5699" spans="1:6" x14ac:dyDescent="0.3">
      <c r="A5699" s="8">
        <v>5697</v>
      </c>
      <c r="B5699" s="8" t="s">
        <v>7694</v>
      </c>
      <c r="C5699" s="8" t="s">
        <v>11541</v>
      </c>
      <c r="D5699" s="8" t="s">
        <v>11542</v>
      </c>
      <c r="E5699" s="13">
        <v>0</v>
      </c>
      <c r="F5699" s="14">
        <v>0</v>
      </c>
    </row>
    <row r="5700" spans="1:6" x14ac:dyDescent="0.3">
      <c r="A5700" s="8">
        <v>5698</v>
      </c>
      <c r="B5700" s="8" t="s">
        <v>7694</v>
      </c>
      <c r="C5700" s="8" t="s">
        <v>11543</v>
      </c>
      <c r="D5700" s="8" t="s">
        <v>11544</v>
      </c>
      <c r="E5700" s="13">
        <v>0</v>
      </c>
      <c r="F5700" s="14">
        <v>694545</v>
      </c>
    </row>
    <row r="5701" spans="1:6" x14ac:dyDescent="0.3">
      <c r="A5701" s="8">
        <v>5699</v>
      </c>
      <c r="B5701" s="8" t="s">
        <v>7694</v>
      </c>
      <c r="C5701" s="8" t="s">
        <v>11545</v>
      </c>
      <c r="D5701" s="8" t="s">
        <v>11546</v>
      </c>
      <c r="E5701" s="13">
        <v>0</v>
      </c>
      <c r="F5701" s="14">
        <v>720000</v>
      </c>
    </row>
    <row r="5702" spans="1:6" x14ac:dyDescent="0.3">
      <c r="A5702" s="8">
        <v>5700</v>
      </c>
      <c r="B5702" s="8" t="s">
        <v>7694</v>
      </c>
      <c r="C5702" s="8" t="s">
        <v>11547</v>
      </c>
      <c r="D5702" s="8" t="s">
        <v>11548</v>
      </c>
      <c r="E5702" s="13">
        <v>0</v>
      </c>
      <c r="F5702" s="14">
        <v>1000000</v>
      </c>
    </row>
    <row r="5703" spans="1:6" x14ac:dyDescent="0.3">
      <c r="A5703" s="8">
        <v>5701</v>
      </c>
      <c r="B5703" s="8" t="s">
        <v>7694</v>
      </c>
      <c r="C5703" s="8" t="s">
        <v>11549</v>
      </c>
      <c r="D5703" s="8" t="s">
        <v>11550</v>
      </c>
      <c r="E5703" s="13">
        <v>22000</v>
      </c>
      <c r="F5703" s="14">
        <v>43636</v>
      </c>
    </row>
    <row r="5704" spans="1:6" x14ac:dyDescent="0.3">
      <c r="A5704" s="8">
        <v>5702</v>
      </c>
      <c r="B5704" s="8" t="s">
        <v>7694</v>
      </c>
      <c r="C5704" s="8" t="s">
        <v>11551</v>
      </c>
      <c r="D5704" s="8" t="s">
        <v>11552</v>
      </c>
      <c r="E5704" s="13">
        <v>0</v>
      </c>
      <c r="F5704" s="14">
        <v>0</v>
      </c>
    </row>
    <row r="5705" spans="1:6" x14ac:dyDescent="0.3">
      <c r="A5705" s="8">
        <v>5703</v>
      </c>
      <c r="B5705" s="8" t="s">
        <v>7694</v>
      </c>
      <c r="C5705" s="8" t="s">
        <v>11553</v>
      </c>
      <c r="D5705" s="8" t="s">
        <v>11554</v>
      </c>
      <c r="E5705" s="13">
        <v>0</v>
      </c>
      <c r="F5705" s="14">
        <v>0</v>
      </c>
    </row>
    <row r="5706" spans="1:6" x14ac:dyDescent="0.3">
      <c r="A5706" s="8">
        <v>5704</v>
      </c>
      <c r="B5706" s="8" t="s">
        <v>7694</v>
      </c>
      <c r="C5706" s="8" t="s">
        <v>11555</v>
      </c>
      <c r="D5706" s="8" t="s">
        <v>11556</v>
      </c>
      <c r="E5706" s="13">
        <v>0</v>
      </c>
      <c r="F5706" s="14">
        <v>114400000</v>
      </c>
    </row>
    <row r="5707" spans="1:6" x14ac:dyDescent="0.3">
      <c r="A5707" s="8">
        <v>5705</v>
      </c>
      <c r="B5707" s="8" t="s">
        <v>7694</v>
      </c>
      <c r="C5707" s="8" t="s">
        <v>11557</v>
      </c>
      <c r="D5707" s="8" t="s">
        <v>11558</v>
      </c>
      <c r="E5707" s="13">
        <v>0</v>
      </c>
      <c r="F5707" s="14">
        <v>39160000</v>
      </c>
    </row>
    <row r="5708" spans="1:6" x14ac:dyDescent="0.3">
      <c r="A5708" s="8">
        <v>5706</v>
      </c>
      <c r="B5708" s="8" t="s">
        <v>7694</v>
      </c>
      <c r="C5708" s="8" t="s">
        <v>11559</v>
      </c>
      <c r="D5708" s="8" t="s">
        <v>11560</v>
      </c>
      <c r="E5708" s="13">
        <v>0</v>
      </c>
      <c r="F5708" s="14">
        <v>112200000</v>
      </c>
    </row>
    <row r="5709" spans="1:6" x14ac:dyDescent="0.3">
      <c r="A5709" s="8">
        <v>5707</v>
      </c>
      <c r="B5709" s="8" t="s">
        <v>7694</v>
      </c>
      <c r="C5709" s="8" t="s">
        <v>11561</v>
      </c>
      <c r="D5709" s="8" t="s">
        <v>11562</v>
      </c>
      <c r="E5709" s="13">
        <v>0</v>
      </c>
      <c r="F5709" s="14">
        <v>0</v>
      </c>
    </row>
    <row r="5710" spans="1:6" x14ac:dyDescent="0.3">
      <c r="A5710" s="8">
        <v>5708</v>
      </c>
      <c r="B5710" s="8" t="s">
        <v>7694</v>
      </c>
      <c r="C5710" s="8" t="s">
        <v>11563</v>
      </c>
      <c r="D5710" s="8" t="s">
        <v>11564</v>
      </c>
      <c r="E5710" s="13">
        <v>0</v>
      </c>
      <c r="F5710" s="14">
        <v>0</v>
      </c>
    </row>
    <row r="5711" spans="1:6" x14ac:dyDescent="0.3">
      <c r="A5711" s="8">
        <v>5709</v>
      </c>
      <c r="B5711" s="8" t="s">
        <v>7694</v>
      </c>
      <c r="C5711" s="8" t="s">
        <v>11565</v>
      </c>
      <c r="D5711" s="8" t="s">
        <v>11566</v>
      </c>
      <c r="E5711" s="13">
        <v>0</v>
      </c>
      <c r="F5711" s="14">
        <v>193050000</v>
      </c>
    </row>
    <row r="5712" spans="1:6" x14ac:dyDescent="0.3">
      <c r="A5712" s="8">
        <v>5710</v>
      </c>
      <c r="B5712" s="8" t="s">
        <v>9463</v>
      </c>
      <c r="C5712" s="8" t="s">
        <v>11567</v>
      </c>
      <c r="D5712" s="8" t="s">
        <v>11568</v>
      </c>
      <c r="E5712" s="13">
        <v>0</v>
      </c>
      <c r="F5712" s="14">
        <v>0</v>
      </c>
    </row>
    <row r="5713" spans="1:6" x14ac:dyDescent="0.3">
      <c r="A5713" s="8">
        <v>5711</v>
      </c>
      <c r="B5713" s="8" t="s">
        <v>9463</v>
      </c>
      <c r="C5713" s="8" t="s">
        <v>11569</v>
      </c>
      <c r="D5713" s="8" t="s">
        <v>11570</v>
      </c>
      <c r="E5713" s="13">
        <v>20000</v>
      </c>
      <c r="F5713" s="14">
        <v>39815</v>
      </c>
    </row>
    <row r="5714" spans="1:6" x14ac:dyDescent="0.3">
      <c r="A5714" s="8">
        <v>5712</v>
      </c>
      <c r="B5714" s="8" t="s">
        <v>9463</v>
      </c>
      <c r="C5714" s="8" t="s">
        <v>11571</v>
      </c>
      <c r="D5714" s="8" t="s">
        <v>11572</v>
      </c>
      <c r="E5714" s="13">
        <v>0</v>
      </c>
      <c r="F5714" s="14">
        <v>0</v>
      </c>
    </row>
    <row r="5715" spans="1:6" x14ac:dyDescent="0.3">
      <c r="A5715" s="8">
        <v>5713</v>
      </c>
      <c r="B5715" s="8" t="s">
        <v>9478</v>
      </c>
      <c r="C5715" s="8" t="s">
        <v>11573</v>
      </c>
      <c r="D5715" s="8" t="s">
        <v>11574</v>
      </c>
      <c r="E5715" s="13">
        <v>0</v>
      </c>
      <c r="F5715" s="14">
        <v>0</v>
      </c>
    </row>
    <row r="5716" spans="1:6" x14ac:dyDescent="0.3">
      <c r="A5716" s="8">
        <v>5714</v>
      </c>
      <c r="B5716" s="8" t="s">
        <v>9478</v>
      </c>
      <c r="C5716" s="8" t="s">
        <v>11575</v>
      </c>
      <c r="D5716" s="8" t="s">
        <v>11576</v>
      </c>
      <c r="E5716" s="13">
        <v>0</v>
      </c>
      <c r="F5716" s="14">
        <v>0</v>
      </c>
    </row>
    <row r="5717" spans="1:6" x14ac:dyDescent="0.3">
      <c r="A5717" s="8">
        <v>5715</v>
      </c>
      <c r="B5717" s="8" t="s">
        <v>9478</v>
      </c>
      <c r="C5717" s="8" t="s">
        <v>11577</v>
      </c>
      <c r="D5717" s="8" t="s">
        <v>44</v>
      </c>
      <c r="E5717" s="13">
        <v>111000</v>
      </c>
      <c r="F5717" s="14">
        <v>222222</v>
      </c>
    </row>
    <row r="5718" spans="1:6" x14ac:dyDescent="0.3">
      <c r="A5718" s="8">
        <v>5716</v>
      </c>
      <c r="B5718" s="8" t="s">
        <v>9478</v>
      </c>
      <c r="C5718" s="8" t="s">
        <v>11578</v>
      </c>
      <c r="D5718" s="8" t="s">
        <v>11579</v>
      </c>
      <c r="E5718" s="13">
        <v>0</v>
      </c>
      <c r="F5718" s="14">
        <v>0</v>
      </c>
    </row>
    <row r="5719" spans="1:6" x14ac:dyDescent="0.3">
      <c r="A5719" s="8">
        <v>5717</v>
      </c>
      <c r="B5719" s="8" t="s">
        <v>9478</v>
      </c>
      <c r="C5719" s="8" t="s">
        <v>11580</v>
      </c>
      <c r="D5719" s="8" t="s">
        <v>11581</v>
      </c>
      <c r="E5719" s="13">
        <v>0</v>
      </c>
      <c r="F5719" s="14">
        <v>0</v>
      </c>
    </row>
    <row r="5720" spans="1:6" x14ac:dyDescent="0.3">
      <c r="A5720" s="8">
        <v>5718</v>
      </c>
      <c r="B5720" s="8" t="s">
        <v>9478</v>
      </c>
      <c r="C5720" s="8" t="s">
        <v>11582</v>
      </c>
      <c r="D5720" s="8" t="s">
        <v>11583</v>
      </c>
      <c r="E5720" s="13">
        <v>0</v>
      </c>
      <c r="F5720" s="14">
        <v>0</v>
      </c>
    </row>
    <row r="5721" spans="1:6" x14ac:dyDescent="0.3">
      <c r="A5721" s="8">
        <v>5719</v>
      </c>
      <c r="B5721" s="8" t="s">
        <v>9478</v>
      </c>
      <c r="C5721" s="8" t="s">
        <v>11584</v>
      </c>
      <c r="D5721" s="8" t="s">
        <v>11585</v>
      </c>
      <c r="E5721" s="13">
        <v>0</v>
      </c>
      <c r="F5721" s="14">
        <v>0</v>
      </c>
    </row>
    <row r="5722" spans="1:6" x14ac:dyDescent="0.3">
      <c r="A5722" s="8">
        <v>5720</v>
      </c>
      <c r="B5722" s="8" t="s">
        <v>9478</v>
      </c>
      <c r="C5722" s="8" t="s">
        <v>11586</v>
      </c>
      <c r="D5722" s="8" t="s">
        <v>11587</v>
      </c>
      <c r="E5722" s="13">
        <v>0</v>
      </c>
      <c r="F5722" s="14">
        <v>0</v>
      </c>
    </row>
    <row r="5723" spans="1:6" x14ac:dyDescent="0.3">
      <c r="A5723" s="8">
        <v>5721</v>
      </c>
      <c r="B5723" s="8" t="s">
        <v>9478</v>
      </c>
      <c r="C5723" s="8" t="s">
        <v>11588</v>
      </c>
      <c r="D5723" s="8" t="s">
        <v>11589</v>
      </c>
      <c r="E5723" s="13">
        <v>0</v>
      </c>
      <c r="F5723" s="14">
        <v>0</v>
      </c>
    </row>
    <row r="5724" spans="1:6" x14ac:dyDescent="0.3">
      <c r="A5724" s="8">
        <v>5722</v>
      </c>
      <c r="B5724" s="8" t="s">
        <v>6516</v>
      </c>
      <c r="C5724" s="8" t="s">
        <v>11590</v>
      </c>
      <c r="D5724" s="8" t="s">
        <v>11591</v>
      </c>
      <c r="E5724" s="13">
        <v>0</v>
      </c>
      <c r="F5724" s="14">
        <v>0</v>
      </c>
    </row>
    <row r="5725" spans="1:6" x14ac:dyDescent="0.3">
      <c r="A5725" s="8">
        <v>5723</v>
      </c>
      <c r="B5725" s="8" t="s">
        <v>6516</v>
      </c>
      <c r="C5725" s="8" t="s">
        <v>11592</v>
      </c>
      <c r="D5725" s="8" t="s">
        <v>11593</v>
      </c>
      <c r="E5725" s="13">
        <v>0</v>
      </c>
      <c r="F5725" s="14">
        <v>1212963</v>
      </c>
    </row>
    <row r="5726" spans="1:6" x14ac:dyDescent="0.3">
      <c r="A5726" s="8">
        <v>5724</v>
      </c>
      <c r="B5726" s="8" t="s">
        <v>6516</v>
      </c>
      <c r="C5726" s="8" t="s">
        <v>11594</v>
      </c>
      <c r="D5726" s="8" t="s">
        <v>11595</v>
      </c>
      <c r="E5726" s="13">
        <v>0</v>
      </c>
      <c r="F5726" s="14">
        <v>0</v>
      </c>
    </row>
    <row r="5727" spans="1:6" x14ac:dyDescent="0.3">
      <c r="A5727" s="8">
        <v>5725</v>
      </c>
      <c r="B5727" s="8" t="s">
        <v>6516</v>
      </c>
      <c r="C5727" s="8" t="s">
        <v>11596</v>
      </c>
      <c r="D5727" s="8" t="s">
        <v>11597</v>
      </c>
      <c r="E5727" s="13">
        <v>0</v>
      </c>
      <c r="F5727" s="14">
        <v>0</v>
      </c>
    </row>
    <row r="5728" spans="1:6" x14ac:dyDescent="0.3">
      <c r="A5728" s="8">
        <v>5726</v>
      </c>
      <c r="B5728" s="8" t="s">
        <v>6516</v>
      </c>
      <c r="C5728" s="8" t="s">
        <v>11598</v>
      </c>
      <c r="D5728" s="8" t="s">
        <v>11599</v>
      </c>
      <c r="E5728" s="13">
        <v>0</v>
      </c>
      <c r="F5728" s="14">
        <v>0</v>
      </c>
    </row>
    <row r="5729" spans="1:6" x14ac:dyDescent="0.3">
      <c r="A5729" s="8">
        <v>5727</v>
      </c>
      <c r="B5729" s="8" t="s">
        <v>6516</v>
      </c>
      <c r="C5729" s="8" t="s">
        <v>11600</v>
      </c>
      <c r="D5729" s="8" t="s">
        <v>11601</v>
      </c>
      <c r="E5729" s="13">
        <v>0</v>
      </c>
      <c r="F5729" s="14">
        <v>0</v>
      </c>
    </row>
    <row r="5730" spans="1:6" x14ac:dyDescent="0.3">
      <c r="A5730" s="8">
        <v>5728</v>
      </c>
      <c r="B5730" s="8" t="s">
        <v>6516</v>
      </c>
      <c r="C5730" s="8" t="s">
        <v>11602</v>
      </c>
      <c r="D5730" s="8" t="s">
        <v>11603</v>
      </c>
      <c r="E5730" s="13">
        <v>0</v>
      </c>
      <c r="F5730" s="14">
        <v>0</v>
      </c>
    </row>
    <row r="5731" spans="1:6" x14ac:dyDescent="0.3">
      <c r="A5731" s="8">
        <v>5729</v>
      </c>
      <c r="B5731" s="8" t="s">
        <v>6516</v>
      </c>
      <c r="C5731" s="8" t="s">
        <v>11604</v>
      </c>
      <c r="D5731" s="8" t="s">
        <v>11605</v>
      </c>
      <c r="E5731" s="13">
        <v>0</v>
      </c>
      <c r="F5731" s="14">
        <v>0</v>
      </c>
    </row>
    <row r="5732" spans="1:6" x14ac:dyDescent="0.3">
      <c r="A5732" s="8">
        <v>5730</v>
      </c>
      <c r="B5732" s="8" t="s">
        <v>6516</v>
      </c>
      <c r="C5732" s="8" t="s">
        <v>11606</v>
      </c>
      <c r="D5732" s="8" t="s">
        <v>11607</v>
      </c>
      <c r="E5732" s="13">
        <v>0</v>
      </c>
      <c r="F5732" s="14">
        <v>0</v>
      </c>
    </row>
    <row r="5733" spans="1:6" x14ac:dyDescent="0.3">
      <c r="A5733" s="8">
        <v>5731</v>
      </c>
      <c r="B5733" s="8" t="s">
        <v>6516</v>
      </c>
      <c r="C5733" s="8" t="s">
        <v>11608</v>
      </c>
      <c r="D5733" s="8" t="s">
        <v>11609</v>
      </c>
      <c r="E5733" s="13">
        <v>0</v>
      </c>
      <c r="F5733" s="14">
        <v>0</v>
      </c>
    </row>
    <row r="5734" spans="1:6" x14ac:dyDescent="0.3">
      <c r="A5734" s="8">
        <v>5732</v>
      </c>
      <c r="B5734" s="8" t="s">
        <v>6516</v>
      </c>
      <c r="C5734" s="8" t="s">
        <v>11610</v>
      </c>
      <c r="D5734" s="8" t="s">
        <v>11611</v>
      </c>
      <c r="E5734" s="13">
        <v>0</v>
      </c>
      <c r="F5734" s="14">
        <v>0</v>
      </c>
    </row>
    <row r="5735" spans="1:6" x14ac:dyDescent="0.3">
      <c r="A5735" s="8">
        <v>5733</v>
      </c>
      <c r="B5735" s="8" t="s">
        <v>6516</v>
      </c>
      <c r="C5735" s="8" t="s">
        <v>11612</v>
      </c>
      <c r="D5735" s="8" t="s">
        <v>11613</v>
      </c>
      <c r="E5735" s="13">
        <v>0</v>
      </c>
      <c r="F5735" s="14">
        <v>0</v>
      </c>
    </row>
    <row r="5736" spans="1:6" x14ac:dyDescent="0.3">
      <c r="A5736" s="8">
        <v>5734</v>
      </c>
      <c r="B5736" s="8" t="s">
        <v>6516</v>
      </c>
      <c r="C5736" s="8" t="s">
        <v>11614</v>
      </c>
      <c r="D5736" s="8" t="s">
        <v>11615</v>
      </c>
      <c r="E5736" s="13">
        <v>0</v>
      </c>
      <c r="F5736" s="14">
        <v>0</v>
      </c>
    </row>
    <row r="5737" spans="1:6" x14ac:dyDescent="0.3">
      <c r="A5737" s="8">
        <v>5735</v>
      </c>
      <c r="B5737" s="8" t="s">
        <v>6516</v>
      </c>
      <c r="C5737" s="8" t="s">
        <v>11616</v>
      </c>
      <c r="D5737" s="8" t="s">
        <v>11617</v>
      </c>
      <c r="E5737" s="13">
        <v>0</v>
      </c>
      <c r="F5737" s="14">
        <v>0</v>
      </c>
    </row>
    <row r="5738" spans="1:6" x14ac:dyDescent="0.3">
      <c r="A5738" s="8">
        <v>5736</v>
      </c>
      <c r="B5738" s="8" t="s">
        <v>7355</v>
      </c>
      <c r="C5738" s="8" t="s">
        <v>11618</v>
      </c>
      <c r="D5738" s="8" t="s">
        <v>11619</v>
      </c>
      <c r="E5738" s="13">
        <v>136000</v>
      </c>
      <c r="F5738" s="14">
        <v>272000</v>
      </c>
    </row>
    <row r="5739" spans="1:6" x14ac:dyDescent="0.3">
      <c r="A5739" s="8">
        <v>5737</v>
      </c>
      <c r="B5739" s="8" t="s">
        <v>7355</v>
      </c>
      <c r="C5739" s="8" t="s">
        <v>11620</v>
      </c>
      <c r="D5739" s="8" t="s">
        <v>11621</v>
      </c>
      <c r="E5739" s="13">
        <v>24500</v>
      </c>
      <c r="F5739" s="14">
        <v>39000</v>
      </c>
    </row>
    <row r="5740" spans="1:6" x14ac:dyDescent="0.3">
      <c r="A5740" s="8">
        <v>5738</v>
      </c>
      <c r="B5740" s="8" t="s">
        <v>7355</v>
      </c>
      <c r="C5740" s="8" t="s">
        <v>11622</v>
      </c>
      <c r="D5740" s="8" t="s">
        <v>11623</v>
      </c>
      <c r="E5740" s="13">
        <v>0</v>
      </c>
      <c r="F5740" s="14">
        <v>0</v>
      </c>
    </row>
    <row r="5741" spans="1:6" x14ac:dyDescent="0.3">
      <c r="A5741" s="8">
        <v>5739</v>
      </c>
      <c r="B5741" s="8" t="s">
        <v>7355</v>
      </c>
      <c r="C5741" s="8" t="s">
        <v>11624</v>
      </c>
      <c r="D5741" s="8" t="s">
        <v>11625</v>
      </c>
      <c r="E5741" s="13">
        <v>127000</v>
      </c>
      <c r="F5741" s="14">
        <v>220000</v>
      </c>
    </row>
    <row r="5742" spans="1:6" x14ac:dyDescent="0.3">
      <c r="A5742" s="8">
        <v>5740</v>
      </c>
      <c r="B5742" s="8" t="s">
        <v>7355</v>
      </c>
      <c r="C5742" s="8" t="s">
        <v>11626</v>
      </c>
      <c r="D5742" s="8" t="s">
        <v>11627</v>
      </c>
      <c r="E5742" s="13">
        <v>0</v>
      </c>
      <c r="F5742" s="14">
        <v>0</v>
      </c>
    </row>
    <row r="5743" spans="1:6" x14ac:dyDescent="0.3">
      <c r="A5743" s="8">
        <v>5741</v>
      </c>
      <c r="B5743" s="8" t="s">
        <v>7355</v>
      </c>
      <c r="C5743" s="8" t="s">
        <v>11628</v>
      </c>
      <c r="D5743" s="8" t="s">
        <v>11629</v>
      </c>
      <c r="E5743" s="13">
        <v>126000</v>
      </c>
      <c r="F5743" s="14">
        <v>252000</v>
      </c>
    </row>
    <row r="5744" spans="1:6" x14ac:dyDescent="0.3">
      <c r="A5744" s="8">
        <v>5742</v>
      </c>
      <c r="B5744" s="8" t="s">
        <v>7355</v>
      </c>
      <c r="C5744" s="8" t="s">
        <v>11630</v>
      </c>
      <c r="D5744" s="8" t="s">
        <v>11631</v>
      </c>
      <c r="E5744" s="13">
        <v>88700</v>
      </c>
      <c r="F5744" s="14">
        <v>176852</v>
      </c>
    </row>
    <row r="5745" spans="1:6" x14ac:dyDescent="0.3">
      <c r="A5745" s="8">
        <v>5743</v>
      </c>
      <c r="B5745" s="8" t="s">
        <v>7355</v>
      </c>
      <c r="C5745" s="8" t="s">
        <v>11632</v>
      </c>
      <c r="D5745" s="8" t="s">
        <v>11633</v>
      </c>
      <c r="E5745" s="13">
        <v>0</v>
      </c>
      <c r="F5745" s="14">
        <v>0</v>
      </c>
    </row>
    <row r="5746" spans="1:6" x14ac:dyDescent="0.3">
      <c r="A5746" s="8">
        <v>5744</v>
      </c>
      <c r="B5746" s="8" t="s">
        <v>7355</v>
      </c>
      <c r="C5746" s="8" t="s">
        <v>11634</v>
      </c>
      <c r="D5746" s="8" t="s">
        <v>11635</v>
      </c>
      <c r="E5746" s="13">
        <v>0</v>
      </c>
      <c r="F5746" s="14">
        <v>0</v>
      </c>
    </row>
    <row r="5747" spans="1:6" x14ac:dyDescent="0.3">
      <c r="A5747" s="8">
        <v>5745</v>
      </c>
      <c r="B5747" s="8" t="s">
        <v>7355</v>
      </c>
      <c r="C5747" s="8" t="s">
        <v>11636</v>
      </c>
      <c r="D5747" s="8" t="s">
        <v>11637</v>
      </c>
      <c r="E5747" s="13">
        <v>0</v>
      </c>
      <c r="F5747" s="14">
        <v>0</v>
      </c>
    </row>
    <row r="5748" spans="1:6" x14ac:dyDescent="0.3">
      <c r="A5748" s="8">
        <v>5746</v>
      </c>
      <c r="B5748" s="8" t="s">
        <v>7694</v>
      </c>
      <c r="C5748" s="8" t="s">
        <v>11638</v>
      </c>
      <c r="D5748" s="8" t="s">
        <v>11639</v>
      </c>
      <c r="E5748" s="13">
        <v>324100</v>
      </c>
      <c r="F5748" s="14">
        <v>648182</v>
      </c>
    </row>
    <row r="5749" spans="1:6" x14ac:dyDescent="0.3">
      <c r="A5749" s="8">
        <v>5747</v>
      </c>
      <c r="B5749" s="8" t="s">
        <v>7694</v>
      </c>
      <c r="C5749" s="8" t="s">
        <v>11640</v>
      </c>
      <c r="D5749" s="8" t="s">
        <v>11641</v>
      </c>
      <c r="E5749" s="13">
        <v>0</v>
      </c>
      <c r="F5749" s="14">
        <v>0</v>
      </c>
    </row>
    <row r="5750" spans="1:6" x14ac:dyDescent="0.3">
      <c r="A5750" s="8">
        <v>5748</v>
      </c>
      <c r="B5750" s="8" t="s">
        <v>7694</v>
      </c>
      <c r="C5750" s="8" t="s">
        <v>11642</v>
      </c>
      <c r="D5750" s="8" t="s">
        <v>11643</v>
      </c>
      <c r="E5750" s="13">
        <v>333400</v>
      </c>
      <c r="F5750" s="14">
        <v>666364</v>
      </c>
    </row>
    <row r="5751" spans="1:6" x14ac:dyDescent="0.3">
      <c r="A5751" s="8">
        <v>5749</v>
      </c>
      <c r="B5751" s="8" t="s">
        <v>7694</v>
      </c>
      <c r="C5751" s="8" t="s">
        <v>11644</v>
      </c>
      <c r="D5751" s="8" t="s">
        <v>11645</v>
      </c>
      <c r="E5751" s="13">
        <v>0</v>
      </c>
      <c r="F5751" s="14">
        <v>0</v>
      </c>
    </row>
    <row r="5752" spans="1:6" x14ac:dyDescent="0.3">
      <c r="A5752" s="8">
        <v>5750</v>
      </c>
      <c r="B5752" s="8" t="s">
        <v>7694</v>
      </c>
      <c r="C5752" s="8" t="s">
        <v>11646</v>
      </c>
      <c r="D5752" s="8" t="s">
        <v>11647</v>
      </c>
      <c r="E5752" s="13">
        <v>0</v>
      </c>
      <c r="F5752" s="14">
        <v>0</v>
      </c>
    </row>
    <row r="5753" spans="1:6" x14ac:dyDescent="0.3">
      <c r="A5753" s="8">
        <v>5751</v>
      </c>
      <c r="B5753" s="8" t="s">
        <v>7694</v>
      </c>
      <c r="C5753" s="8" t="s">
        <v>11648</v>
      </c>
      <c r="D5753" s="8" t="s">
        <v>11649</v>
      </c>
      <c r="E5753" s="13">
        <v>0</v>
      </c>
      <c r="F5753" s="14">
        <v>0</v>
      </c>
    </row>
    <row r="5754" spans="1:6" x14ac:dyDescent="0.3">
      <c r="A5754" s="8">
        <v>5752</v>
      </c>
      <c r="B5754" s="8" t="s">
        <v>7694</v>
      </c>
      <c r="C5754" s="8" t="s">
        <v>11650</v>
      </c>
      <c r="D5754" s="8" t="s">
        <v>11651</v>
      </c>
      <c r="E5754" s="13">
        <v>0</v>
      </c>
      <c r="F5754" s="14">
        <v>333270000</v>
      </c>
    </row>
    <row r="5755" spans="1:6" x14ac:dyDescent="0.3">
      <c r="A5755" s="8">
        <v>5753</v>
      </c>
      <c r="B5755" s="8" t="s">
        <v>7694</v>
      </c>
      <c r="C5755" s="8" t="s">
        <v>11652</v>
      </c>
      <c r="D5755" s="8" t="s">
        <v>11653</v>
      </c>
      <c r="E5755" s="13">
        <v>0</v>
      </c>
      <c r="F5755" s="14">
        <v>144100000</v>
      </c>
    </row>
    <row r="5756" spans="1:6" x14ac:dyDescent="0.3">
      <c r="A5756" s="8">
        <v>5754</v>
      </c>
      <c r="B5756" s="8" t="s">
        <v>9463</v>
      </c>
      <c r="C5756" s="8" t="s">
        <v>11654</v>
      </c>
      <c r="D5756" s="8" t="s">
        <v>11655</v>
      </c>
      <c r="E5756" s="13">
        <v>64000</v>
      </c>
      <c r="F5756" s="14">
        <v>127778</v>
      </c>
    </row>
    <row r="5757" spans="1:6" x14ac:dyDescent="0.3">
      <c r="A5757" s="8">
        <v>5755</v>
      </c>
      <c r="B5757" s="8" t="s">
        <v>9463</v>
      </c>
      <c r="C5757" s="8" t="s">
        <v>11656</v>
      </c>
      <c r="D5757" s="8" t="s">
        <v>11657</v>
      </c>
      <c r="E5757" s="13">
        <v>90000</v>
      </c>
      <c r="F5757" s="14">
        <v>179630</v>
      </c>
    </row>
    <row r="5758" spans="1:6" x14ac:dyDescent="0.3">
      <c r="A5758" s="8">
        <v>5756</v>
      </c>
      <c r="B5758" s="8" t="s">
        <v>9463</v>
      </c>
      <c r="C5758" s="8" t="s">
        <v>11658</v>
      </c>
      <c r="D5758" s="8" t="s">
        <v>11659</v>
      </c>
      <c r="E5758" s="13">
        <v>0</v>
      </c>
      <c r="F5758" s="14">
        <v>0</v>
      </c>
    </row>
    <row r="5759" spans="1:6" x14ac:dyDescent="0.3">
      <c r="A5759" s="8">
        <v>5757</v>
      </c>
      <c r="B5759" s="8" t="s">
        <v>9463</v>
      </c>
      <c r="C5759" s="8" t="s">
        <v>11660</v>
      </c>
      <c r="D5759" s="8" t="s">
        <v>11661</v>
      </c>
      <c r="E5759" s="13">
        <v>0</v>
      </c>
      <c r="F5759" s="14">
        <v>0</v>
      </c>
    </row>
    <row r="5760" spans="1:6" x14ac:dyDescent="0.3">
      <c r="A5760" s="8">
        <v>5758</v>
      </c>
      <c r="B5760" s="8" t="s">
        <v>9478</v>
      </c>
      <c r="C5760" s="8" t="s">
        <v>11662</v>
      </c>
      <c r="D5760" s="8" t="s">
        <v>11663</v>
      </c>
      <c r="E5760" s="13">
        <v>0</v>
      </c>
      <c r="F5760" s="14">
        <v>0</v>
      </c>
    </row>
    <row r="5761" spans="1:6" x14ac:dyDescent="0.3">
      <c r="A5761" s="8">
        <v>5759</v>
      </c>
      <c r="B5761" s="8" t="s">
        <v>9478</v>
      </c>
      <c r="C5761" s="8" t="s">
        <v>11664</v>
      </c>
      <c r="D5761" s="8" t="s">
        <v>11665</v>
      </c>
      <c r="E5761" s="13">
        <v>0</v>
      </c>
      <c r="F5761" s="14">
        <v>0</v>
      </c>
    </row>
    <row r="5762" spans="1:6" x14ac:dyDescent="0.3">
      <c r="A5762" s="8">
        <v>5760</v>
      </c>
      <c r="B5762" s="8" t="s">
        <v>9478</v>
      </c>
      <c r="C5762" s="8" t="s">
        <v>11666</v>
      </c>
      <c r="D5762" s="8" t="s">
        <v>11667</v>
      </c>
      <c r="E5762" s="13">
        <v>0</v>
      </c>
      <c r="F5762" s="14">
        <v>0</v>
      </c>
    </row>
    <row r="5763" spans="1:6" x14ac:dyDescent="0.3">
      <c r="A5763" s="8">
        <v>5761</v>
      </c>
      <c r="B5763" s="8" t="s">
        <v>9478</v>
      </c>
      <c r="C5763" s="8" t="s">
        <v>11668</v>
      </c>
      <c r="D5763" s="8" t="s">
        <v>11669</v>
      </c>
      <c r="E5763" s="13">
        <v>0</v>
      </c>
      <c r="F5763" s="14">
        <v>0</v>
      </c>
    </row>
    <row r="5764" spans="1:6" x14ac:dyDescent="0.3">
      <c r="A5764" s="8">
        <v>5762</v>
      </c>
      <c r="B5764" s="8" t="s">
        <v>9478</v>
      </c>
      <c r="C5764" s="8" t="s">
        <v>11670</v>
      </c>
      <c r="D5764" s="8" t="s">
        <v>11671</v>
      </c>
      <c r="E5764" s="13">
        <v>185000</v>
      </c>
      <c r="F5764" s="14">
        <v>370370</v>
      </c>
    </row>
    <row r="5765" spans="1:6" x14ac:dyDescent="0.3">
      <c r="A5765" s="8">
        <v>5763</v>
      </c>
      <c r="B5765" s="8" t="s">
        <v>9478</v>
      </c>
      <c r="C5765" s="8" t="s">
        <v>11672</v>
      </c>
      <c r="D5765" s="8" t="s">
        <v>11673</v>
      </c>
      <c r="E5765" s="13">
        <v>0</v>
      </c>
      <c r="F5765" s="14">
        <v>0</v>
      </c>
    </row>
    <row r="5766" spans="1:6" x14ac:dyDescent="0.3">
      <c r="A5766" s="8">
        <v>5764</v>
      </c>
      <c r="B5766" s="8" t="s">
        <v>9478</v>
      </c>
      <c r="C5766" s="8" t="s">
        <v>11674</v>
      </c>
      <c r="D5766" s="8" t="s">
        <v>11675</v>
      </c>
      <c r="E5766" s="13">
        <v>0</v>
      </c>
      <c r="F5766" s="14">
        <v>0</v>
      </c>
    </row>
    <row r="5767" spans="1:6" x14ac:dyDescent="0.3">
      <c r="A5767" s="8">
        <v>5765</v>
      </c>
      <c r="B5767" s="8" t="s">
        <v>9478</v>
      </c>
      <c r="C5767" s="8" t="s">
        <v>11676</v>
      </c>
      <c r="D5767" s="8" t="s">
        <v>11677</v>
      </c>
      <c r="E5767" s="13">
        <v>0</v>
      </c>
      <c r="F5767" s="14">
        <v>0</v>
      </c>
    </row>
    <row r="5768" spans="1:6" x14ac:dyDescent="0.3">
      <c r="A5768" s="8">
        <v>5766</v>
      </c>
      <c r="B5768" s="8" t="s">
        <v>9478</v>
      </c>
      <c r="C5768" s="8" t="s">
        <v>11678</v>
      </c>
      <c r="D5768" s="8" t="s">
        <v>84</v>
      </c>
      <c r="E5768" s="13">
        <v>156000</v>
      </c>
      <c r="F5768" s="14">
        <v>312037</v>
      </c>
    </row>
    <row r="5769" spans="1:6" x14ac:dyDescent="0.3">
      <c r="A5769" s="8">
        <v>5767</v>
      </c>
      <c r="B5769" s="8" t="s">
        <v>9478</v>
      </c>
      <c r="C5769" s="8" t="s">
        <v>11679</v>
      </c>
      <c r="D5769" s="8" t="s">
        <v>11680</v>
      </c>
      <c r="E5769" s="13">
        <v>0</v>
      </c>
      <c r="F5769" s="14">
        <v>0</v>
      </c>
    </row>
    <row r="5770" spans="1:6" x14ac:dyDescent="0.3">
      <c r="A5770" s="8">
        <v>5768</v>
      </c>
      <c r="B5770" s="8" t="s">
        <v>9478</v>
      </c>
      <c r="C5770" s="8" t="s">
        <v>11681</v>
      </c>
      <c r="D5770" s="8" t="s">
        <v>11682</v>
      </c>
      <c r="E5770" s="13">
        <v>0</v>
      </c>
      <c r="F5770" s="14">
        <v>0</v>
      </c>
    </row>
    <row r="5771" spans="1:6" x14ac:dyDescent="0.3">
      <c r="A5771" s="8">
        <v>5769</v>
      </c>
      <c r="B5771" s="8" t="s">
        <v>9478</v>
      </c>
      <c r="C5771" s="8" t="s">
        <v>11683</v>
      </c>
      <c r="D5771" s="8" t="s">
        <v>11684</v>
      </c>
      <c r="E5771" s="13">
        <v>0</v>
      </c>
      <c r="F5771" s="14">
        <v>0</v>
      </c>
    </row>
    <row r="5772" spans="1:6" x14ac:dyDescent="0.3">
      <c r="A5772" s="8">
        <v>5770</v>
      </c>
      <c r="B5772" s="8" t="s">
        <v>9478</v>
      </c>
      <c r="C5772" s="8" t="s">
        <v>11685</v>
      </c>
      <c r="D5772" s="8" t="s">
        <v>11686</v>
      </c>
      <c r="E5772" s="13">
        <v>0</v>
      </c>
      <c r="F5772" s="14">
        <v>0</v>
      </c>
    </row>
    <row r="5773" spans="1:6" x14ac:dyDescent="0.3">
      <c r="A5773" s="8">
        <v>5771</v>
      </c>
      <c r="B5773" s="8" t="s">
        <v>9478</v>
      </c>
      <c r="C5773" s="8" t="s">
        <v>11687</v>
      </c>
      <c r="D5773" s="8" t="s">
        <v>11688</v>
      </c>
      <c r="E5773" s="13">
        <v>0</v>
      </c>
      <c r="F5773" s="14">
        <v>0</v>
      </c>
    </row>
    <row r="5774" spans="1:6" x14ac:dyDescent="0.3">
      <c r="A5774" s="8">
        <v>5772</v>
      </c>
      <c r="B5774" s="8" t="s">
        <v>9478</v>
      </c>
      <c r="C5774" s="8" t="s">
        <v>11689</v>
      </c>
      <c r="D5774" s="8" t="s">
        <v>11690</v>
      </c>
      <c r="E5774" s="13">
        <v>0</v>
      </c>
      <c r="F5774" s="14">
        <v>0</v>
      </c>
    </row>
    <row r="5775" spans="1:6" x14ac:dyDescent="0.3">
      <c r="A5775" s="8">
        <v>5773</v>
      </c>
      <c r="B5775" s="8" t="s">
        <v>7694</v>
      </c>
      <c r="C5775" s="8" t="s">
        <v>11691</v>
      </c>
      <c r="D5775" s="8" t="s">
        <v>11692</v>
      </c>
      <c r="E5775" s="13">
        <v>0</v>
      </c>
      <c r="F5775" s="14">
        <v>123640000</v>
      </c>
    </row>
    <row r="5776" spans="1:6" x14ac:dyDescent="0.3">
      <c r="A5776" s="8">
        <v>5774</v>
      </c>
      <c r="B5776" s="8" t="s">
        <v>7694</v>
      </c>
      <c r="C5776" s="8" t="s">
        <v>11693</v>
      </c>
      <c r="D5776" s="8" t="s">
        <v>11694</v>
      </c>
      <c r="E5776" s="13">
        <v>0</v>
      </c>
      <c r="F5776" s="14">
        <v>70400000</v>
      </c>
    </row>
    <row r="5777" spans="1:6" x14ac:dyDescent="0.3">
      <c r="A5777" s="8">
        <v>5775</v>
      </c>
      <c r="B5777" s="8" t="s">
        <v>7694</v>
      </c>
      <c r="C5777" s="8" t="s">
        <v>11695</v>
      </c>
      <c r="D5777" s="8" t="s">
        <v>11696</v>
      </c>
      <c r="E5777" s="13">
        <v>0</v>
      </c>
      <c r="F5777" s="14">
        <v>0</v>
      </c>
    </row>
    <row r="5778" spans="1:6" x14ac:dyDescent="0.3">
      <c r="A5778" s="8">
        <v>5776</v>
      </c>
      <c r="B5778" s="8" t="s">
        <v>7694</v>
      </c>
      <c r="C5778" s="8" t="s">
        <v>11697</v>
      </c>
      <c r="D5778" s="8" t="s">
        <v>11698</v>
      </c>
      <c r="E5778" s="13">
        <v>0</v>
      </c>
      <c r="F5778" s="14">
        <v>0</v>
      </c>
    </row>
    <row r="5779" spans="1:6" x14ac:dyDescent="0.3">
      <c r="A5779" s="8">
        <v>5777</v>
      </c>
      <c r="B5779" s="8" t="s">
        <v>7694</v>
      </c>
      <c r="C5779" s="8" t="s">
        <v>11699</v>
      </c>
      <c r="D5779" s="8" t="s">
        <v>11700</v>
      </c>
      <c r="E5779" s="13">
        <v>0</v>
      </c>
      <c r="F5779" s="14">
        <v>0</v>
      </c>
    </row>
    <row r="5780" spans="1:6" x14ac:dyDescent="0.3">
      <c r="A5780" s="8">
        <v>5778</v>
      </c>
      <c r="B5780" s="8" t="s">
        <v>7694</v>
      </c>
      <c r="C5780" s="8" t="s">
        <v>11701</v>
      </c>
      <c r="D5780" s="8" t="s">
        <v>11702</v>
      </c>
      <c r="E5780" s="13">
        <v>0</v>
      </c>
      <c r="F5780" s="14">
        <v>411470000</v>
      </c>
    </row>
    <row r="5781" spans="1:6" x14ac:dyDescent="0.3">
      <c r="A5781" s="8">
        <v>5779</v>
      </c>
      <c r="B5781" s="8" t="s">
        <v>7694</v>
      </c>
      <c r="C5781" s="8" t="s">
        <v>11703</v>
      </c>
      <c r="D5781" s="8" t="s">
        <v>11704</v>
      </c>
      <c r="E5781" s="13">
        <v>0</v>
      </c>
      <c r="F5781" s="14">
        <v>494450000</v>
      </c>
    </row>
    <row r="5782" spans="1:6" x14ac:dyDescent="0.3">
      <c r="A5782" s="8">
        <v>5780</v>
      </c>
      <c r="B5782" s="8" t="s">
        <v>7694</v>
      </c>
      <c r="C5782" s="8" t="s">
        <v>11705</v>
      </c>
      <c r="D5782" s="8" t="s">
        <v>11706</v>
      </c>
      <c r="E5782" s="13">
        <v>0</v>
      </c>
      <c r="F5782" s="14">
        <v>627430000</v>
      </c>
    </row>
    <row r="5783" spans="1:6" x14ac:dyDescent="0.3">
      <c r="A5783" s="8">
        <v>5781</v>
      </c>
      <c r="B5783" s="8" t="s">
        <v>9463</v>
      </c>
      <c r="C5783" s="8" t="s">
        <v>11707</v>
      </c>
      <c r="D5783" s="8" t="s">
        <v>11708</v>
      </c>
      <c r="E5783" s="13">
        <v>115000</v>
      </c>
      <c r="F5783" s="14">
        <v>229630</v>
      </c>
    </row>
    <row r="5784" spans="1:6" x14ac:dyDescent="0.3">
      <c r="A5784" s="8">
        <v>5782</v>
      </c>
      <c r="B5784" s="8" t="s">
        <v>9463</v>
      </c>
      <c r="C5784" s="8" t="s">
        <v>11709</v>
      </c>
      <c r="D5784" s="8" t="s">
        <v>11710</v>
      </c>
      <c r="E5784" s="13">
        <v>46296</v>
      </c>
      <c r="F5784" s="14">
        <v>92593</v>
      </c>
    </row>
    <row r="5785" spans="1:6" x14ac:dyDescent="0.3">
      <c r="A5785" s="8">
        <v>5783</v>
      </c>
      <c r="B5785" s="8" t="s">
        <v>9463</v>
      </c>
      <c r="C5785" s="8" t="s">
        <v>11711</v>
      </c>
      <c r="D5785" s="8" t="s">
        <v>11712</v>
      </c>
      <c r="E5785" s="13">
        <v>46296</v>
      </c>
      <c r="F5785" s="14">
        <v>92593</v>
      </c>
    </row>
    <row r="5786" spans="1:6" x14ac:dyDescent="0.3">
      <c r="A5786" s="8">
        <v>5784</v>
      </c>
      <c r="B5786" s="8" t="s">
        <v>9463</v>
      </c>
      <c r="C5786" s="8" t="s">
        <v>11713</v>
      </c>
      <c r="D5786" s="8" t="s">
        <v>11714</v>
      </c>
      <c r="E5786" s="13">
        <v>0</v>
      </c>
      <c r="F5786" s="14">
        <v>0</v>
      </c>
    </row>
    <row r="5787" spans="1:6" x14ac:dyDescent="0.3">
      <c r="A5787" s="8">
        <v>5785</v>
      </c>
      <c r="B5787" s="8" t="s">
        <v>9463</v>
      </c>
      <c r="C5787" s="8" t="s">
        <v>11715</v>
      </c>
      <c r="D5787" s="8" t="s">
        <v>11716</v>
      </c>
      <c r="E5787" s="13">
        <v>120370</v>
      </c>
      <c r="F5787" s="14">
        <v>240741</v>
      </c>
    </row>
    <row r="5788" spans="1:6" x14ac:dyDescent="0.3">
      <c r="A5788" s="8">
        <v>5786</v>
      </c>
      <c r="B5788" s="8" t="s">
        <v>9463</v>
      </c>
      <c r="C5788" s="8" t="s">
        <v>11717</v>
      </c>
      <c r="D5788" s="8" t="s">
        <v>11718</v>
      </c>
      <c r="E5788" s="13">
        <v>157407</v>
      </c>
      <c r="F5788" s="14">
        <v>314815</v>
      </c>
    </row>
    <row r="5789" spans="1:6" x14ac:dyDescent="0.3">
      <c r="A5789" s="8">
        <v>5787</v>
      </c>
      <c r="B5789" s="8" t="s">
        <v>9463</v>
      </c>
      <c r="C5789" s="8" t="s">
        <v>11719</v>
      </c>
      <c r="D5789" s="8" t="s">
        <v>11720</v>
      </c>
      <c r="E5789" s="13">
        <v>0</v>
      </c>
      <c r="F5789" s="14">
        <v>0</v>
      </c>
    </row>
    <row r="5790" spans="1:6" x14ac:dyDescent="0.3">
      <c r="A5790" s="8">
        <v>5788</v>
      </c>
      <c r="B5790" s="8" t="s">
        <v>9478</v>
      </c>
      <c r="C5790" s="8" t="s">
        <v>11721</v>
      </c>
      <c r="D5790" s="8" t="s">
        <v>56</v>
      </c>
      <c r="E5790" s="13">
        <v>104000</v>
      </c>
      <c r="F5790" s="14">
        <v>229630</v>
      </c>
    </row>
    <row r="5791" spans="1:6" x14ac:dyDescent="0.3">
      <c r="A5791" s="8">
        <v>5789</v>
      </c>
      <c r="B5791" s="8" t="s">
        <v>9478</v>
      </c>
      <c r="C5791" s="8" t="s">
        <v>11722</v>
      </c>
      <c r="D5791" s="8" t="s">
        <v>57</v>
      </c>
      <c r="E5791" s="13">
        <v>80000</v>
      </c>
      <c r="F5791" s="14">
        <v>175926</v>
      </c>
    </row>
    <row r="5792" spans="1:6" x14ac:dyDescent="0.3">
      <c r="A5792" s="8">
        <v>5790</v>
      </c>
      <c r="B5792" s="8" t="s">
        <v>9478</v>
      </c>
      <c r="C5792" s="8" t="s">
        <v>11723</v>
      </c>
      <c r="D5792" s="8" t="s">
        <v>11724</v>
      </c>
      <c r="E5792" s="13">
        <v>0</v>
      </c>
      <c r="F5792" s="14">
        <v>0</v>
      </c>
    </row>
    <row r="5793" spans="1:6" x14ac:dyDescent="0.3">
      <c r="A5793" s="8">
        <v>5791</v>
      </c>
      <c r="B5793" s="8" t="s">
        <v>9478</v>
      </c>
      <c r="C5793" s="8" t="s">
        <v>11725</v>
      </c>
      <c r="D5793" s="8" t="s">
        <v>11726</v>
      </c>
      <c r="E5793" s="13">
        <v>0</v>
      </c>
      <c r="F5793" s="14">
        <v>0</v>
      </c>
    </row>
    <row r="5794" spans="1:6" x14ac:dyDescent="0.3">
      <c r="A5794" s="8">
        <v>5792</v>
      </c>
      <c r="B5794" s="8" t="s">
        <v>9478</v>
      </c>
      <c r="C5794" s="8" t="s">
        <v>11727</v>
      </c>
      <c r="D5794" s="8" t="s">
        <v>72</v>
      </c>
      <c r="E5794" s="13">
        <v>65000</v>
      </c>
      <c r="F5794" s="14">
        <v>129630</v>
      </c>
    </row>
    <row r="5795" spans="1:6" x14ac:dyDescent="0.3">
      <c r="A5795" s="8">
        <v>5793</v>
      </c>
      <c r="B5795" s="8" t="s">
        <v>9478</v>
      </c>
      <c r="C5795" s="8" t="s">
        <v>11728</v>
      </c>
      <c r="D5795" s="8" t="s">
        <v>11729</v>
      </c>
      <c r="E5795" s="13">
        <v>0</v>
      </c>
      <c r="F5795" s="14">
        <v>0</v>
      </c>
    </row>
    <row r="5796" spans="1:6" x14ac:dyDescent="0.3">
      <c r="A5796" s="8">
        <v>5794</v>
      </c>
      <c r="B5796" s="8" t="s">
        <v>9478</v>
      </c>
      <c r="C5796" s="8" t="s">
        <v>11730</v>
      </c>
      <c r="D5796" s="8" t="s">
        <v>70</v>
      </c>
      <c r="E5796" s="13">
        <v>0</v>
      </c>
      <c r="F5796" s="14">
        <v>574074</v>
      </c>
    </row>
    <row r="5797" spans="1:6" x14ac:dyDescent="0.3">
      <c r="A5797" s="8">
        <v>5795</v>
      </c>
      <c r="B5797" s="8" t="s">
        <v>9478</v>
      </c>
      <c r="C5797" s="8" t="s">
        <v>11731</v>
      </c>
      <c r="D5797" s="8" t="s">
        <v>11732</v>
      </c>
      <c r="E5797" s="13">
        <v>0</v>
      </c>
      <c r="F5797" s="14">
        <v>0</v>
      </c>
    </row>
    <row r="5798" spans="1:6" x14ac:dyDescent="0.3">
      <c r="A5798" s="8">
        <v>5796</v>
      </c>
      <c r="B5798" s="8" t="s">
        <v>9478</v>
      </c>
      <c r="C5798" s="8" t="s">
        <v>11733</v>
      </c>
      <c r="D5798" s="8" t="s">
        <v>11734</v>
      </c>
      <c r="E5798" s="13">
        <v>0</v>
      </c>
      <c r="F5798" s="14">
        <v>0</v>
      </c>
    </row>
    <row r="5799" spans="1:6" x14ac:dyDescent="0.3">
      <c r="A5799" s="8">
        <v>5797</v>
      </c>
      <c r="B5799" s="8" t="s">
        <v>9478</v>
      </c>
      <c r="C5799" s="8" t="s">
        <v>11735</v>
      </c>
      <c r="D5799" s="8" t="s">
        <v>11736</v>
      </c>
      <c r="E5799" s="13">
        <v>0</v>
      </c>
      <c r="F5799" s="14">
        <v>0</v>
      </c>
    </row>
    <row r="5800" spans="1:6" x14ac:dyDescent="0.3">
      <c r="A5800" s="8">
        <v>5798</v>
      </c>
      <c r="B5800" s="8" t="s">
        <v>7694</v>
      </c>
      <c r="C5800" s="8" t="s">
        <v>11737</v>
      </c>
      <c r="D5800" s="8" t="s">
        <v>11738</v>
      </c>
      <c r="E5800" s="13">
        <v>1050000</v>
      </c>
      <c r="F5800" s="14">
        <v>2100000</v>
      </c>
    </row>
    <row r="5801" spans="1:6" x14ac:dyDescent="0.3">
      <c r="A5801" s="8">
        <v>5799</v>
      </c>
      <c r="B5801" s="8" t="s">
        <v>7694</v>
      </c>
      <c r="C5801" s="8" t="s">
        <v>11739</v>
      </c>
      <c r="D5801" s="8" t="s">
        <v>11740</v>
      </c>
      <c r="E5801" s="13">
        <v>1650000</v>
      </c>
      <c r="F5801" s="14">
        <v>3300000</v>
      </c>
    </row>
    <row r="5802" spans="1:6" x14ac:dyDescent="0.3">
      <c r="A5802" s="8">
        <v>5800</v>
      </c>
      <c r="B5802" s="8" t="s">
        <v>7694</v>
      </c>
      <c r="C5802" s="8" t="s">
        <v>11741</v>
      </c>
      <c r="D5802" s="8" t="s">
        <v>11742</v>
      </c>
      <c r="E5802" s="13">
        <v>0</v>
      </c>
      <c r="F5802" s="14">
        <v>620000</v>
      </c>
    </row>
    <row r="5803" spans="1:6" x14ac:dyDescent="0.3">
      <c r="A5803" s="8">
        <v>5801</v>
      </c>
      <c r="B5803" s="8" t="s">
        <v>7694</v>
      </c>
      <c r="C5803" s="8" t="s">
        <v>11743</v>
      </c>
      <c r="D5803" s="8" t="s">
        <v>11744</v>
      </c>
      <c r="E5803" s="13">
        <v>0</v>
      </c>
      <c r="F5803" s="14">
        <v>0</v>
      </c>
    </row>
    <row r="5804" spans="1:6" x14ac:dyDescent="0.3">
      <c r="A5804" s="8">
        <v>5802</v>
      </c>
      <c r="B5804" s="8" t="s">
        <v>7694</v>
      </c>
      <c r="C5804" s="8" t="s">
        <v>11745</v>
      </c>
      <c r="D5804" s="8" t="s">
        <v>11746</v>
      </c>
      <c r="E5804" s="13">
        <v>222300</v>
      </c>
      <c r="F5804" s="14">
        <v>444444</v>
      </c>
    </row>
    <row r="5805" spans="1:6" x14ac:dyDescent="0.3">
      <c r="A5805" s="8">
        <v>5803</v>
      </c>
      <c r="B5805" s="8" t="s">
        <v>7694</v>
      </c>
      <c r="C5805" s="8" t="s">
        <v>11747</v>
      </c>
      <c r="D5805" s="8" t="s">
        <v>11748</v>
      </c>
      <c r="E5805" s="13">
        <v>0</v>
      </c>
      <c r="F5805" s="14">
        <v>0</v>
      </c>
    </row>
    <row r="5806" spans="1:6" x14ac:dyDescent="0.3">
      <c r="A5806" s="8">
        <v>5804</v>
      </c>
      <c r="B5806" s="8" t="s">
        <v>7694</v>
      </c>
      <c r="C5806" s="8" t="s">
        <v>11749</v>
      </c>
      <c r="D5806" s="8" t="s">
        <v>11750</v>
      </c>
      <c r="E5806" s="13">
        <v>1532000</v>
      </c>
      <c r="F5806" s="14">
        <v>2560185</v>
      </c>
    </row>
    <row r="5807" spans="1:6" x14ac:dyDescent="0.3">
      <c r="A5807" s="8">
        <v>5805</v>
      </c>
      <c r="B5807" s="8" t="s">
        <v>7694</v>
      </c>
      <c r="C5807" s="8" t="s">
        <v>11751</v>
      </c>
      <c r="D5807" s="8" t="s">
        <v>11752</v>
      </c>
      <c r="E5807" s="13">
        <v>0</v>
      </c>
      <c r="F5807" s="14">
        <v>0</v>
      </c>
    </row>
    <row r="5808" spans="1:6" x14ac:dyDescent="0.3">
      <c r="A5808" s="8">
        <v>5806</v>
      </c>
      <c r="B5808" s="8" t="s">
        <v>7694</v>
      </c>
      <c r="C5808" s="8" t="s">
        <v>11753</v>
      </c>
      <c r="D5808" s="8" t="s">
        <v>11754</v>
      </c>
      <c r="E5808" s="13">
        <v>0</v>
      </c>
      <c r="F5808" s="14">
        <v>0</v>
      </c>
    </row>
    <row r="5809" spans="1:6" x14ac:dyDescent="0.3">
      <c r="A5809" s="8">
        <v>5807</v>
      </c>
      <c r="B5809" s="8" t="s">
        <v>7694</v>
      </c>
      <c r="C5809" s="8" t="s">
        <v>11755</v>
      </c>
      <c r="D5809" s="8" t="s">
        <v>11756</v>
      </c>
      <c r="E5809" s="13">
        <v>0</v>
      </c>
      <c r="F5809" s="14">
        <v>0</v>
      </c>
    </row>
    <row r="5810" spans="1:6" x14ac:dyDescent="0.3">
      <c r="A5810" s="8">
        <v>5808</v>
      </c>
      <c r="B5810" s="8" t="s">
        <v>7694</v>
      </c>
      <c r="C5810" s="8" t="s">
        <v>11757</v>
      </c>
      <c r="D5810" s="8" t="s">
        <v>11758</v>
      </c>
      <c r="E5810" s="13">
        <v>0</v>
      </c>
      <c r="F5810" s="14">
        <v>0</v>
      </c>
    </row>
    <row r="5811" spans="1:6" x14ac:dyDescent="0.3">
      <c r="A5811" s="8">
        <v>5809</v>
      </c>
      <c r="B5811" s="8" t="s">
        <v>7694</v>
      </c>
      <c r="C5811" s="8" t="s">
        <v>11759</v>
      </c>
      <c r="D5811" s="8" t="s">
        <v>11760</v>
      </c>
      <c r="E5811" s="13">
        <v>0</v>
      </c>
      <c r="F5811" s="14">
        <v>6600000</v>
      </c>
    </row>
    <row r="5812" spans="1:6" x14ac:dyDescent="0.3">
      <c r="A5812" s="8">
        <v>5810</v>
      </c>
      <c r="B5812" s="8" t="s">
        <v>7694</v>
      </c>
      <c r="C5812" s="8" t="s">
        <v>11761</v>
      </c>
      <c r="D5812" s="8" t="s">
        <v>11762</v>
      </c>
      <c r="E5812" s="13">
        <v>0</v>
      </c>
      <c r="F5812" s="14">
        <v>814545</v>
      </c>
    </row>
    <row r="5813" spans="1:6" x14ac:dyDescent="0.3">
      <c r="A5813" s="8">
        <v>5811</v>
      </c>
      <c r="B5813" s="8" t="s">
        <v>7694</v>
      </c>
      <c r="C5813" s="8" t="s">
        <v>11763</v>
      </c>
      <c r="D5813" s="8" t="s">
        <v>11764</v>
      </c>
      <c r="E5813" s="13">
        <v>0</v>
      </c>
      <c r="F5813" s="14">
        <v>0</v>
      </c>
    </row>
    <row r="5814" spans="1:6" x14ac:dyDescent="0.3">
      <c r="A5814" s="8">
        <v>5812</v>
      </c>
      <c r="B5814" s="8" t="s">
        <v>7694</v>
      </c>
      <c r="C5814" s="8" t="s">
        <v>11765</v>
      </c>
      <c r="D5814" s="8" t="s">
        <v>11766</v>
      </c>
      <c r="E5814" s="13">
        <v>0</v>
      </c>
      <c r="F5814" s="14">
        <v>0</v>
      </c>
    </row>
    <row r="5815" spans="1:6" x14ac:dyDescent="0.3">
      <c r="A5815" s="8">
        <v>5813</v>
      </c>
      <c r="B5815" s="8" t="s">
        <v>7694</v>
      </c>
      <c r="C5815" s="8" t="s">
        <v>11767</v>
      </c>
      <c r="D5815" s="8" t="s">
        <v>11768</v>
      </c>
      <c r="E5815" s="13">
        <v>0</v>
      </c>
      <c r="F5815" s="14">
        <v>620909</v>
      </c>
    </row>
    <row r="5816" spans="1:6" x14ac:dyDescent="0.3">
      <c r="A5816" s="8">
        <v>5814</v>
      </c>
      <c r="B5816" s="8" t="s">
        <v>7694</v>
      </c>
      <c r="C5816" s="8" t="s">
        <v>11769</v>
      </c>
      <c r="D5816" s="8" t="s">
        <v>11770</v>
      </c>
      <c r="E5816" s="13">
        <v>0</v>
      </c>
      <c r="F5816" s="14">
        <v>7000000</v>
      </c>
    </row>
    <row r="5817" spans="1:6" x14ac:dyDescent="0.3">
      <c r="A5817" s="8">
        <v>5815</v>
      </c>
      <c r="B5817" s="8" t="s">
        <v>7694</v>
      </c>
      <c r="C5817" s="8" t="s">
        <v>11771</v>
      </c>
      <c r="D5817" s="8" t="s">
        <v>11772</v>
      </c>
      <c r="E5817" s="13">
        <v>1316000</v>
      </c>
      <c r="F5817" s="14">
        <v>2200000</v>
      </c>
    </row>
    <row r="5818" spans="1:6" x14ac:dyDescent="0.3">
      <c r="A5818" s="8">
        <v>5816</v>
      </c>
      <c r="B5818" s="8" t="s">
        <v>7694</v>
      </c>
      <c r="C5818" s="8" t="s">
        <v>11773</v>
      </c>
      <c r="D5818" s="8" t="s">
        <v>11774</v>
      </c>
      <c r="E5818" s="13">
        <v>333400</v>
      </c>
      <c r="F5818" s="14">
        <v>666364</v>
      </c>
    </row>
    <row r="5819" spans="1:6" x14ac:dyDescent="0.3">
      <c r="A5819" s="8">
        <v>5817</v>
      </c>
      <c r="B5819" s="8" t="s">
        <v>7694</v>
      </c>
      <c r="C5819" s="8" t="s">
        <v>11775</v>
      </c>
      <c r="D5819" s="8" t="s">
        <v>11776</v>
      </c>
      <c r="E5819" s="13">
        <v>342600</v>
      </c>
      <c r="F5819" s="14">
        <v>685455</v>
      </c>
    </row>
    <row r="5820" spans="1:6" x14ac:dyDescent="0.3">
      <c r="A5820" s="8">
        <v>5818</v>
      </c>
      <c r="B5820" s="8" t="s">
        <v>7694</v>
      </c>
      <c r="C5820" s="8" t="s">
        <v>11777</v>
      </c>
      <c r="D5820" s="8" t="s">
        <v>11778</v>
      </c>
      <c r="E5820" s="13">
        <v>0</v>
      </c>
      <c r="F5820" s="14">
        <v>569091</v>
      </c>
    </row>
    <row r="5821" spans="1:6" x14ac:dyDescent="0.3">
      <c r="A5821" s="8">
        <v>5819</v>
      </c>
      <c r="B5821" s="8" t="s">
        <v>7694</v>
      </c>
      <c r="C5821" s="8" t="s">
        <v>11779</v>
      </c>
      <c r="D5821" s="8" t="s">
        <v>11780</v>
      </c>
      <c r="E5821" s="13">
        <v>0</v>
      </c>
      <c r="F5821" s="14">
        <v>580000</v>
      </c>
    </row>
    <row r="5822" spans="1:6" x14ac:dyDescent="0.3">
      <c r="A5822" s="8">
        <v>5820</v>
      </c>
      <c r="B5822" s="8" t="s">
        <v>7694</v>
      </c>
      <c r="C5822" s="8" t="s">
        <v>11781</v>
      </c>
      <c r="D5822" s="8" t="s">
        <v>11782</v>
      </c>
      <c r="E5822" s="13">
        <v>250000</v>
      </c>
      <c r="F5822" s="14">
        <v>500000</v>
      </c>
    </row>
    <row r="5823" spans="1:6" x14ac:dyDescent="0.3">
      <c r="A5823" s="8">
        <v>5821</v>
      </c>
      <c r="B5823" s="8" t="s">
        <v>7694</v>
      </c>
      <c r="C5823" s="8" t="s">
        <v>11783</v>
      </c>
      <c r="D5823" s="8" t="s">
        <v>11784</v>
      </c>
      <c r="E5823" s="13">
        <v>9000</v>
      </c>
      <c r="F5823" s="14">
        <v>18182</v>
      </c>
    </row>
    <row r="5824" spans="1:6" x14ac:dyDescent="0.3">
      <c r="A5824" s="8">
        <v>5822</v>
      </c>
      <c r="B5824" s="8" t="s">
        <v>10684</v>
      </c>
      <c r="C5824" s="8" t="s">
        <v>11785</v>
      </c>
      <c r="D5824" s="8" t="s">
        <v>11786</v>
      </c>
      <c r="E5824" s="13">
        <v>45400</v>
      </c>
      <c r="F5824" s="14">
        <v>90833</v>
      </c>
    </row>
    <row r="5825" spans="1:6" x14ac:dyDescent="0.3">
      <c r="A5825" s="8">
        <v>5823</v>
      </c>
      <c r="B5825" s="8" t="s">
        <v>10684</v>
      </c>
      <c r="C5825" s="8" t="s">
        <v>11787</v>
      </c>
      <c r="D5825" s="8" t="s">
        <v>11788</v>
      </c>
      <c r="E5825" s="13">
        <v>52800</v>
      </c>
      <c r="F5825" s="14">
        <v>105556</v>
      </c>
    </row>
    <row r="5826" spans="1:6" x14ac:dyDescent="0.3">
      <c r="A5826" s="8">
        <v>5824</v>
      </c>
      <c r="B5826" s="8" t="s">
        <v>10684</v>
      </c>
      <c r="C5826" s="8" t="s">
        <v>11789</v>
      </c>
      <c r="D5826" s="8" t="s">
        <v>11790</v>
      </c>
      <c r="E5826" s="13">
        <v>0</v>
      </c>
      <c r="F5826" s="14">
        <v>0</v>
      </c>
    </row>
    <row r="5827" spans="1:6" x14ac:dyDescent="0.3">
      <c r="A5827" s="8">
        <v>5825</v>
      </c>
      <c r="B5827" s="8" t="s">
        <v>10684</v>
      </c>
      <c r="C5827" s="8" t="s">
        <v>11791</v>
      </c>
      <c r="D5827" s="8" t="s">
        <v>11792</v>
      </c>
      <c r="E5827" s="13">
        <v>0</v>
      </c>
      <c r="F5827" s="14">
        <v>0</v>
      </c>
    </row>
    <row r="5828" spans="1:6" x14ac:dyDescent="0.3">
      <c r="A5828" s="8">
        <v>5826</v>
      </c>
      <c r="B5828" s="8" t="s">
        <v>10684</v>
      </c>
      <c r="C5828" s="8" t="s">
        <v>11793</v>
      </c>
      <c r="D5828" s="8" t="s">
        <v>11794</v>
      </c>
      <c r="E5828" s="13">
        <v>0</v>
      </c>
      <c r="F5828" s="14">
        <v>0</v>
      </c>
    </row>
    <row r="5829" spans="1:6" x14ac:dyDescent="0.3">
      <c r="A5829" s="8">
        <v>5827</v>
      </c>
      <c r="B5829" s="8" t="s">
        <v>10684</v>
      </c>
      <c r="C5829" s="8" t="s">
        <v>11795</v>
      </c>
      <c r="D5829" s="8" t="s">
        <v>11796</v>
      </c>
      <c r="E5829" s="13">
        <v>0</v>
      </c>
      <c r="F5829" s="14">
        <v>0</v>
      </c>
    </row>
    <row r="5830" spans="1:6" x14ac:dyDescent="0.3">
      <c r="A5830" s="8">
        <v>5828</v>
      </c>
      <c r="B5830" s="8" t="s">
        <v>10684</v>
      </c>
      <c r="C5830" s="8" t="s">
        <v>11797</v>
      </c>
      <c r="D5830" s="8" t="s">
        <v>11798</v>
      </c>
      <c r="E5830" s="13">
        <v>0</v>
      </c>
      <c r="F5830" s="14">
        <v>0</v>
      </c>
    </row>
    <row r="5831" spans="1:6" x14ac:dyDescent="0.3">
      <c r="A5831" s="8">
        <v>5829</v>
      </c>
      <c r="B5831" s="8" t="s">
        <v>10684</v>
      </c>
      <c r="C5831" s="8" t="s">
        <v>11799</v>
      </c>
      <c r="D5831" s="8" t="s">
        <v>11800</v>
      </c>
      <c r="E5831" s="13">
        <v>0</v>
      </c>
      <c r="F5831" s="14">
        <v>0</v>
      </c>
    </row>
    <row r="5832" spans="1:6" x14ac:dyDescent="0.3">
      <c r="A5832" s="8">
        <v>5830</v>
      </c>
      <c r="B5832" s="8" t="s">
        <v>10684</v>
      </c>
      <c r="C5832" s="8" t="s">
        <v>11801</v>
      </c>
      <c r="D5832" s="8" t="s">
        <v>11802</v>
      </c>
      <c r="E5832" s="13">
        <v>0</v>
      </c>
      <c r="F5832" s="14">
        <v>0</v>
      </c>
    </row>
    <row r="5833" spans="1:6" x14ac:dyDescent="0.3">
      <c r="A5833" s="8">
        <v>5831</v>
      </c>
      <c r="B5833" s="8" t="s">
        <v>10684</v>
      </c>
      <c r="C5833" s="8" t="s">
        <v>11803</v>
      </c>
      <c r="D5833" s="8" t="s">
        <v>11804</v>
      </c>
      <c r="E5833" s="13">
        <v>0</v>
      </c>
      <c r="F5833" s="14">
        <v>0</v>
      </c>
    </row>
    <row r="5834" spans="1:6" x14ac:dyDescent="0.3">
      <c r="A5834" s="8">
        <v>5832</v>
      </c>
      <c r="B5834" s="8" t="s">
        <v>10684</v>
      </c>
      <c r="C5834" s="8" t="s">
        <v>11805</v>
      </c>
      <c r="D5834" s="8" t="s">
        <v>11806</v>
      </c>
      <c r="E5834" s="13">
        <v>0</v>
      </c>
      <c r="F5834" s="14">
        <v>0</v>
      </c>
    </row>
    <row r="5835" spans="1:6" x14ac:dyDescent="0.3">
      <c r="A5835" s="8">
        <v>5833</v>
      </c>
      <c r="B5835" s="8" t="s">
        <v>10684</v>
      </c>
      <c r="C5835" s="8" t="s">
        <v>11807</v>
      </c>
      <c r="D5835" s="8" t="s">
        <v>11808</v>
      </c>
      <c r="E5835" s="13">
        <v>0</v>
      </c>
      <c r="F5835" s="14">
        <v>0</v>
      </c>
    </row>
    <row r="5836" spans="1:6" x14ac:dyDescent="0.3">
      <c r="A5836" s="8">
        <v>5834</v>
      </c>
      <c r="B5836" s="8" t="s">
        <v>10697</v>
      </c>
      <c r="C5836" s="8" t="s">
        <v>11809</v>
      </c>
      <c r="D5836" s="8" t="s">
        <v>11810</v>
      </c>
      <c r="E5836" s="13">
        <v>0</v>
      </c>
      <c r="F5836" s="14">
        <v>0</v>
      </c>
    </row>
    <row r="5837" spans="1:6" x14ac:dyDescent="0.3">
      <c r="A5837" s="8">
        <v>5835</v>
      </c>
      <c r="B5837" s="8" t="s">
        <v>10697</v>
      </c>
      <c r="C5837" s="8" t="s">
        <v>11811</v>
      </c>
      <c r="D5837" s="8" t="s">
        <v>11812</v>
      </c>
      <c r="E5837" s="13">
        <v>0</v>
      </c>
      <c r="F5837" s="14">
        <v>0</v>
      </c>
    </row>
    <row r="5838" spans="1:6" x14ac:dyDescent="0.3">
      <c r="A5838" s="8">
        <v>5836</v>
      </c>
      <c r="B5838" s="8" t="s">
        <v>10697</v>
      </c>
      <c r="C5838" s="8" t="s">
        <v>11813</v>
      </c>
      <c r="D5838" s="8" t="s">
        <v>11814</v>
      </c>
      <c r="E5838" s="13">
        <v>22000</v>
      </c>
      <c r="F5838" s="14">
        <v>43519</v>
      </c>
    </row>
    <row r="5839" spans="1:6" x14ac:dyDescent="0.3">
      <c r="A5839" s="8">
        <v>5837</v>
      </c>
      <c r="B5839" s="8" t="s">
        <v>10697</v>
      </c>
      <c r="C5839" s="8" t="s">
        <v>11815</v>
      </c>
      <c r="D5839" s="8" t="s">
        <v>11816</v>
      </c>
      <c r="E5839" s="13">
        <v>0</v>
      </c>
      <c r="F5839" s="14">
        <v>0</v>
      </c>
    </row>
    <row r="5840" spans="1:6" x14ac:dyDescent="0.3">
      <c r="A5840" s="8">
        <v>5838</v>
      </c>
      <c r="B5840" s="8" t="s">
        <v>10697</v>
      </c>
      <c r="C5840" s="8" t="s">
        <v>11817</v>
      </c>
      <c r="D5840" s="8" t="s">
        <v>11818</v>
      </c>
      <c r="E5840" s="13">
        <v>18700</v>
      </c>
      <c r="F5840" s="14">
        <v>37037</v>
      </c>
    </row>
    <row r="5841" spans="1:6" x14ac:dyDescent="0.3">
      <c r="A5841" s="8">
        <v>5839</v>
      </c>
      <c r="B5841" s="8" t="s">
        <v>10697</v>
      </c>
      <c r="C5841" s="8" t="s">
        <v>11819</v>
      </c>
      <c r="D5841" s="8" t="s">
        <v>11820</v>
      </c>
      <c r="E5841" s="13">
        <v>92600</v>
      </c>
      <c r="F5841" s="14">
        <v>185185</v>
      </c>
    </row>
    <row r="5842" spans="1:6" x14ac:dyDescent="0.3">
      <c r="A5842" s="8">
        <v>5840</v>
      </c>
      <c r="B5842" s="8" t="s">
        <v>10697</v>
      </c>
      <c r="C5842" s="8" t="s">
        <v>11821</v>
      </c>
      <c r="D5842" s="8" t="s">
        <v>11822</v>
      </c>
      <c r="E5842" s="13">
        <v>92600</v>
      </c>
      <c r="F5842" s="14">
        <v>185185</v>
      </c>
    </row>
    <row r="5843" spans="1:6" x14ac:dyDescent="0.3">
      <c r="A5843" s="8">
        <v>5841</v>
      </c>
      <c r="B5843" s="8" t="s">
        <v>10697</v>
      </c>
      <c r="C5843" s="8" t="s">
        <v>11823</v>
      </c>
      <c r="D5843" s="8" t="s">
        <v>11824</v>
      </c>
      <c r="E5843" s="13">
        <v>444500</v>
      </c>
      <c r="F5843" s="14">
        <v>888889</v>
      </c>
    </row>
    <row r="5844" spans="1:6" x14ac:dyDescent="0.3">
      <c r="A5844" s="8">
        <v>5842</v>
      </c>
      <c r="B5844" s="8" t="s">
        <v>10697</v>
      </c>
      <c r="C5844" s="8" t="s">
        <v>11825</v>
      </c>
      <c r="D5844" s="8" t="s">
        <v>11826</v>
      </c>
      <c r="E5844" s="13">
        <v>0</v>
      </c>
      <c r="F5844" s="14">
        <v>0</v>
      </c>
    </row>
    <row r="5845" spans="1:6" x14ac:dyDescent="0.3">
      <c r="A5845" s="8">
        <v>5843</v>
      </c>
      <c r="B5845" s="8" t="s">
        <v>10697</v>
      </c>
      <c r="C5845" s="8" t="s">
        <v>11827</v>
      </c>
      <c r="D5845" s="8" t="s">
        <v>11828</v>
      </c>
      <c r="E5845" s="13">
        <v>166700</v>
      </c>
      <c r="F5845" s="14">
        <v>333333</v>
      </c>
    </row>
    <row r="5846" spans="1:6" x14ac:dyDescent="0.3">
      <c r="A5846" s="8">
        <v>5844</v>
      </c>
      <c r="B5846" s="8" t="s">
        <v>10697</v>
      </c>
      <c r="C5846" s="8" t="s">
        <v>11829</v>
      </c>
      <c r="D5846" s="8" t="s">
        <v>11830</v>
      </c>
      <c r="E5846" s="13">
        <v>0</v>
      </c>
      <c r="F5846" s="14">
        <v>0</v>
      </c>
    </row>
    <row r="5847" spans="1:6" x14ac:dyDescent="0.3">
      <c r="A5847" s="8">
        <v>5845</v>
      </c>
      <c r="B5847" s="8" t="s">
        <v>10697</v>
      </c>
      <c r="C5847" s="8" t="s">
        <v>11831</v>
      </c>
      <c r="D5847" s="8" t="s">
        <v>11832</v>
      </c>
      <c r="E5847" s="13">
        <v>250000</v>
      </c>
      <c r="F5847" s="14">
        <v>500000</v>
      </c>
    </row>
    <row r="5848" spans="1:6" x14ac:dyDescent="0.3">
      <c r="A5848" s="8">
        <v>5846</v>
      </c>
      <c r="B5848" s="8" t="s">
        <v>10697</v>
      </c>
      <c r="C5848" s="8" t="s">
        <v>11833</v>
      </c>
      <c r="D5848" s="8" t="s">
        <v>11834</v>
      </c>
      <c r="E5848" s="13">
        <v>0</v>
      </c>
      <c r="F5848" s="14">
        <v>0</v>
      </c>
    </row>
    <row r="5849" spans="1:6" x14ac:dyDescent="0.3">
      <c r="A5849" s="8">
        <v>5847</v>
      </c>
      <c r="B5849" s="8" t="s">
        <v>10697</v>
      </c>
      <c r="C5849" s="8" t="s">
        <v>11835</v>
      </c>
      <c r="D5849" s="8" t="s">
        <v>11836</v>
      </c>
      <c r="E5849" s="13">
        <v>31500</v>
      </c>
      <c r="F5849" s="14">
        <v>62963</v>
      </c>
    </row>
    <row r="5850" spans="1:6" x14ac:dyDescent="0.3">
      <c r="A5850" s="8">
        <v>5848</v>
      </c>
      <c r="B5850" s="8" t="s">
        <v>9478</v>
      </c>
      <c r="C5850" s="8" t="s">
        <v>11837</v>
      </c>
      <c r="D5850" s="8" t="s">
        <v>11838</v>
      </c>
      <c r="E5850" s="13">
        <v>0</v>
      </c>
      <c r="F5850" s="14">
        <v>0</v>
      </c>
    </row>
    <row r="5851" spans="1:6" x14ac:dyDescent="0.3">
      <c r="A5851" s="8">
        <v>5849</v>
      </c>
      <c r="B5851" s="8" t="s">
        <v>9478</v>
      </c>
      <c r="C5851" s="8" t="s">
        <v>11839</v>
      </c>
      <c r="D5851" s="8" t="s">
        <v>11840</v>
      </c>
      <c r="E5851" s="13">
        <v>0</v>
      </c>
      <c r="F5851" s="14">
        <v>0</v>
      </c>
    </row>
    <row r="5852" spans="1:6" x14ac:dyDescent="0.3">
      <c r="A5852" s="8">
        <v>5850</v>
      </c>
      <c r="B5852" s="8" t="s">
        <v>9478</v>
      </c>
      <c r="C5852" s="8" t="s">
        <v>11841</v>
      </c>
      <c r="D5852" s="8" t="s">
        <v>106</v>
      </c>
      <c r="E5852" s="13">
        <v>53100</v>
      </c>
      <c r="F5852" s="14">
        <v>106481</v>
      </c>
    </row>
    <row r="5853" spans="1:6" x14ac:dyDescent="0.3">
      <c r="A5853" s="8">
        <v>5851</v>
      </c>
      <c r="B5853" s="8" t="s">
        <v>9478</v>
      </c>
      <c r="C5853" s="8" t="s">
        <v>11842</v>
      </c>
      <c r="D5853" s="8" t="s">
        <v>11843</v>
      </c>
      <c r="E5853" s="13">
        <v>0</v>
      </c>
      <c r="F5853" s="14">
        <v>0</v>
      </c>
    </row>
    <row r="5854" spans="1:6" x14ac:dyDescent="0.3">
      <c r="A5854" s="8">
        <v>5852</v>
      </c>
      <c r="B5854" s="8" t="s">
        <v>9478</v>
      </c>
      <c r="C5854" s="8" t="s">
        <v>11844</v>
      </c>
      <c r="D5854" s="8" t="s">
        <v>11845</v>
      </c>
      <c r="E5854" s="13">
        <v>0</v>
      </c>
      <c r="F5854" s="14">
        <v>0</v>
      </c>
    </row>
    <row r="5855" spans="1:6" x14ac:dyDescent="0.3">
      <c r="A5855" s="8">
        <v>5853</v>
      </c>
      <c r="B5855" s="8" t="s">
        <v>9478</v>
      </c>
      <c r="C5855" s="8" t="s">
        <v>11846</v>
      </c>
      <c r="D5855" s="8" t="s">
        <v>131</v>
      </c>
      <c r="E5855" s="13">
        <v>265000</v>
      </c>
      <c r="F5855" s="14">
        <v>529630</v>
      </c>
    </row>
    <row r="5856" spans="1:6" x14ac:dyDescent="0.3">
      <c r="A5856" s="8">
        <v>5854</v>
      </c>
      <c r="B5856" s="8" t="s">
        <v>9478</v>
      </c>
      <c r="C5856" s="8" t="s">
        <v>11847</v>
      </c>
      <c r="D5856" s="8" t="s">
        <v>11848</v>
      </c>
      <c r="E5856" s="13">
        <v>0</v>
      </c>
      <c r="F5856" s="14">
        <v>0</v>
      </c>
    </row>
    <row r="5857" spans="1:6" x14ac:dyDescent="0.3">
      <c r="A5857" s="8">
        <v>5855</v>
      </c>
      <c r="B5857" s="8" t="s">
        <v>9478</v>
      </c>
      <c r="C5857" s="8" t="s">
        <v>11849</v>
      </c>
      <c r="D5857" s="8" t="s">
        <v>11850</v>
      </c>
      <c r="E5857" s="13">
        <v>0</v>
      </c>
      <c r="F5857" s="14">
        <v>0</v>
      </c>
    </row>
    <row r="5858" spans="1:6" x14ac:dyDescent="0.3">
      <c r="A5858" s="8">
        <v>5856</v>
      </c>
      <c r="B5858" s="8" t="s">
        <v>9478</v>
      </c>
      <c r="C5858" s="8" t="s">
        <v>11851</v>
      </c>
      <c r="D5858" s="8" t="s">
        <v>11852</v>
      </c>
      <c r="E5858" s="13">
        <v>0</v>
      </c>
      <c r="F5858" s="14">
        <v>1960185</v>
      </c>
    </row>
    <row r="5859" spans="1:6" x14ac:dyDescent="0.3">
      <c r="A5859" s="8">
        <v>5857</v>
      </c>
      <c r="B5859" s="8" t="s">
        <v>9478</v>
      </c>
      <c r="C5859" s="8" t="s">
        <v>11853</v>
      </c>
      <c r="D5859" s="8" t="s">
        <v>128</v>
      </c>
      <c r="E5859" s="13">
        <v>290000</v>
      </c>
      <c r="F5859" s="14">
        <v>579630</v>
      </c>
    </row>
    <row r="5860" spans="1:6" x14ac:dyDescent="0.3">
      <c r="A5860" s="8">
        <v>5858</v>
      </c>
      <c r="B5860" s="8" t="s">
        <v>9478</v>
      </c>
      <c r="C5860" s="8" t="s">
        <v>11854</v>
      </c>
      <c r="D5860" s="8" t="s">
        <v>11855</v>
      </c>
      <c r="E5860" s="13">
        <v>0</v>
      </c>
      <c r="F5860" s="14">
        <v>0</v>
      </c>
    </row>
    <row r="5861" spans="1:6" x14ac:dyDescent="0.3">
      <c r="A5861" s="8">
        <v>5859</v>
      </c>
      <c r="B5861" s="8" t="s">
        <v>10667</v>
      </c>
      <c r="C5861" s="8" t="s">
        <v>11856</v>
      </c>
      <c r="D5861" s="8" t="s">
        <v>11857</v>
      </c>
      <c r="E5861" s="13">
        <v>0</v>
      </c>
      <c r="F5861" s="14">
        <v>0</v>
      </c>
    </row>
    <row r="5862" spans="1:6" x14ac:dyDescent="0.3">
      <c r="A5862" s="8">
        <v>5860</v>
      </c>
      <c r="B5862" s="8" t="s">
        <v>10667</v>
      </c>
      <c r="C5862" s="8" t="s">
        <v>11858</v>
      </c>
      <c r="D5862" s="8" t="s">
        <v>11859</v>
      </c>
      <c r="E5862" s="13">
        <v>0</v>
      </c>
      <c r="F5862" s="14">
        <v>0</v>
      </c>
    </row>
    <row r="5863" spans="1:6" x14ac:dyDescent="0.3">
      <c r="A5863" s="8">
        <v>5861</v>
      </c>
      <c r="B5863" s="8" t="s">
        <v>10667</v>
      </c>
      <c r="C5863" s="8" t="s">
        <v>11860</v>
      </c>
      <c r="D5863" s="8" t="s">
        <v>11861</v>
      </c>
      <c r="E5863" s="13">
        <v>0</v>
      </c>
      <c r="F5863" s="14">
        <v>0</v>
      </c>
    </row>
    <row r="5864" spans="1:6" x14ac:dyDescent="0.3">
      <c r="A5864" s="8">
        <v>5862</v>
      </c>
      <c r="B5864" s="8" t="s">
        <v>10667</v>
      </c>
      <c r="C5864" s="8" t="s">
        <v>11862</v>
      </c>
      <c r="D5864" s="8" t="s">
        <v>11863</v>
      </c>
      <c r="E5864" s="13">
        <v>0</v>
      </c>
      <c r="F5864" s="14">
        <v>0</v>
      </c>
    </row>
    <row r="5865" spans="1:6" x14ac:dyDescent="0.3">
      <c r="A5865" s="8">
        <v>5863</v>
      </c>
      <c r="B5865" s="8" t="s">
        <v>10667</v>
      </c>
      <c r="C5865" s="8" t="s">
        <v>11864</v>
      </c>
      <c r="D5865" s="8" t="s">
        <v>11865</v>
      </c>
      <c r="E5865" s="13">
        <v>0</v>
      </c>
      <c r="F5865" s="14">
        <v>0</v>
      </c>
    </row>
    <row r="5866" spans="1:6" x14ac:dyDescent="0.3">
      <c r="A5866" s="8">
        <v>5864</v>
      </c>
      <c r="B5866" s="8" t="s">
        <v>10667</v>
      </c>
      <c r="C5866" s="8" t="s">
        <v>11866</v>
      </c>
      <c r="D5866" s="8" t="s">
        <v>11867</v>
      </c>
      <c r="E5866" s="13">
        <v>0</v>
      </c>
      <c r="F5866" s="14">
        <v>0</v>
      </c>
    </row>
    <row r="5867" spans="1:6" x14ac:dyDescent="0.3">
      <c r="A5867" s="8">
        <v>5865</v>
      </c>
      <c r="B5867" s="8" t="s">
        <v>10667</v>
      </c>
      <c r="C5867" s="8" t="s">
        <v>11868</v>
      </c>
      <c r="D5867" s="8" t="s">
        <v>11869</v>
      </c>
      <c r="E5867" s="13">
        <v>0</v>
      </c>
      <c r="F5867" s="14">
        <v>0</v>
      </c>
    </row>
    <row r="5868" spans="1:6" x14ac:dyDescent="0.3">
      <c r="A5868" s="8">
        <v>5866</v>
      </c>
      <c r="B5868" s="8" t="s">
        <v>10667</v>
      </c>
      <c r="C5868" s="8" t="s">
        <v>11870</v>
      </c>
      <c r="D5868" s="8" t="s">
        <v>11871</v>
      </c>
      <c r="E5868" s="13">
        <v>0</v>
      </c>
      <c r="F5868" s="14">
        <v>0</v>
      </c>
    </row>
    <row r="5869" spans="1:6" x14ac:dyDescent="0.3">
      <c r="A5869" s="8">
        <v>5867</v>
      </c>
      <c r="B5869" s="8" t="s">
        <v>10667</v>
      </c>
      <c r="C5869" s="8" t="s">
        <v>11872</v>
      </c>
      <c r="D5869" s="8" t="s">
        <v>11873</v>
      </c>
      <c r="E5869" s="13">
        <v>0</v>
      </c>
      <c r="F5869" s="14">
        <v>0</v>
      </c>
    </row>
    <row r="5870" spans="1:6" x14ac:dyDescent="0.3">
      <c r="A5870" s="8">
        <v>5868</v>
      </c>
      <c r="B5870" s="8" t="s">
        <v>10684</v>
      </c>
      <c r="C5870" s="8" t="s">
        <v>11874</v>
      </c>
      <c r="D5870" s="8" t="s">
        <v>5</v>
      </c>
      <c r="E5870" s="13">
        <v>50000</v>
      </c>
      <c r="F5870" s="14">
        <v>100000</v>
      </c>
    </row>
    <row r="5871" spans="1:6" x14ac:dyDescent="0.3">
      <c r="A5871" s="8">
        <v>5869</v>
      </c>
      <c r="B5871" s="8" t="s">
        <v>10684</v>
      </c>
      <c r="C5871" s="8" t="s">
        <v>11875</v>
      </c>
      <c r="D5871" s="8" t="s">
        <v>11876</v>
      </c>
      <c r="E5871" s="13">
        <v>0</v>
      </c>
      <c r="F5871" s="14">
        <v>0</v>
      </c>
    </row>
    <row r="5872" spans="1:6" x14ac:dyDescent="0.3">
      <c r="A5872" s="8">
        <v>5870</v>
      </c>
      <c r="B5872" s="8" t="s">
        <v>10684</v>
      </c>
      <c r="C5872" s="8" t="s">
        <v>11877</v>
      </c>
      <c r="D5872" s="8" t="s">
        <v>11878</v>
      </c>
      <c r="E5872" s="13">
        <v>0</v>
      </c>
      <c r="F5872" s="14">
        <v>0</v>
      </c>
    </row>
    <row r="5873" spans="1:6" x14ac:dyDescent="0.3">
      <c r="A5873" s="8">
        <v>5871</v>
      </c>
      <c r="B5873" s="8" t="s">
        <v>10684</v>
      </c>
      <c r="C5873" s="8" t="s">
        <v>11879</v>
      </c>
      <c r="D5873" s="8" t="s">
        <v>11880</v>
      </c>
      <c r="E5873" s="13">
        <v>0</v>
      </c>
      <c r="F5873" s="14">
        <v>0</v>
      </c>
    </row>
    <row r="5874" spans="1:6" x14ac:dyDescent="0.3">
      <c r="A5874" s="8">
        <v>5872</v>
      </c>
      <c r="B5874" s="8" t="s">
        <v>10684</v>
      </c>
      <c r="C5874" s="8" t="s">
        <v>11881</v>
      </c>
      <c r="D5874" s="8" t="s">
        <v>11882</v>
      </c>
      <c r="E5874" s="13">
        <v>0</v>
      </c>
      <c r="F5874" s="14">
        <v>0</v>
      </c>
    </row>
    <row r="5875" spans="1:6" x14ac:dyDescent="0.3">
      <c r="A5875" s="8">
        <v>5873</v>
      </c>
      <c r="B5875" s="8" t="s">
        <v>10684</v>
      </c>
      <c r="C5875" s="8" t="s">
        <v>11883</v>
      </c>
      <c r="D5875" s="8" t="s">
        <v>11884</v>
      </c>
      <c r="E5875" s="13">
        <v>0</v>
      </c>
      <c r="F5875" s="14">
        <v>0</v>
      </c>
    </row>
    <row r="5876" spans="1:6" x14ac:dyDescent="0.3">
      <c r="A5876" s="8">
        <v>5874</v>
      </c>
      <c r="B5876" s="8" t="s">
        <v>10684</v>
      </c>
      <c r="C5876" s="8" t="s">
        <v>11885</v>
      </c>
      <c r="D5876" s="8" t="s">
        <v>11886</v>
      </c>
      <c r="E5876" s="13">
        <v>0</v>
      </c>
      <c r="F5876" s="14">
        <v>0</v>
      </c>
    </row>
    <row r="5877" spans="1:6" x14ac:dyDescent="0.3">
      <c r="A5877" s="8">
        <v>5875</v>
      </c>
      <c r="B5877" s="8" t="s">
        <v>10684</v>
      </c>
      <c r="C5877" s="8" t="s">
        <v>11887</v>
      </c>
      <c r="D5877" s="8" t="s">
        <v>11888</v>
      </c>
      <c r="E5877" s="13">
        <v>0</v>
      </c>
      <c r="F5877" s="14">
        <v>0</v>
      </c>
    </row>
    <row r="5878" spans="1:6" x14ac:dyDescent="0.3">
      <c r="A5878" s="8">
        <v>5876</v>
      </c>
      <c r="B5878" s="8" t="s">
        <v>10684</v>
      </c>
      <c r="C5878" s="8" t="s">
        <v>11889</v>
      </c>
      <c r="D5878" s="8" t="s">
        <v>11890</v>
      </c>
      <c r="E5878" s="13">
        <v>0</v>
      </c>
      <c r="F5878" s="14">
        <v>0</v>
      </c>
    </row>
    <row r="5879" spans="1:6" x14ac:dyDescent="0.3">
      <c r="A5879" s="8">
        <v>5877</v>
      </c>
      <c r="B5879" s="8" t="s">
        <v>10697</v>
      </c>
      <c r="C5879" s="8" t="s">
        <v>11891</v>
      </c>
      <c r="D5879" s="8" t="s">
        <v>11892</v>
      </c>
      <c r="E5879" s="13">
        <v>0</v>
      </c>
      <c r="F5879" s="14">
        <v>0</v>
      </c>
    </row>
    <row r="5880" spans="1:6" x14ac:dyDescent="0.3">
      <c r="A5880" s="8">
        <v>5878</v>
      </c>
      <c r="B5880" s="8" t="s">
        <v>9478</v>
      </c>
      <c r="C5880" s="8" t="s">
        <v>11893</v>
      </c>
      <c r="D5880" s="8" t="s">
        <v>11894</v>
      </c>
      <c r="E5880" s="13">
        <v>0</v>
      </c>
      <c r="F5880" s="14">
        <v>0</v>
      </c>
    </row>
    <row r="5881" spans="1:6" x14ac:dyDescent="0.3">
      <c r="A5881" s="8">
        <v>5879</v>
      </c>
      <c r="B5881" s="8" t="s">
        <v>10667</v>
      </c>
      <c r="C5881" s="8" t="s">
        <v>11895</v>
      </c>
      <c r="D5881" s="8" t="s">
        <v>11896</v>
      </c>
      <c r="E5881" s="13">
        <v>0</v>
      </c>
      <c r="F5881" s="14">
        <v>0</v>
      </c>
    </row>
    <row r="5882" spans="1:6" x14ac:dyDescent="0.3">
      <c r="A5882" s="8">
        <v>5880</v>
      </c>
      <c r="B5882" s="8" t="s">
        <v>10667</v>
      </c>
      <c r="C5882" s="8" t="s">
        <v>11897</v>
      </c>
      <c r="D5882" s="8" t="s">
        <v>11898</v>
      </c>
      <c r="E5882" s="13">
        <v>0</v>
      </c>
      <c r="F5882" s="14">
        <v>0</v>
      </c>
    </row>
    <row r="5883" spans="1:6" x14ac:dyDescent="0.3">
      <c r="A5883" s="8">
        <v>5881</v>
      </c>
      <c r="B5883" s="8" t="s">
        <v>10667</v>
      </c>
      <c r="C5883" s="8" t="s">
        <v>11899</v>
      </c>
      <c r="D5883" s="8" t="s">
        <v>11900</v>
      </c>
      <c r="E5883" s="13">
        <v>0</v>
      </c>
      <c r="F5883" s="14">
        <v>0</v>
      </c>
    </row>
    <row r="5884" spans="1:6" x14ac:dyDescent="0.3">
      <c r="A5884" s="8">
        <v>5882</v>
      </c>
      <c r="B5884" s="8" t="s">
        <v>10667</v>
      </c>
      <c r="C5884" s="8" t="s">
        <v>11901</v>
      </c>
      <c r="D5884" s="8" t="s">
        <v>11902</v>
      </c>
      <c r="E5884" s="13">
        <v>0</v>
      </c>
      <c r="F5884" s="14">
        <v>0</v>
      </c>
    </row>
    <row r="5885" spans="1:6" x14ac:dyDescent="0.3">
      <c r="A5885" s="8">
        <v>5883</v>
      </c>
      <c r="B5885" s="8" t="s">
        <v>10667</v>
      </c>
      <c r="C5885" s="8" t="s">
        <v>11903</v>
      </c>
      <c r="D5885" s="8" t="s">
        <v>11904</v>
      </c>
      <c r="E5885" s="13">
        <v>0</v>
      </c>
      <c r="F5885" s="14">
        <v>0</v>
      </c>
    </row>
    <row r="5886" spans="1:6" x14ac:dyDescent="0.3">
      <c r="A5886" s="8">
        <v>5884</v>
      </c>
      <c r="B5886" s="8" t="s">
        <v>10667</v>
      </c>
      <c r="C5886" s="8" t="s">
        <v>11905</v>
      </c>
      <c r="D5886" s="8" t="s">
        <v>11906</v>
      </c>
      <c r="E5886" s="13">
        <v>0</v>
      </c>
      <c r="F5886" s="14">
        <v>0</v>
      </c>
    </row>
    <row r="5887" spans="1:6" x14ac:dyDescent="0.3">
      <c r="A5887" s="8">
        <v>5885</v>
      </c>
      <c r="B5887" s="8" t="s">
        <v>10667</v>
      </c>
      <c r="C5887" s="8" t="s">
        <v>11907</v>
      </c>
      <c r="D5887" s="8" t="s">
        <v>11908</v>
      </c>
      <c r="E5887" s="13">
        <v>0</v>
      </c>
      <c r="F5887" s="14">
        <v>0</v>
      </c>
    </row>
    <row r="5888" spans="1:6" x14ac:dyDescent="0.3">
      <c r="A5888" s="8">
        <v>5886</v>
      </c>
      <c r="B5888" s="8" t="s">
        <v>10667</v>
      </c>
      <c r="C5888" s="8" t="s">
        <v>11909</v>
      </c>
      <c r="D5888" s="8" t="s">
        <v>11910</v>
      </c>
      <c r="E5888" s="13">
        <v>0</v>
      </c>
      <c r="F5888" s="14">
        <v>0</v>
      </c>
    </row>
    <row r="5889" spans="1:6" x14ac:dyDescent="0.3">
      <c r="A5889" s="8">
        <v>5887</v>
      </c>
      <c r="B5889" s="8" t="s">
        <v>10667</v>
      </c>
      <c r="C5889" s="8" t="s">
        <v>11911</v>
      </c>
      <c r="D5889" s="8" t="s">
        <v>11912</v>
      </c>
      <c r="E5889" s="13">
        <v>0</v>
      </c>
      <c r="F5889" s="14">
        <v>0</v>
      </c>
    </row>
    <row r="5890" spans="1:6" x14ac:dyDescent="0.3">
      <c r="A5890" s="8">
        <v>5888</v>
      </c>
      <c r="B5890" s="8" t="s">
        <v>10684</v>
      </c>
      <c r="C5890" s="8" t="s">
        <v>11913</v>
      </c>
      <c r="D5890" s="8" t="s">
        <v>11914</v>
      </c>
      <c r="E5890" s="13">
        <v>0</v>
      </c>
      <c r="F5890" s="14">
        <v>0</v>
      </c>
    </row>
    <row r="5891" spans="1:6" x14ac:dyDescent="0.3">
      <c r="A5891" s="8">
        <v>5889</v>
      </c>
      <c r="B5891" s="8" t="s">
        <v>10684</v>
      </c>
      <c r="C5891" s="8" t="s">
        <v>11915</v>
      </c>
      <c r="D5891" s="8" t="s">
        <v>11916</v>
      </c>
      <c r="E5891" s="13">
        <v>0</v>
      </c>
      <c r="F5891" s="14">
        <v>0</v>
      </c>
    </row>
    <row r="5892" spans="1:6" x14ac:dyDescent="0.3">
      <c r="A5892" s="8">
        <v>5890</v>
      </c>
      <c r="B5892" s="8" t="s">
        <v>10684</v>
      </c>
      <c r="C5892" s="8" t="s">
        <v>11917</v>
      </c>
      <c r="D5892" s="8" t="s">
        <v>11918</v>
      </c>
      <c r="E5892" s="13">
        <v>0</v>
      </c>
      <c r="F5892" s="14">
        <v>0</v>
      </c>
    </row>
    <row r="5893" spans="1:6" x14ac:dyDescent="0.3">
      <c r="A5893" s="8">
        <v>5891</v>
      </c>
      <c r="B5893" s="8" t="s">
        <v>10684</v>
      </c>
      <c r="C5893" s="8" t="s">
        <v>11919</v>
      </c>
      <c r="D5893" s="8" t="s">
        <v>11920</v>
      </c>
      <c r="E5893" s="13">
        <v>0</v>
      </c>
      <c r="F5893" s="14">
        <v>0</v>
      </c>
    </row>
    <row r="5894" spans="1:6" x14ac:dyDescent="0.3">
      <c r="A5894" s="8">
        <v>5892</v>
      </c>
      <c r="B5894" s="8" t="s">
        <v>10684</v>
      </c>
      <c r="C5894" s="8" t="s">
        <v>11921</v>
      </c>
      <c r="D5894" s="8" t="s">
        <v>11922</v>
      </c>
      <c r="E5894" s="13">
        <v>0</v>
      </c>
      <c r="F5894" s="14">
        <v>0</v>
      </c>
    </row>
    <row r="5895" spans="1:6" x14ac:dyDescent="0.3">
      <c r="A5895" s="8">
        <v>5893</v>
      </c>
      <c r="B5895" s="8" t="s">
        <v>10684</v>
      </c>
      <c r="C5895" s="8" t="s">
        <v>11923</v>
      </c>
      <c r="D5895" s="8" t="s">
        <v>11924</v>
      </c>
      <c r="E5895" s="13">
        <v>0</v>
      </c>
      <c r="F5895" s="14">
        <v>0</v>
      </c>
    </row>
    <row r="5896" spans="1:6" x14ac:dyDescent="0.3">
      <c r="A5896" s="8">
        <v>5894</v>
      </c>
      <c r="B5896" s="8" t="s">
        <v>10684</v>
      </c>
      <c r="C5896" s="8" t="s">
        <v>11925</v>
      </c>
      <c r="D5896" s="8" t="s">
        <v>11926</v>
      </c>
      <c r="E5896" s="13">
        <v>0</v>
      </c>
      <c r="F5896" s="14">
        <v>0</v>
      </c>
    </row>
    <row r="5897" spans="1:6" x14ac:dyDescent="0.3">
      <c r="A5897" s="8">
        <v>5895</v>
      </c>
      <c r="B5897" s="8" t="s">
        <v>10697</v>
      </c>
      <c r="C5897" s="8" t="s">
        <v>11927</v>
      </c>
      <c r="D5897" s="8" t="s">
        <v>11928</v>
      </c>
      <c r="E5897" s="13">
        <v>728000</v>
      </c>
      <c r="F5897" s="14">
        <v>1456000</v>
      </c>
    </row>
    <row r="5898" spans="1:6" x14ac:dyDescent="0.3">
      <c r="A5898" s="8">
        <v>5896</v>
      </c>
      <c r="B5898" s="8" t="s">
        <v>10697</v>
      </c>
      <c r="C5898" s="8" t="s">
        <v>11929</v>
      </c>
      <c r="D5898" s="8" t="s">
        <v>11930</v>
      </c>
      <c r="E5898" s="13">
        <v>60000</v>
      </c>
      <c r="F5898" s="14">
        <v>120370</v>
      </c>
    </row>
    <row r="5899" spans="1:6" x14ac:dyDescent="0.3">
      <c r="A5899" s="8">
        <v>5897</v>
      </c>
      <c r="B5899" s="8" t="s">
        <v>10697</v>
      </c>
      <c r="C5899" s="8" t="s">
        <v>11931</v>
      </c>
      <c r="D5899" s="8" t="s">
        <v>11932</v>
      </c>
      <c r="E5899" s="13">
        <v>23500</v>
      </c>
      <c r="F5899" s="14">
        <v>47000</v>
      </c>
    </row>
    <row r="5900" spans="1:6" x14ac:dyDescent="0.3">
      <c r="A5900" s="8">
        <v>5898</v>
      </c>
      <c r="B5900" s="8" t="s">
        <v>10697</v>
      </c>
      <c r="C5900" s="8" t="s">
        <v>11933</v>
      </c>
      <c r="D5900" s="8" t="s">
        <v>11934</v>
      </c>
      <c r="E5900" s="13">
        <v>200000</v>
      </c>
      <c r="F5900" s="14">
        <v>323000</v>
      </c>
    </row>
    <row r="5901" spans="1:6" x14ac:dyDescent="0.3">
      <c r="A5901" s="8">
        <v>5899</v>
      </c>
      <c r="B5901" s="8" t="s">
        <v>10697</v>
      </c>
      <c r="C5901" s="8" t="s">
        <v>11935</v>
      </c>
      <c r="D5901" s="8" t="s">
        <v>11936</v>
      </c>
      <c r="E5901" s="13">
        <v>0</v>
      </c>
      <c r="F5901" s="14">
        <v>0</v>
      </c>
    </row>
    <row r="5902" spans="1:6" x14ac:dyDescent="0.3">
      <c r="A5902" s="8">
        <v>5900</v>
      </c>
      <c r="B5902" s="8" t="s">
        <v>10697</v>
      </c>
      <c r="C5902" s="8" t="s">
        <v>11937</v>
      </c>
      <c r="D5902" s="8" t="s">
        <v>11938</v>
      </c>
      <c r="E5902" s="13">
        <v>0</v>
      </c>
      <c r="F5902" s="14">
        <v>0</v>
      </c>
    </row>
    <row r="5903" spans="1:6" x14ac:dyDescent="0.3">
      <c r="A5903" s="8">
        <v>5901</v>
      </c>
      <c r="B5903" s="8" t="s">
        <v>10697</v>
      </c>
      <c r="C5903" s="8" t="s">
        <v>11939</v>
      </c>
      <c r="D5903" s="8" t="s">
        <v>11940</v>
      </c>
      <c r="E5903" s="13">
        <v>33000</v>
      </c>
      <c r="F5903" s="14">
        <v>66667</v>
      </c>
    </row>
    <row r="5904" spans="1:6" x14ac:dyDescent="0.3">
      <c r="A5904" s="8">
        <v>5902</v>
      </c>
      <c r="B5904" s="8" t="s">
        <v>10697</v>
      </c>
      <c r="C5904" s="8" t="s">
        <v>11941</v>
      </c>
      <c r="D5904" s="8" t="s">
        <v>11942</v>
      </c>
      <c r="E5904" s="13">
        <v>18700</v>
      </c>
      <c r="F5904" s="14">
        <v>37037</v>
      </c>
    </row>
    <row r="5905" spans="1:6" x14ac:dyDescent="0.3">
      <c r="A5905" s="8">
        <v>5903</v>
      </c>
      <c r="B5905" s="8" t="s">
        <v>10697</v>
      </c>
      <c r="C5905" s="8" t="s">
        <v>11943</v>
      </c>
      <c r="D5905" s="8" t="s">
        <v>11944</v>
      </c>
      <c r="E5905" s="13">
        <v>0</v>
      </c>
      <c r="F5905" s="14">
        <v>0</v>
      </c>
    </row>
    <row r="5906" spans="1:6" x14ac:dyDescent="0.3">
      <c r="A5906" s="8">
        <v>5904</v>
      </c>
      <c r="B5906" s="8" t="s">
        <v>10697</v>
      </c>
      <c r="C5906" s="8" t="s">
        <v>11945</v>
      </c>
      <c r="D5906" s="8" t="s">
        <v>11946</v>
      </c>
      <c r="E5906" s="13">
        <v>0</v>
      </c>
      <c r="F5906" s="14">
        <v>0</v>
      </c>
    </row>
    <row r="5907" spans="1:6" x14ac:dyDescent="0.3">
      <c r="A5907" s="8">
        <v>5905</v>
      </c>
      <c r="B5907" s="8" t="s">
        <v>10697</v>
      </c>
      <c r="C5907" s="8" t="s">
        <v>11947</v>
      </c>
      <c r="D5907" s="8" t="s">
        <v>11948</v>
      </c>
      <c r="E5907" s="13">
        <v>0</v>
      </c>
      <c r="F5907" s="14">
        <v>0</v>
      </c>
    </row>
    <row r="5908" spans="1:6" x14ac:dyDescent="0.3">
      <c r="A5908" s="8">
        <v>5906</v>
      </c>
      <c r="B5908" s="8" t="s">
        <v>10697</v>
      </c>
      <c r="C5908" s="8" t="s">
        <v>11949</v>
      </c>
      <c r="D5908" s="8" t="s">
        <v>11950</v>
      </c>
      <c r="E5908" s="13">
        <v>0</v>
      </c>
      <c r="F5908" s="14">
        <v>0</v>
      </c>
    </row>
    <row r="5909" spans="1:6" x14ac:dyDescent="0.3">
      <c r="A5909" s="8">
        <v>5907</v>
      </c>
      <c r="B5909" s="8" t="s">
        <v>2792</v>
      </c>
      <c r="C5909" s="8" t="s">
        <v>11951</v>
      </c>
      <c r="D5909" s="8" t="s">
        <v>11952</v>
      </c>
      <c r="E5909" s="13">
        <v>0</v>
      </c>
      <c r="F5909" s="14">
        <v>0</v>
      </c>
    </row>
    <row r="5910" spans="1:6" x14ac:dyDescent="0.3">
      <c r="A5910" s="8">
        <v>5908</v>
      </c>
      <c r="B5910" s="8" t="s">
        <v>2792</v>
      </c>
      <c r="C5910" s="8" t="s">
        <v>11953</v>
      </c>
      <c r="D5910" s="8" t="s">
        <v>11954</v>
      </c>
      <c r="E5910" s="13">
        <v>0</v>
      </c>
      <c r="F5910" s="14">
        <v>0</v>
      </c>
    </row>
    <row r="5911" spans="1:6" x14ac:dyDescent="0.3">
      <c r="A5911" s="8">
        <v>5909</v>
      </c>
      <c r="B5911" s="8" t="s">
        <v>2792</v>
      </c>
      <c r="C5911" s="8" t="s">
        <v>11955</v>
      </c>
      <c r="D5911" s="8" t="s">
        <v>11956</v>
      </c>
      <c r="E5911" s="13">
        <v>0</v>
      </c>
      <c r="F5911" s="14">
        <v>0</v>
      </c>
    </row>
    <row r="5912" spans="1:6" x14ac:dyDescent="0.3">
      <c r="A5912" s="8">
        <v>5910</v>
      </c>
      <c r="B5912" s="8" t="s">
        <v>2792</v>
      </c>
      <c r="C5912" s="8" t="s">
        <v>11957</v>
      </c>
      <c r="D5912" s="8" t="s">
        <v>11958</v>
      </c>
      <c r="E5912" s="13">
        <v>96800</v>
      </c>
      <c r="F5912" s="14">
        <v>193519</v>
      </c>
    </row>
    <row r="5913" spans="1:6" x14ac:dyDescent="0.3">
      <c r="A5913" s="8">
        <v>5911</v>
      </c>
      <c r="B5913" s="8" t="s">
        <v>2792</v>
      </c>
      <c r="C5913" s="8" t="s">
        <v>11959</v>
      </c>
      <c r="D5913" s="8" t="s">
        <v>11960</v>
      </c>
      <c r="E5913" s="13">
        <v>842000</v>
      </c>
      <c r="F5913" s="14">
        <v>1684259</v>
      </c>
    </row>
    <row r="5914" spans="1:6" x14ac:dyDescent="0.3">
      <c r="A5914" s="8">
        <v>5912</v>
      </c>
      <c r="B5914" s="8" t="s">
        <v>2792</v>
      </c>
      <c r="C5914" s="8" t="s">
        <v>11961</v>
      </c>
      <c r="D5914" s="8" t="s">
        <v>11962</v>
      </c>
      <c r="E5914" s="13">
        <v>0</v>
      </c>
      <c r="F5914" s="14">
        <v>1898148</v>
      </c>
    </row>
    <row r="5915" spans="1:6" x14ac:dyDescent="0.3">
      <c r="A5915" s="8">
        <v>5913</v>
      </c>
      <c r="B5915" s="8" t="s">
        <v>2792</v>
      </c>
      <c r="C5915" s="8" t="s">
        <v>11963</v>
      </c>
      <c r="D5915" s="8" t="s">
        <v>11964</v>
      </c>
      <c r="E5915" s="13">
        <v>0</v>
      </c>
      <c r="F5915" s="14">
        <v>0</v>
      </c>
    </row>
    <row r="5916" spans="1:6" x14ac:dyDescent="0.3">
      <c r="A5916" s="8">
        <v>5914</v>
      </c>
      <c r="B5916" s="8" t="s">
        <v>2792</v>
      </c>
      <c r="C5916" s="8" t="s">
        <v>11965</v>
      </c>
      <c r="D5916" s="8" t="s">
        <v>11966</v>
      </c>
      <c r="E5916" s="13">
        <v>0</v>
      </c>
      <c r="F5916" s="14">
        <v>0</v>
      </c>
    </row>
    <row r="5917" spans="1:6" x14ac:dyDescent="0.3">
      <c r="A5917" s="8">
        <v>5915</v>
      </c>
      <c r="B5917" s="8" t="s">
        <v>2792</v>
      </c>
      <c r="C5917" s="8" t="s">
        <v>11967</v>
      </c>
      <c r="D5917" s="8" t="s">
        <v>11968</v>
      </c>
      <c r="E5917" s="13">
        <v>0</v>
      </c>
      <c r="F5917" s="14">
        <v>0</v>
      </c>
    </row>
    <row r="5918" spans="1:6" x14ac:dyDescent="0.3">
      <c r="A5918" s="8">
        <v>5916</v>
      </c>
      <c r="B5918" s="8" t="s">
        <v>2792</v>
      </c>
      <c r="C5918" s="8" t="s">
        <v>11969</v>
      </c>
      <c r="D5918" s="8" t="s">
        <v>11970</v>
      </c>
      <c r="E5918" s="13">
        <v>0</v>
      </c>
      <c r="F5918" s="14">
        <v>0</v>
      </c>
    </row>
    <row r="5919" spans="1:6" x14ac:dyDescent="0.3">
      <c r="A5919" s="8">
        <v>5917</v>
      </c>
      <c r="B5919" s="8" t="s">
        <v>2792</v>
      </c>
      <c r="C5919" s="8" t="s">
        <v>11971</v>
      </c>
      <c r="D5919" s="8" t="s">
        <v>11972</v>
      </c>
      <c r="E5919" s="13">
        <v>0</v>
      </c>
      <c r="F5919" s="14">
        <v>0</v>
      </c>
    </row>
    <row r="5920" spans="1:6" x14ac:dyDescent="0.3">
      <c r="A5920" s="8">
        <v>5918</v>
      </c>
      <c r="B5920" s="8" t="s">
        <v>2792</v>
      </c>
      <c r="C5920" s="8" t="s">
        <v>11973</v>
      </c>
      <c r="D5920" s="8" t="s">
        <v>11974</v>
      </c>
      <c r="E5920" s="13">
        <v>0</v>
      </c>
      <c r="F5920" s="14">
        <v>0</v>
      </c>
    </row>
    <row r="5921" spans="1:6" x14ac:dyDescent="0.3">
      <c r="A5921" s="8">
        <v>5919</v>
      </c>
      <c r="B5921" s="8" t="s">
        <v>2792</v>
      </c>
      <c r="C5921" s="8" t="s">
        <v>11975</v>
      </c>
      <c r="D5921" s="8" t="s">
        <v>11976</v>
      </c>
      <c r="E5921" s="13">
        <v>0</v>
      </c>
      <c r="F5921" s="14">
        <v>0</v>
      </c>
    </row>
    <row r="5922" spans="1:6" x14ac:dyDescent="0.3">
      <c r="A5922" s="8">
        <v>5920</v>
      </c>
      <c r="B5922" s="8" t="s">
        <v>2792</v>
      </c>
      <c r="C5922" s="8" t="s">
        <v>11977</v>
      </c>
      <c r="D5922" s="8" t="s">
        <v>11978</v>
      </c>
      <c r="E5922" s="13">
        <v>769000</v>
      </c>
      <c r="F5922" s="14">
        <v>1537963</v>
      </c>
    </row>
    <row r="5923" spans="1:6" x14ac:dyDescent="0.3">
      <c r="A5923" s="8">
        <v>5921</v>
      </c>
      <c r="B5923" s="8" t="s">
        <v>2792</v>
      </c>
      <c r="C5923" s="8" t="s">
        <v>11979</v>
      </c>
      <c r="D5923" s="8" t="s">
        <v>11980</v>
      </c>
      <c r="E5923" s="13">
        <v>881000</v>
      </c>
      <c r="F5923" s="14">
        <v>1762037</v>
      </c>
    </row>
    <row r="5924" spans="1:6" x14ac:dyDescent="0.3">
      <c r="A5924" s="8">
        <v>5922</v>
      </c>
      <c r="B5924" s="8" t="s">
        <v>2792</v>
      </c>
      <c r="C5924" s="8" t="s">
        <v>11981</v>
      </c>
      <c r="D5924" s="8" t="s">
        <v>11982</v>
      </c>
      <c r="E5924" s="13">
        <v>11214000</v>
      </c>
      <c r="F5924" s="14">
        <v>18739815</v>
      </c>
    </row>
    <row r="5925" spans="1:6" x14ac:dyDescent="0.3">
      <c r="A5925" s="8">
        <v>5923</v>
      </c>
      <c r="B5925" s="8" t="s">
        <v>2792</v>
      </c>
      <c r="C5925" s="8" t="s">
        <v>11983</v>
      </c>
      <c r="D5925" s="8" t="s">
        <v>11984</v>
      </c>
      <c r="E5925" s="13">
        <v>0</v>
      </c>
      <c r="F5925" s="14">
        <v>0</v>
      </c>
    </row>
    <row r="5926" spans="1:6" x14ac:dyDescent="0.3">
      <c r="A5926" s="8">
        <v>5924</v>
      </c>
      <c r="B5926" s="8" t="s">
        <v>4148</v>
      </c>
      <c r="C5926" s="8" t="s">
        <v>11985</v>
      </c>
      <c r="D5926" s="8" t="s">
        <v>11986</v>
      </c>
      <c r="E5926" s="13">
        <v>63100</v>
      </c>
      <c r="F5926" s="14">
        <v>113000</v>
      </c>
    </row>
    <row r="5927" spans="1:6" x14ac:dyDescent="0.3">
      <c r="A5927" s="8">
        <v>5925</v>
      </c>
      <c r="B5927" s="8" t="s">
        <v>4148</v>
      </c>
      <c r="C5927" s="8" t="s">
        <v>11987</v>
      </c>
      <c r="D5927" s="8" t="s">
        <v>11988</v>
      </c>
      <c r="E5927" s="13">
        <v>90600</v>
      </c>
      <c r="F5927" s="14">
        <v>179000</v>
      </c>
    </row>
    <row r="5928" spans="1:6" x14ac:dyDescent="0.3">
      <c r="A5928" s="8">
        <v>5926</v>
      </c>
      <c r="B5928" s="8" t="s">
        <v>4148</v>
      </c>
      <c r="C5928" s="8" t="s">
        <v>11989</v>
      </c>
      <c r="D5928" s="8" t="s">
        <v>11990</v>
      </c>
      <c r="E5928" s="13">
        <v>153000</v>
      </c>
      <c r="F5928" s="14">
        <v>305556</v>
      </c>
    </row>
    <row r="5929" spans="1:6" x14ac:dyDescent="0.3">
      <c r="A5929" s="8">
        <v>5927</v>
      </c>
      <c r="B5929" s="8" t="s">
        <v>4148</v>
      </c>
      <c r="C5929" s="8" t="s">
        <v>11991</v>
      </c>
      <c r="D5929" s="8" t="s">
        <v>11992</v>
      </c>
      <c r="E5929" s="13">
        <v>71800</v>
      </c>
      <c r="F5929" s="14">
        <v>157407</v>
      </c>
    </row>
    <row r="5930" spans="1:6" x14ac:dyDescent="0.3">
      <c r="A5930" s="8">
        <v>5928</v>
      </c>
      <c r="B5930" s="8" t="s">
        <v>4148</v>
      </c>
      <c r="C5930" s="8" t="s">
        <v>11993</v>
      </c>
      <c r="D5930" s="8" t="s">
        <v>11994</v>
      </c>
      <c r="E5930" s="13">
        <v>153000</v>
      </c>
      <c r="F5930" s="14">
        <v>305556</v>
      </c>
    </row>
    <row r="5931" spans="1:6" x14ac:dyDescent="0.3">
      <c r="A5931" s="8">
        <v>5929</v>
      </c>
      <c r="B5931" s="8" t="s">
        <v>4148</v>
      </c>
      <c r="C5931" s="8" t="s">
        <v>11995</v>
      </c>
      <c r="D5931" s="8" t="s">
        <v>11996</v>
      </c>
      <c r="E5931" s="13">
        <v>0</v>
      </c>
      <c r="F5931" s="14">
        <v>186000</v>
      </c>
    </row>
    <row r="5932" spans="1:6" x14ac:dyDescent="0.3">
      <c r="A5932" s="8">
        <v>5930</v>
      </c>
      <c r="B5932" s="8" t="s">
        <v>10684</v>
      </c>
      <c r="C5932" s="8" t="s">
        <v>11997</v>
      </c>
      <c r="D5932" s="8" t="s">
        <v>11998</v>
      </c>
      <c r="E5932" s="13">
        <v>0</v>
      </c>
      <c r="F5932" s="14">
        <v>0</v>
      </c>
    </row>
    <row r="5933" spans="1:6" x14ac:dyDescent="0.3">
      <c r="A5933" s="8">
        <v>5931</v>
      </c>
      <c r="B5933" s="8" t="s">
        <v>10684</v>
      </c>
      <c r="C5933" s="8" t="s">
        <v>11999</v>
      </c>
      <c r="D5933" s="8" t="s">
        <v>12000</v>
      </c>
      <c r="E5933" s="13">
        <v>0</v>
      </c>
      <c r="F5933" s="14">
        <v>0</v>
      </c>
    </row>
    <row r="5934" spans="1:6" x14ac:dyDescent="0.3">
      <c r="A5934" s="8">
        <v>5932</v>
      </c>
      <c r="B5934" s="8" t="s">
        <v>10684</v>
      </c>
      <c r="C5934" s="8" t="s">
        <v>12001</v>
      </c>
      <c r="D5934" s="8" t="s">
        <v>12002</v>
      </c>
      <c r="E5934" s="13">
        <v>0</v>
      </c>
      <c r="F5934" s="14">
        <v>0</v>
      </c>
    </row>
    <row r="5935" spans="1:6" x14ac:dyDescent="0.3">
      <c r="A5935" s="8">
        <v>5933</v>
      </c>
      <c r="B5935" s="8" t="s">
        <v>10684</v>
      </c>
      <c r="C5935" s="8" t="s">
        <v>12003</v>
      </c>
      <c r="D5935" s="8" t="s">
        <v>12004</v>
      </c>
      <c r="E5935" s="13">
        <v>0</v>
      </c>
      <c r="F5935" s="14">
        <v>0</v>
      </c>
    </row>
    <row r="5936" spans="1:6" x14ac:dyDescent="0.3">
      <c r="A5936" s="8">
        <v>5934</v>
      </c>
      <c r="B5936" s="8" t="s">
        <v>10684</v>
      </c>
      <c r="C5936" s="8" t="s">
        <v>12005</v>
      </c>
      <c r="D5936" s="8" t="s">
        <v>12006</v>
      </c>
      <c r="E5936" s="13">
        <v>0</v>
      </c>
      <c r="F5936" s="14">
        <v>0</v>
      </c>
    </row>
    <row r="5937" spans="1:6" x14ac:dyDescent="0.3">
      <c r="A5937" s="8">
        <v>5935</v>
      </c>
      <c r="B5937" s="8" t="s">
        <v>10684</v>
      </c>
      <c r="C5937" s="8" t="s">
        <v>12007</v>
      </c>
      <c r="D5937" s="8" t="s">
        <v>12008</v>
      </c>
      <c r="E5937" s="13">
        <v>0</v>
      </c>
      <c r="F5937" s="14">
        <v>0</v>
      </c>
    </row>
    <row r="5938" spans="1:6" x14ac:dyDescent="0.3">
      <c r="A5938" s="8">
        <v>5936</v>
      </c>
      <c r="B5938" s="8" t="s">
        <v>10684</v>
      </c>
      <c r="C5938" s="8" t="s">
        <v>12009</v>
      </c>
      <c r="D5938" s="8" t="s">
        <v>12010</v>
      </c>
      <c r="E5938" s="13">
        <v>0</v>
      </c>
      <c r="F5938" s="14">
        <v>0</v>
      </c>
    </row>
    <row r="5939" spans="1:6" x14ac:dyDescent="0.3">
      <c r="A5939" s="8">
        <v>5937</v>
      </c>
      <c r="B5939" s="8" t="s">
        <v>10697</v>
      </c>
      <c r="C5939" s="8" t="s">
        <v>12011</v>
      </c>
      <c r="D5939" s="8" t="s">
        <v>12012</v>
      </c>
      <c r="E5939" s="13">
        <v>2448000</v>
      </c>
      <c r="F5939" s="14">
        <v>4896296</v>
      </c>
    </row>
    <row r="5940" spans="1:6" x14ac:dyDescent="0.3">
      <c r="A5940" s="8">
        <v>5938</v>
      </c>
      <c r="B5940" s="8" t="s">
        <v>10697</v>
      </c>
      <c r="C5940" s="8" t="s">
        <v>12013</v>
      </c>
      <c r="D5940" s="8" t="s">
        <v>12014</v>
      </c>
      <c r="E5940" s="13">
        <v>0</v>
      </c>
      <c r="F5940" s="14">
        <v>0</v>
      </c>
    </row>
    <row r="5941" spans="1:6" x14ac:dyDescent="0.3">
      <c r="A5941" s="8">
        <v>5939</v>
      </c>
      <c r="B5941" s="8" t="s">
        <v>10697</v>
      </c>
      <c r="C5941" s="8" t="s">
        <v>12015</v>
      </c>
      <c r="D5941" s="8" t="s">
        <v>12016</v>
      </c>
      <c r="E5941" s="13">
        <v>4800</v>
      </c>
      <c r="F5941" s="14">
        <v>10000</v>
      </c>
    </row>
    <row r="5942" spans="1:6" x14ac:dyDescent="0.3">
      <c r="A5942" s="8">
        <v>5940</v>
      </c>
      <c r="B5942" s="8" t="s">
        <v>10697</v>
      </c>
      <c r="C5942" s="8" t="s">
        <v>12017</v>
      </c>
      <c r="D5942" s="8" t="s">
        <v>12018</v>
      </c>
      <c r="E5942" s="13">
        <v>0</v>
      </c>
      <c r="F5942" s="14">
        <v>0</v>
      </c>
    </row>
    <row r="5943" spans="1:6" x14ac:dyDescent="0.3">
      <c r="A5943" s="8">
        <v>5941</v>
      </c>
      <c r="B5943" s="8" t="s">
        <v>10697</v>
      </c>
      <c r="C5943" s="8" t="s">
        <v>12019</v>
      </c>
      <c r="D5943" s="8" t="s">
        <v>12020</v>
      </c>
      <c r="E5943" s="13">
        <v>0</v>
      </c>
      <c r="F5943" s="14">
        <v>0</v>
      </c>
    </row>
    <row r="5944" spans="1:6" x14ac:dyDescent="0.3">
      <c r="A5944" s="8">
        <v>5942</v>
      </c>
      <c r="B5944" s="8" t="s">
        <v>10697</v>
      </c>
      <c r="C5944" s="8" t="s">
        <v>12021</v>
      </c>
      <c r="D5944" s="8" t="s">
        <v>12022</v>
      </c>
      <c r="E5944" s="13">
        <v>0</v>
      </c>
      <c r="F5944" s="14">
        <v>0</v>
      </c>
    </row>
    <row r="5945" spans="1:6" x14ac:dyDescent="0.3">
      <c r="A5945" s="8">
        <v>5943</v>
      </c>
      <c r="B5945" s="8" t="s">
        <v>10697</v>
      </c>
      <c r="C5945" s="8" t="s">
        <v>12023</v>
      </c>
      <c r="D5945" s="8" t="s">
        <v>12024</v>
      </c>
      <c r="E5945" s="13">
        <v>0</v>
      </c>
      <c r="F5945" s="14">
        <v>0</v>
      </c>
    </row>
    <row r="5946" spans="1:6" x14ac:dyDescent="0.3">
      <c r="A5946" s="8">
        <v>5944</v>
      </c>
      <c r="B5946" s="8" t="s">
        <v>10697</v>
      </c>
      <c r="C5946" s="8" t="s">
        <v>12025</v>
      </c>
      <c r="D5946" s="8" t="s">
        <v>12026</v>
      </c>
      <c r="E5946" s="13">
        <v>33000</v>
      </c>
      <c r="F5946" s="14">
        <v>66667</v>
      </c>
    </row>
    <row r="5947" spans="1:6" x14ac:dyDescent="0.3">
      <c r="A5947" s="8">
        <v>5945</v>
      </c>
      <c r="B5947" s="8" t="s">
        <v>10697</v>
      </c>
      <c r="C5947" s="8" t="s">
        <v>12027</v>
      </c>
      <c r="D5947" s="8" t="s">
        <v>12028</v>
      </c>
      <c r="E5947" s="13">
        <v>0</v>
      </c>
      <c r="F5947" s="14">
        <v>0</v>
      </c>
    </row>
    <row r="5948" spans="1:6" x14ac:dyDescent="0.3">
      <c r="A5948" s="8">
        <v>5946</v>
      </c>
      <c r="B5948" s="8" t="s">
        <v>10697</v>
      </c>
      <c r="C5948" s="8" t="s">
        <v>12029</v>
      </c>
      <c r="D5948" s="8" t="s">
        <v>12030</v>
      </c>
      <c r="E5948" s="13">
        <v>0</v>
      </c>
      <c r="F5948" s="14">
        <v>0</v>
      </c>
    </row>
    <row r="5949" spans="1:6" x14ac:dyDescent="0.3">
      <c r="A5949" s="8">
        <v>5947</v>
      </c>
      <c r="B5949" s="8" t="s">
        <v>10697</v>
      </c>
      <c r="C5949" s="8" t="s">
        <v>12031</v>
      </c>
      <c r="D5949" s="8" t="s">
        <v>12032</v>
      </c>
      <c r="E5949" s="13">
        <v>0</v>
      </c>
      <c r="F5949" s="14">
        <v>0</v>
      </c>
    </row>
    <row r="5950" spans="1:6" x14ac:dyDescent="0.3">
      <c r="A5950" s="8">
        <v>5948</v>
      </c>
      <c r="B5950" s="8" t="s">
        <v>10697</v>
      </c>
      <c r="C5950" s="8" t="s">
        <v>12033</v>
      </c>
      <c r="D5950" s="8" t="s">
        <v>12034</v>
      </c>
      <c r="E5950" s="13">
        <v>28000</v>
      </c>
      <c r="F5950" s="14">
        <v>55556</v>
      </c>
    </row>
    <row r="5951" spans="1:6" x14ac:dyDescent="0.3">
      <c r="A5951" s="8">
        <v>5949</v>
      </c>
      <c r="B5951" s="8" t="s">
        <v>10697</v>
      </c>
      <c r="C5951" s="8" t="s">
        <v>12035</v>
      </c>
      <c r="D5951" s="8" t="s">
        <v>12036</v>
      </c>
      <c r="E5951" s="13">
        <v>0</v>
      </c>
      <c r="F5951" s="14">
        <v>0</v>
      </c>
    </row>
    <row r="5952" spans="1:6" x14ac:dyDescent="0.3">
      <c r="A5952" s="8">
        <v>5950</v>
      </c>
      <c r="B5952" s="8" t="s">
        <v>10697</v>
      </c>
      <c r="C5952" s="8" t="s">
        <v>12037</v>
      </c>
      <c r="D5952" s="8" t="s">
        <v>12038</v>
      </c>
      <c r="E5952" s="13">
        <v>0</v>
      </c>
      <c r="F5952" s="14">
        <v>0</v>
      </c>
    </row>
    <row r="5953" spans="1:6" x14ac:dyDescent="0.3">
      <c r="A5953" s="8">
        <v>5951</v>
      </c>
      <c r="B5953" s="8" t="s">
        <v>10697</v>
      </c>
      <c r="C5953" s="8" t="s">
        <v>12039</v>
      </c>
      <c r="D5953" s="8" t="s">
        <v>12040</v>
      </c>
      <c r="E5953" s="13">
        <v>305556</v>
      </c>
      <c r="F5953" s="14">
        <v>611111</v>
      </c>
    </row>
    <row r="5954" spans="1:6" x14ac:dyDescent="0.3">
      <c r="A5954" s="8">
        <v>5952</v>
      </c>
      <c r="B5954" s="8" t="s">
        <v>10697</v>
      </c>
      <c r="C5954" s="8" t="s">
        <v>12041</v>
      </c>
      <c r="D5954" s="8" t="s">
        <v>12042</v>
      </c>
      <c r="E5954" s="13">
        <v>342593</v>
      </c>
      <c r="F5954" s="14">
        <v>685185</v>
      </c>
    </row>
    <row r="5955" spans="1:6" x14ac:dyDescent="0.3">
      <c r="A5955" s="8">
        <v>5953</v>
      </c>
      <c r="B5955" s="8" t="s">
        <v>10697</v>
      </c>
      <c r="C5955" s="8" t="s">
        <v>12043</v>
      </c>
      <c r="D5955" s="8" t="s">
        <v>12044</v>
      </c>
      <c r="E5955" s="13">
        <v>0</v>
      </c>
      <c r="F5955" s="14">
        <v>0</v>
      </c>
    </row>
    <row r="5956" spans="1:6" x14ac:dyDescent="0.3">
      <c r="A5956" s="8">
        <v>5954</v>
      </c>
      <c r="B5956" s="8" t="s">
        <v>10697</v>
      </c>
      <c r="C5956" s="8" t="s">
        <v>12045</v>
      </c>
      <c r="D5956" s="8" t="s">
        <v>12046</v>
      </c>
      <c r="E5956" s="13">
        <v>0</v>
      </c>
      <c r="F5956" s="14">
        <v>0</v>
      </c>
    </row>
    <row r="5957" spans="1:6" x14ac:dyDescent="0.3">
      <c r="A5957" s="8">
        <v>5955</v>
      </c>
      <c r="B5957" s="8" t="s">
        <v>10697</v>
      </c>
      <c r="C5957" s="8" t="s">
        <v>12047</v>
      </c>
      <c r="D5957" s="8" t="s">
        <v>12048</v>
      </c>
      <c r="E5957" s="13">
        <v>0</v>
      </c>
      <c r="F5957" s="14">
        <v>0</v>
      </c>
    </row>
    <row r="5958" spans="1:6" x14ac:dyDescent="0.3">
      <c r="A5958" s="8">
        <v>5956</v>
      </c>
      <c r="B5958" s="8" t="s">
        <v>9478</v>
      </c>
      <c r="C5958" s="8" t="s">
        <v>12049</v>
      </c>
      <c r="D5958" s="8" t="s">
        <v>12050</v>
      </c>
      <c r="E5958" s="13">
        <v>0</v>
      </c>
      <c r="F5958" s="14">
        <v>0</v>
      </c>
    </row>
    <row r="5959" spans="1:6" x14ac:dyDescent="0.3">
      <c r="A5959" s="8">
        <v>5957</v>
      </c>
      <c r="B5959" s="8" t="s">
        <v>9478</v>
      </c>
      <c r="C5959" s="8" t="s">
        <v>12051</v>
      </c>
      <c r="D5959" s="8" t="s">
        <v>12052</v>
      </c>
      <c r="E5959" s="13">
        <v>0</v>
      </c>
      <c r="F5959" s="14">
        <v>0</v>
      </c>
    </row>
    <row r="5960" spans="1:6" x14ac:dyDescent="0.3">
      <c r="A5960" s="8">
        <v>5958</v>
      </c>
      <c r="B5960" s="8" t="s">
        <v>9478</v>
      </c>
      <c r="C5960" s="8" t="s">
        <v>12053</v>
      </c>
      <c r="D5960" s="8" t="s">
        <v>12054</v>
      </c>
      <c r="E5960" s="13">
        <v>0</v>
      </c>
      <c r="F5960" s="14">
        <v>0</v>
      </c>
    </row>
    <row r="5961" spans="1:6" x14ac:dyDescent="0.3">
      <c r="A5961" s="8">
        <v>5959</v>
      </c>
      <c r="B5961" s="8" t="s">
        <v>9478</v>
      </c>
      <c r="C5961" s="8" t="s">
        <v>12055</v>
      </c>
      <c r="D5961" s="8" t="s">
        <v>12056</v>
      </c>
      <c r="E5961" s="13">
        <v>0</v>
      </c>
      <c r="F5961" s="14">
        <v>0</v>
      </c>
    </row>
    <row r="5962" spans="1:6" x14ac:dyDescent="0.3">
      <c r="A5962" s="8">
        <v>5960</v>
      </c>
      <c r="B5962" s="8" t="s">
        <v>9478</v>
      </c>
      <c r="C5962" s="8" t="s">
        <v>12057</v>
      </c>
      <c r="D5962" s="8" t="s">
        <v>38</v>
      </c>
      <c r="E5962" s="13">
        <v>167000</v>
      </c>
      <c r="F5962" s="14">
        <v>334259</v>
      </c>
    </row>
    <row r="5963" spans="1:6" x14ac:dyDescent="0.3">
      <c r="A5963" s="8">
        <v>5961</v>
      </c>
      <c r="B5963" s="8" t="s">
        <v>9478</v>
      </c>
      <c r="C5963" s="8" t="s">
        <v>12058</v>
      </c>
      <c r="D5963" s="8" t="s">
        <v>77</v>
      </c>
      <c r="E5963" s="13">
        <v>125000</v>
      </c>
      <c r="F5963" s="14">
        <v>250000</v>
      </c>
    </row>
    <row r="5964" spans="1:6" x14ac:dyDescent="0.3">
      <c r="A5964" s="8">
        <v>5962</v>
      </c>
      <c r="B5964" s="8" t="s">
        <v>9478</v>
      </c>
      <c r="C5964" s="8" t="s">
        <v>12059</v>
      </c>
      <c r="D5964" s="8" t="s">
        <v>12060</v>
      </c>
      <c r="E5964" s="13">
        <v>0</v>
      </c>
      <c r="F5964" s="14">
        <v>0</v>
      </c>
    </row>
    <row r="5965" spans="1:6" x14ac:dyDescent="0.3">
      <c r="A5965" s="8">
        <v>5963</v>
      </c>
      <c r="B5965" s="8" t="s">
        <v>9478</v>
      </c>
      <c r="C5965" s="8" t="s">
        <v>12061</v>
      </c>
      <c r="D5965" s="8" t="s">
        <v>12062</v>
      </c>
      <c r="E5965" s="13">
        <v>0</v>
      </c>
      <c r="F5965" s="14">
        <v>0</v>
      </c>
    </row>
    <row r="5966" spans="1:6" x14ac:dyDescent="0.3">
      <c r="A5966" s="8">
        <v>5964</v>
      </c>
      <c r="B5966" s="8" t="s">
        <v>9478</v>
      </c>
      <c r="C5966" s="8" t="s">
        <v>12063</v>
      </c>
      <c r="D5966" s="8" t="s">
        <v>12064</v>
      </c>
      <c r="E5966" s="13">
        <v>0</v>
      </c>
      <c r="F5966" s="14">
        <v>0</v>
      </c>
    </row>
    <row r="5967" spans="1:6" x14ac:dyDescent="0.3">
      <c r="A5967" s="8">
        <v>5965</v>
      </c>
      <c r="B5967" s="8" t="s">
        <v>9478</v>
      </c>
      <c r="C5967" s="8" t="s">
        <v>12065</v>
      </c>
      <c r="D5967" s="8" t="s">
        <v>12066</v>
      </c>
      <c r="E5967" s="13">
        <v>0</v>
      </c>
      <c r="F5967" s="14">
        <v>0</v>
      </c>
    </row>
    <row r="5968" spans="1:6" x14ac:dyDescent="0.3">
      <c r="A5968" s="8">
        <v>5966</v>
      </c>
      <c r="B5968" s="8" t="s">
        <v>9478</v>
      </c>
      <c r="C5968" s="8" t="s">
        <v>12067</v>
      </c>
      <c r="D5968" s="8" t="s">
        <v>12068</v>
      </c>
      <c r="E5968" s="13">
        <v>0</v>
      </c>
      <c r="F5968" s="14">
        <v>0</v>
      </c>
    </row>
    <row r="5969" spans="1:6" x14ac:dyDescent="0.3">
      <c r="A5969" s="8">
        <v>5967</v>
      </c>
      <c r="B5969" s="8" t="s">
        <v>9478</v>
      </c>
      <c r="C5969" s="8" t="s">
        <v>12069</v>
      </c>
      <c r="D5969" s="8" t="s">
        <v>12070</v>
      </c>
      <c r="E5969" s="13">
        <v>0</v>
      </c>
      <c r="F5969" s="14">
        <v>0</v>
      </c>
    </row>
    <row r="5970" spans="1:6" x14ac:dyDescent="0.3">
      <c r="A5970" s="8">
        <v>5968</v>
      </c>
      <c r="B5970" s="8" t="s">
        <v>9478</v>
      </c>
      <c r="C5970" s="8" t="s">
        <v>12071</v>
      </c>
      <c r="D5970" s="8" t="s">
        <v>12072</v>
      </c>
      <c r="E5970" s="13">
        <v>0</v>
      </c>
      <c r="F5970" s="14">
        <v>0</v>
      </c>
    </row>
    <row r="5971" spans="1:6" x14ac:dyDescent="0.3">
      <c r="A5971" s="8">
        <v>5969</v>
      </c>
      <c r="B5971" s="8" t="s">
        <v>9478</v>
      </c>
      <c r="C5971" s="8" t="s">
        <v>12073</v>
      </c>
      <c r="D5971" s="8" t="s">
        <v>12074</v>
      </c>
      <c r="E5971" s="13">
        <v>0</v>
      </c>
      <c r="F5971" s="14">
        <v>0</v>
      </c>
    </row>
    <row r="5972" spans="1:6" x14ac:dyDescent="0.3">
      <c r="A5972" s="8">
        <v>5970</v>
      </c>
      <c r="B5972" s="8" t="s">
        <v>9478</v>
      </c>
      <c r="C5972" s="8" t="s">
        <v>12075</v>
      </c>
      <c r="D5972" s="8" t="s">
        <v>112</v>
      </c>
      <c r="E5972" s="13">
        <v>182000</v>
      </c>
      <c r="F5972" s="14">
        <v>363889</v>
      </c>
    </row>
    <row r="5973" spans="1:6" x14ac:dyDescent="0.3">
      <c r="A5973" s="8">
        <v>5971</v>
      </c>
      <c r="B5973" s="8" t="s">
        <v>9478</v>
      </c>
      <c r="C5973" s="8" t="s">
        <v>12076</v>
      </c>
      <c r="D5973" s="8" t="s">
        <v>111</v>
      </c>
      <c r="E5973" s="13">
        <v>205000</v>
      </c>
      <c r="F5973" s="14">
        <v>410185</v>
      </c>
    </row>
    <row r="5974" spans="1:6" x14ac:dyDescent="0.3">
      <c r="A5974" s="8">
        <v>5972</v>
      </c>
      <c r="B5974" s="8" t="s">
        <v>9478</v>
      </c>
      <c r="C5974" s="8" t="s">
        <v>12077</v>
      </c>
      <c r="D5974" s="8" t="s">
        <v>110</v>
      </c>
      <c r="E5974" s="13">
        <v>144000</v>
      </c>
      <c r="F5974" s="14">
        <v>287963</v>
      </c>
    </row>
    <row r="5975" spans="1:6" x14ac:dyDescent="0.3">
      <c r="A5975" s="8">
        <v>5973</v>
      </c>
      <c r="B5975" s="8" t="s">
        <v>9478</v>
      </c>
      <c r="C5975" s="8" t="s">
        <v>12078</v>
      </c>
      <c r="D5975" s="8" t="s">
        <v>12079</v>
      </c>
      <c r="E5975" s="13">
        <v>0</v>
      </c>
      <c r="F5975" s="14">
        <v>0</v>
      </c>
    </row>
    <row r="5976" spans="1:6" x14ac:dyDescent="0.3">
      <c r="A5976" s="8">
        <v>5974</v>
      </c>
      <c r="B5976" s="8" t="s">
        <v>9478</v>
      </c>
      <c r="C5976" s="8" t="s">
        <v>12080</v>
      </c>
      <c r="D5976" s="8" t="s">
        <v>12081</v>
      </c>
      <c r="E5976" s="13">
        <v>0</v>
      </c>
      <c r="F5976" s="14">
        <v>0</v>
      </c>
    </row>
    <row r="5977" spans="1:6" x14ac:dyDescent="0.3">
      <c r="A5977" s="8">
        <v>5975</v>
      </c>
      <c r="B5977" s="8" t="s">
        <v>9478</v>
      </c>
      <c r="C5977" s="8" t="s">
        <v>12082</v>
      </c>
      <c r="D5977" s="8" t="s">
        <v>12083</v>
      </c>
      <c r="E5977" s="13">
        <v>0</v>
      </c>
      <c r="F5977" s="14">
        <v>0</v>
      </c>
    </row>
    <row r="5978" spans="1:6" x14ac:dyDescent="0.3">
      <c r="A5978" s="8">
        <v>5976</v>
      </c>
      <c r="B5978" s="8" t="s">
        <v>9478</v>
      </c>
      <c r="C5978" s="8" t="s">
        <v>12084</v>
      </c>
      <c r="D5978" s="8" t="s">
        <v>119</v>
      </c>
      <c r="E5978" s="13">
        <v>77200</v>
      </c>
      <c r="F5978" s="14">
        <v>154630</v>
      </c>
    </row>
    <row r="5979" spans="1:6" x14ac:dyDescent="0.3">
      <c r="A5979" s="8">
        <v>5977</v>
      </c>
      <c r="B5979" s="8" t="s">
        <v>9478</v>
      </c>
      <c r="C5979" s="8" t="s">
        <v>12085</v>
      </c>
      <c r="D5979" s="8" t="s">
        <v>12086</v>
      </c>
      <c r="E5979" s="13">
        <v>0</v>
      </c>
      <c r="F5979" s="14">
        <v>0</v>
      </c>
    </row>
    <row r="5980" spans="1:6" x14ac:dyDescent="0.3">
      <c r="A5980" s="8">
        <v>5978</v>
      </c>
      <c r="B5980" s="8" t="s">
        <v>9478</v>
      </c>
      <c r="C5980" s="8" t="s">
        <v>12087</v>
      </c>
      <c r="D5980" s="8" t="s">
        <v>12088</v>
      </c>
      <c r="E5980" s="13">
        <v>0</v>
      </c>
      <c r="F5980" s="14">
        <v>0</v>
      </c>
    </row>
    <row r="5981" spans="1:6" x14ac:dyDescent="0.3">
      <c r="A5981" s="8">
        <v>5979</v>
      </c>
      <c r="B5981" s="8" t="s">
        <v>9478</v>
      </c>
      <c r="C5981" s="8" t="s">
        <v>12089</v>
      </c>
      <c r="D5981" s="8" t="s">
        <v>130</v>
      </c>
      <c r="E5981" s="13">
        <v>330000</v>
      </c>
      <c r="F5981" s="14">
        <v>660185</v>
      </c>
    </row>
    <row r="5982" spans="1:6" x14ac:dyDescent="0.3">
      <c r="A5982" s="8">
        <v>5980</v>
      </c>
      <c r="B5982" s="8" t="s">
        <v>10667</v>
      </c>
      <c r="C5982" s="8" t="s">
        <v>12090</v>
      </c>
      <c r="D5982" s="8" t="s">
        <v>12091</v>
      </c>
      <c r="E5982" s="13">
        <v>0</v>
      </c>
      <c r="F5982" s="14">
        <v>0</v>
      </c>
    </row>
    <row r="5983" spans="1:6" x14ac:dyDescent="0.3">
      <c r="A5983" s="8">
        <v>5981</v>
      </c>
      <c r="B5983" s="8" t="s">
        <v>10667</v>
      </c>
      <c r="C5983" s="8" t="s">
        <v>12092</v>
      </c>
      <c r="D5983" s="8" t="s">
        <v>12093</v>
      </c>
      <c r="E5983" s="13">
        <v>0</v>
      </c>
      <c r="F5983" s="14">
        <v>0</v>
      </c>
    </row>
    <row r="5984" spans="1:6" x14ac:dyDescent="0.3">
      <c r="A5984" s="8">
        <v>5982</v>
      </c>
      <c r="B5984" s="8" t="s">
        <v>10667</v>
      </c>
      <c r="C5984" s="8" t="s">
        <v>12094</v>
      </c>
      <c r="D5984" s="8" t="s">
        <v>12095</v>
      </c>
      <c r="E5984" s="13">
        <v>0</v>
      </c>
      <c r="F5984" s="14">
        <v>0</v>
      </c>
    </row>
    <row r="5985" spans="1:6" x14ac:dyDescent="0.3">
      <c r="A5985" s="8">
        <v>5983</v>
      </c>
      <c r="B5985" s="8" t="s">
        <v>10667</v>
      </c>
      <c r="C5985" s="8" t="s">
        <v>12096</v>
      </c>
      <c r="D5985" s="8" t="s">
        <v>12097</v>
      </c>
      <c r="E5985" s="13">
        <v>0</v>
      </c>
      <c r="F5985" s="14">
        <v>0</v>
      </c>
    </row>
    <row r="5986" spans="1:6" x14ac:dyDescent="0.3">
      <c r="A5986" s="8">
        <v>5984</v>
      </c>
      <c r="B5986" s="8" t="s">
        <v>10667</v>
      </c>
      <c r="C5986" s="8" t="s">
        <v>12098</v>
      </c>
      <c r="D5986" s="8" t="s">
        <v>12099</v>
      </c>
      <c r="E5986" s="13">
        <v>0</v>
      </c>
      <c r="F5986" s="14">
        <v>0</v>
      </c>
    </row>
    <row r="5987" spans="1:6" x14ac:dyDescent="0.3">
      <c r="A5987" s="8">
        <v>5985</v>
      </c>
      <c r="B5987" s="8" t="s">
        <v>10667</v>
      </c>
      <c r="C5987" s="8" t="s">
        <v>12100</v>
      </c>
      <c r="D5987" s="8" t="s">
        <v>12101</v>
      </c>
      <c r="E5987" s="13">
        <v>0</v>
      </c>
      <c r="F5987" s="14">
        <v>0</v>
      </c>
    </row>
    <row r="5988" spans="1:6" x14ac:dyDescent="0.3">
      <c r="A5988" s="8">
        <v>5986</v>
      </c>
      <c r="B5988" s="8" t="s">
        <v>10667</v>
      </c>
      <c r="C5988" s="8" t="s">
        <v>12102</v>
      </c>
      <c r="D5988" s="8" t="s">
        <v>12103</v>
      </c>
      <c r="E5988" s="13">
        <v>0</v>
      </c>
      <c r="F5988" s="14">
        <v>0</v>
      </c>
    </row>
    <row r="5989" spans="1:6" x14ac:dyDescent="0.3">
      <c r="A5989" s="8">
        <v>5987</v>
      </c>
      <c r="B5989" s="8" t="s">
        <v>7368</v>
      </c>
      <c r="C5989" s="8" t="s">
        <v>12104</v>
      </c>
      <c r="D5989" s="8" t="s">
        <v>12105</v>
      </c>
      <c r="E5989" s="13">
        <v>105000</v>
      </c>
      <c r="F5989" s="14">
        <v>210185</v>
      </c>
    </row>
    <row r="5990" spans="1:6" x14ac:dyDescent="0.3">
      <c r="A5990" s="8">
        <v>5988</v>
      </c>
      <c r="B5990" s="8" t="s">
        <v>7368</v>
      </c>
      <c r="C5990" s="8" t="s">
        <v>12106</v>
      </c>
      <c r="D5990" s="8" t="s">
        <v>12107</v>
      </c>
      <c r="E5990" s="13">
        <v>0</v>
      </c>
      <c r="F5990" s="14">
        <v>0</v>
      </c>
    </row>
    <row r="5991" spans="1:6" x14ac:dyDescent="0.3">
      <c r="A5991" s="8">
        <v>5989</v>
      </c>
      <c r="B5991" s="8" t="s">
        <v>7368</v>
      </c>
      <c r="C5991" s="8" t="s">
        <v>12108</v>
      </c>
      <c r="D5991" s="8" t="s">
        <v>12109</v>
      </c>
      <c r="E5991" s="13">
        <v>0</v>
      </c>
      <c r="F5991" s="14">
        <v>0</v>
      </c>
    </row>
    <row r="5992" spans="1:6" x14ac:dyDescent="0.3">
      <c r="A5992" s="8">
        <v>5990</v>
      </c>
      <c r="B5992" s="8" t="s">
        <v>7368</v>
      </c>
      <c r="C5992" s="8" t="s">
        <v>12110</v>
      </c>
      <c r="D5992" s="8" t="s">
        <v>12111</v>
      </c>
      <c r="E5992" s="13">
        <v>42000</v>
      </c>
      <c r="F5992" s="14">
        <v>83981</v>
      </c>
    </row>
    <row r="5993" spans="1:6" x14ac:dyDescent="0.3">
      <c r="A5993" s="8">
        <v>5991</v>
      </c>
      <c r="B5993" s="8" t="s">
        <v>7368</v>
      </c>
      <c r="C5993" s="8" t="s">
        <v>12112</v>
      </c>
      <c r="D5993" s="8" t="s">
        <v>12113</v>
      </c>
      <c r="E5993" s="13">
        <v>0</v>
      </c>
      <c r="F5993" s="14">
        <v>0</v>
      </c>
    </row>
    <row r="5994" spans="1:6" x14ac:dyDescent="0.3">
      <c r="A5994" s="8">
        <v>5992</v>
      </c>
      <c r="B5994" s="8" t="s">
        <v>7368</v>
      </c>
      <c r="C5994" s="8" t="s">
        <v>12114</v>
      </c>
      <c r="D5994" s="8" t="s">
        <v>12115</v>
      </c>
      <c r="E5994" s="13">
        <v>0</v>
      </c>
      <c r="F5994" s="14">
        <v>0</v>
      </c>
    </row>
    <row r="5995" spans="1:6" x14ac:dyDescent="0.3">
      <c r="A5995" s="8">
        <v>5993</v>
      </c>
      <c r="B5995" s="8" t="s">
        <v>7681</v>
      </c>
      <c r="C5995" s="8" t="s">
        <v>12116</v>
      </c>
      <c r="D5995" s="8" t="s">
        <v>12117</v>
      </c>
      <c r="E5995" s="13">
        <v>0</v>
      </c>
      <c r="F5995" s="14">
        <v>0</v>
      </c>
    </row>
    <row r="5996" spans="1:6" x14ac:dyDescent="0.3">
      <c r="A5996" s="8">
        <v>5994</v>
      </c>
      <c r="B5996" s="8" t="s">
        <v>7681</v>
      </c>
      <c r="C5996" s="8" t="s">
        <v>12118</v>
      </c>
      <c r="D5996" s="8" t="s">
        <v>12119</v>
      </c>
      <c r="E5996" s="13">
        <v>0</v>
      </c>
      <c r="F5996" s="14">
        <v>0</v>
      </c>
    </row>
    <row r="5997" spans="1:6" x14ac:dyDescent="0.3">
      <c r="A5997" s="8">
        <v>5995</v>
      </c>
      <c r="B5997" s="8" t="s">
        <v>7681</v>
      </c>
      <c r="C5997" s="8" t="s">
        <v>12120</v>
      </c>
      <c r="D5997" s="8" t="s">
        <v>12121</v>
      </c>
      <c r="E5997" s="13">
        <v>604000</v>
      </c>
      <c r="F5997" s="14">
        <v>1208333</v>
      </c>
    </row>
    <row r="5998" spans="1:6" x14ac:dyDescent="0.3">
      <c r="A5998" s="8">
        <v>5996</v>
      </c>
      <c r="B5998" s="8" t="s">
        <v>7681</v>
      </c>
      <c r="C5998" s="8" t="s">
        <v>12122</v>
      </c>
      <c r="D5998" s="8" t="s">
        <v>12123</v>
      </c>
      <c r="E5998" s="13">
        <v>88000</v>
      </c>
      <c r="F5998" s="14">
        <v>176000</v>
      </c>
    </row>
    <row r="5999" spans="1:6" x14ac:dyDescent="0.3">
      <c r="A5999" s="8">
        <v>5997</v>
      </c>
      <c r="B5999" s="8" t="s">
        <v>7681</v>
      </c>
      <c r="C5999" s="8" t="s">
        <v>12124</v>
      </c>
      <c r="D5999" s="8" t="s">
        <v>12125</v>
      </c>
      <c r="E5999" s="13">
        <v>0</v>
      </c>
      <c r="F5999" s="14">
        <v>0</v>
      </c>
    </row>
    <row r="6000" spans="1:6" x14ac:dyDescent="0.3">
      <c r="A6000" s="8">
        <v>5998</v>
      </c>
      <c r="B6000" s="8" t="s">
        <v>7681</v>
      </c>
      <c r="C6000" s="8" t="s">
        <v>12126</v>
      </c>
      <c r="D6000" s="8" t="s">
        <v>12127</v>
      </c>
      <c r="E6000" s="13">
        <v>0</v>
      </c>
      <c r="F6000" s="14">
        <v>315000</v>
      </c>
    </row>
    <row r="6001" spans="1:6" x14ac:dyDescent="0.3">
      <c r="A6001" s="8">
        <v>5999</v>
      </c>
      <c r="B6001" s="8" t="s">
        <v>7694</v>
      </c>
      <c r="C6001" s="8" t="s">
        <v>12128</v>
      </c>
      <c r="D6001" s="8" t="s">
        <v>12129</v>
      </c>
      <c r="E6001" s="13">
        <v>0</v>
      </c>
      <c r="F6001" s="14">
        <v>902778</v>
      </c>
    </row>
    <row r="6002" spans="1:6" x14ac:dyDescent="0.3">
      <c r="A6002" s="8">
        <v>6000</v>
      </c>
      <c r="B6002" s="8" t="s">
        <v>7694</v>
      </c>
      <c r="C6002" s="8" t="s">
        <v>12130</v>
      </c>
      <c r="D6002" s="8" t="s">
        <v>12131</v>
      </c>
      <c r="E6002" s="13">
        <v>188700</v>
      </c>
      <c r="F6002" s="14">
        <v>340000</v>
      </c>
    </row>
    <row r="6003" spans="1:6" x14ac:dyDescent="0.3">
      <c r="A6003" s="8">
        <v>6001</v>
      </c>
      <c r="B6003" s="8" t="s">
        <v>7694</v>
      </c>
      <c r="C6003" s="8" t="s">
        <v>12132</v>
      </c>
      <c r="D6003" s="8" t="s">
        <v>12133</v>
      </c>
      <c r="E6003" s="13">
        <v>364000</v>
      </c>
      <c r="F6003" s="14">
        <v>727778</v>
      </c>
    </row>
    <row r="6004" spans="1:6" x14ac:dyDescent="0.3">
      <c r="A6004" s="8">
        <v>6002</v>
      </c>
      <c r="B6004" s="8" t="s">
        <v>7694</v>
      </c>
      <c r="C6004" s="8" t="s">
        <v>12134</v>
      </c>
      <c r="D6004" s="8" t="s">
        <v>12135</v>
      </c>
      <c r="E6004" s="13">
        <v>0</v>
      </c>
      <c r="F6004" s="14">
        <v>0</v>
      </c>
    </row>
    <row r="6005" spans="1:6" x14ac:dyDescent="0.3">
      <c r="A6005" s="8">
        <v>6003</v>
      </c>
      <c r="B6005" s="8" t="s">
        <v>7694</v>
      </c>
      <c r="C6005" s="8" t="s">
        <v>12136</v>
      </c>
      <c r="D6005" s="8" t="s">
        <v>12137</v>
      </c>
      <c r="E6005" s="13">
        <v>0</v>
      </c>
      <c r="F6005" s="14">
        <v>1313636</v>
      </c>
    </row>
    <row r="6006" spans="1:6" x14ac:dyDescent="0.3">
      <c r="A6006" s="8">
        <v>6004</v>
      </c>
      <c r="B6006" s="8" t="s">
        <v>7694</v>
      </c>
      <c r="C6006" s="8" t="s">
        <v>12138</v>
      </c>
      <c r="D6006" s="8" t="s">
        <v>12139</v>
      </c>
      <c r="E6006" s="13">
        <v>0</v>
      </c>
      <c r="F6006" s="14">
        <v>437000</v>
      </c>
    </row>
    <row r="6007" spans="1:6" x14ac:dyDescent="0.3">
      <c r="A6007" s="8">
        <v>6005</v>
      </c>
      <c r="B6007" s="8" t="s">
        <v>7694</v>
      </c>
      <c r="C6007" s="8" t="s">
        <v>12140</v>
      </c>
      <c r="D6007" s="8" t="s">
        <v>12141</v>
      </c>
      <c r="E6007" s="13">
        <v>560000</v>
      </c>
      <c r="F6007" s="14">
        <v>1120000</v>
      </c>
    </row>
    <row r="6008" spans="1:6" x14ac:dyDescent="0.3">
      <c r="A6008" s="8">
        <v>6006</v>
      </c>
      <c r="B6008" s="8" t="s">
        <v>7694</v>
      </c>
      <c r="C6008" s="8" t="s">
        <v>12142</v>
      </c>
      <c r="D6008" s="8" t="s">
        <v>12143</v>
      </c>
      <c r="E6008" s="13">
        <v>0</v>
      </c>
      <c r="F6008" s="14">
        <v>0</v>
      </c>
    </row>
    <row r="6009" spans="1:6" x14ac:dyDescent="0.3">
      <c r="A6009" s="8">
        <v>6007</v>
      </c>
      <c r="B6009" s="8" t="s">
        <v>7694</v>
      </c>
      <c r="C6009" s="8" t="s">
        <v>12144</v>
      </c>
      <c r="D6009" s="8" t="s">
        <v>12145</v>
      </c>
      <c r="E6009" s="13">
        <v>0</v>
      </c>
      <c r="F6009" s="14">
        <v>0</v>
      </c>
    </row>
    <row r="6010" spans="1:6" x14ac:dyDescent="0.3">
      <c r="A6010" s="8">
        <v>6008</v>
      </c>
      <c r="B6010" s="8" t="s">
        <v>7694</v>
      </c>
      <c r="C6010" s="8" t="s">
        <v>12146</v>
      </c>
      <c r="D6010" s="8" t="s">
        <v>12147</v>
      </c>
      <c r="E6010" s="13">
        <v>0</v>
      </c>
      <c r="F6010" s="14">
        <v>940000</v>
      </c>
    </row>
    <row r="6011" spans="1:6" x14ac:dyDescent="0.3">
      <c r="A6011" s="8">
        <v>6009</v>
      </c>
      <c r="B6011" s="8" t="s">
        <v>7694</v>
      </c>
      <c r="C6011" s="8" t="s">
        <v>12148</v>
      </c>
      <c r="D6011" s="8" t="s">
        <v>12149</v>
      </c>
      <c r="E6011" s="13">
        <v>0</v>
      </c>
      <c r="F6011" s="14">
        <v>0</v>
      </c>
    </row>
    <row r="6012" spans="1:6" x14ac:dyDescent="0.3">
      <c r="A6012" s="8">
        <v>6010</v>
      </c>
      <c r="B6012" s="8" t="s">
        <v>7694</v>
      </c>
      <c r="C6012" s="8" t="s">
        <v>12150</v>
      </c>
      <c r="D6012" s="8" t="s">
        <v>12151</v>
      </c>
      <c r="E6012" s="13">
        <v>0</v>
      </c>
      <c r="F6012" s="14">
        <v>575455</v>
      </c>
    </row>
    <row r="6013" spans="1:6" x14ac:dyDescent="0.3">
      <c r="A6013" s="8">
        <v>6011</v>
      </c>
      <c r="B6013" s="8" t="s">
        <v>7694</v>
      </c>
      <c r="C6013" s="8" t="s">
        <v>12152</v>
      </c>
      <c r="D6013" s="8" t="s">
        <v>12153</v>
      </c>
      <c r="E6013" s="13">
        <v>0</v>
      </c>
      <c r="F6013" s="14">
        <v>0</v>
      </c>
    </row>
    <row r="6014" spans="1:6" x14ac:dyDescent="0.3">
      <c r="A6014" s="8">
        <v>6012</v>
      </c>
      <c r="B6014" s="8" t="s">
        <v>9463</v>
      </c>
      <c r="C6014" s="8" t="s">
        <v>12154</v>
      </c>
      <c r="D6014" s="8" t="s">
        <v>12155</v>
      </c>
      <c r="E6014" s="13">
        <v>0</v>
      </c>
      <c r="F6014" s="14">
        <v>36000</v>
      </c>
    </row>
    <row r="6015" spans="1:6" x14ac:dyDescent="0.3">
      <c r="A6015" s="8">
        <v>6013</v>
      </c>
      <c r="B6015" s="8" t="s">
        <v>9463</v>
      </c>
      <c r="C6015" s="8" t="s">
        <v>12156</v>
      </c>
      <c r="D6015" s="8" t="s">
        <v>12157</v>
      </c>
      <c r="E6015" s="13">
        <v>46296</v>
      </c>
      <c r="F6015" s="14">
        <v>46296</v>
      </c>
    </row>
    <row r="6016" spans="1:6" x14ac:dyDescent="0.3">
      <c r="A6016" s="8">
        <v>6014</v>
      </c>
      <c r="B6016" s="8" t="s">
        <v>9463</v>
      </c>
      <c r="C6016" s="8" t="s">
        <v>12158</v>
      </c>
      <c r="D6016" s="8" t="s">
        <v>12159</v>
      </c>
      <c r="E6016" s="13">
        <v>105000</v>
      </c>
      <c r="F6016" s="14">
        <v>210185</v>
      </c>
    </row>
    <row r="6017" spans="1:6" x14ac:dyDescent="0.3">
      <c r="A6017" s="8">
        <v>6015</v>
      </c>
      <c r="B6017" s="8" t="s">
        <v>9463</v>
      </c>
      <c r="C6017" s="8" t="s">
        <v>12160</v>
      </c>
      <c r="D6017" s="8" t="s">
        <v>12161</v>
      </c>
      <c r="E6017" s="13">
        <v>0</v>
      </c>
      <c r="F6017" s="14">
        <v>0</v>
      </c>
    </row>
    <row r="6018" spans="1:6" x14ac:dyDescent="0.3">
      <c r="A6018" s="8">
        <v>6016</v>
      </c>
      <c r="B6018" s="8" t="s">
        <v>9463</v>
      </c>
      <c r="C6018" s="8" t="s">
        <v>12162</v>
      </c>
      <c r="D6018" s="8" t="s">
        <v>12163</v>
      </c>
      <c r="E6018" s="13">
        <v>140000</v>
      </c>
      <c r="F6018" s="14">
        <v>279630</v>
      </c>
    </row>
    <row r="6019" spans="1:6" x14ac:dyDescent="0.3">
      <c r="A6019" s="8">
        <v>6017</v>
      </c>
      <c r="B6019" s="8" t="s">
        <v>9463</v>
      </c>
      <c r="C6019" s="8" t="s">
        <v>12164</v>
      </c>
      <c r="D6019" s="8" t="s">
        <v>12165</v>
      </c>
      <c r="E6019" s="13">
        <v>35185</v>
      </c>
      <c r="F6019" s="14">
        <v>70370</v>
      </c>
    </row>
    <row r="6020" spans="1:6" x14ac:dyDescent="0.3">
      <c r="A6020" s="8">
        <v>6018</v>
      </c>
      <c r="B6020" s="8" t="s">
        <v>9478</v>
      </c>
      <c r="C6020" s="8" t="s">
        <v>12166</v>
      </c>
      <c r="D6020" s="8" t="s">
        <v>51</v>
      </c>
      <c r="E6020" s="13">
        <v>82000</v>
      </c>
      <c r="F6020" s="14">
        <v>163889</v>
      </c>
    </row>
    <row r="6021" spans="1:6" x14ac:dyDescent="0.3">
      <c r="A6021" s="8">
        <v>6019</v>
      </c>
      <c r="B6021" s="8" t="s">
        <v>9478</v>
      </c>
      <c r="C6021" s="8" t="s">
        <v>12167</v>
      </c>
      <c r="D6021" s="8" t="s">
        <v>62</v>
      </c>
      <c r="E6021" s="13">
        <v>205000</v>
      </c>
      <c r="F6021" s="14">
        <v>410185</v>
      </c>
    </row>
    <row r="6022" spans="1:6" x14ac:dyDescent="0.3">
      <c r="A6022" s="8">
        <v>6020</v>
      </c>
      <c r="B6022" s="8" t="s">
        <v>9478</v>
      </c>
      <c r="C6022" s="8" t="s">
        <v>12168</v>
      </c>
      <c r="D6022" s="8" t="s">
        <v>12169</v>
      </c>
      <c r="E6022" s="13">
        <v>88900</v>
      </c>
      <c r="F6022" s="14">
        <v>177778</v>
      </c>
    </row>
    <row r="6023" spans="1:6" x14ac:dyDescent="0.3">
      <c r="A6023" s="8">
        <v>6021</v>
      </c>
      <c r="B6023" s="8" t="s">
        <v>9478</v>
      </c>
      <c r="C6023" s="8" t="s">
        <v>12170</v>
      </c>
      <c r="D6023" s="8" t="s">
        <v>12171</v>
      </c>
      <c r="E6023" s="13">
        <v>0</v>
      </c>
      <c r="F6023" s="14">
        <v>0</v>
      </c>
    </row>
    <row r="6024" spans="1:6" x14ac:dyDescent="0.3">
      <c r="A6024" s="8">
        <v>6022</v>
      </c>
      <c r="B6024" s="8" t="s">
        <v>9478</v>
      </c>
      <c r="C6024" s="8" t="s">
        <v>12172</v>
      </c>
      <c r="D6024" s="8" t="s">
        <v>74</v>
      </c>
      <c r="E6024" s="13">
        <v>170000</v>
      </c>
      <c r="F6024" s="14">
        <v>339815</v>
      </c>
    </row>
    <row r="6025" spans="1:6" x14ac:dyDescent="0.3">
      <c r="A6025" s="8">
        <v>6023</v>
      </c>
      <c r="B6025" s="8" t="s">
        <v>9478</v>
      </c>
      <c r="C6025" s="8" t="s">
        <v>12173</v>
      </c>
      <c r="D6025" s="8" t="s">
        <v>12174</v>
      </c>
      <c r="E6025" s="13">
        <v>0</v>
      </c>
      <c r="F6025" s="14">
        <v>0</v>
      </c>
    </row>
    <row r="6026" spans="1:6" x14ac:dyDescent="0.3">
      <c r="A6026" s="8">
        <v>6024</v>
      </c>
      <c r="B6026" s="8" t="s">
        <v>9478</v>
      </c>
      <c r="C6026" s="8" t="s">
        <v>12175</v>
      </c>
      <c r="D6026" s="8" t="s">
        <v>12176</v>
      </c>
      <c r="E6026" s="13">
        <v>0</v>
      </c>
      <c r="F6026" s="14">
        <v>0</v>
      </c>
    </row>
    <row r="6027" spans="1:6" x14ac:dyDescent="0.3">
      <c r="A6027" s="8">
        <v>6025</v>
      </c>
      <c r="B6027" s="8" t="s">
        <v>9478</v>
      </c>
      <c r="C6027" s="8" t="s">
        <v>12177</v>
      </c>
      <c r="D6027" s="8" t="s">
        <v>12178</v>
      </c>
      <c r="E6027" s="13">
        <v>0</v>
      </c>
      <c r="F6027" s="14">
        <v>0</v>
      </c>
    </row>
    <row r="6028" spans="1:6" x14ac:dyDescent="0.3">
      <c r="A6028" s="8">
        <v>6026</v>
      </c>
      <c r="B6028" s="8" t="s">
        <v>9478</v>
      </c>
      <c r="C6028" s="8" t="s">
        <v>12179</v>
      </c>
      <c r="D6028" s="8" t="s">
        <v>12180</v>
      </c>
      <c r="E6028" s="13">
        <v>0</v>
      </c>
      <c r="F6028" s="14">
        <v>0</v>
      </c>
    </row>
    <row r="6029" spans="1:6" x14ac:dyDescent="0.3">
      <c r="A6029" s="8">
        <v>6027</v>
      </c>
      <c r="B6029" s="8" t="s">
        <v>9478</v>
      </c>
      <c r="C6029" s="8" t="s">
        <v>12181</v>
      </c>
      <c r="D6029" s="8" t="s">
        <v>12182</v>
      </c>
      <c r="E6029" s="13">
        <v>0</v>
      </c>
      <c r="F6029" s="14">
        <v>0</v>
      </c>
    </row>
    <row r="6030" spans="1:6" x14ac:dyDescent="0.3">
      <c r="A6030" s="8">
        <v>6028</v>
      </c>
      <c r="B6030" s="8" t="s">
        <v>9478</v>
      </c>
      <c r="C6030" s="8" t="s">
        <v>12183</v>
      </c>
      <c r="D6030" s="8" t="s">
        <v>12184</v>
      </c>
      <c r="E6030" s="13">
        <v>0</v>
      </c>
      <c r="F6030" s="14">
        <v>0</v>
      </c>
    </row>
    <row r="6031" spans="1:6" x14ac:dyDescent="0.3">
      <c r="A6031" s="8">
        <v>6029</v>
      </c>
      <c r="B6031" s="8" t="s">
        <v>9478</v>
      </c>
      <c r="C6031" s="8" t="s">
        <v>12185</v>
      </c>
      <c r="D6031" s="8" t="s">
        <v>12186</v>
      </c>
      <c r="E6031" s="13">
        <v>0</v>
      </c>
      <c r="F6031" s="14">
        <v>0</v>
      </c>
    </row>
    <row r="6032" spans="1:6" x14ac:dyDescent="0.3">
      <c r="A6032" s="8">
        <v>6030</v>
      </c>
      <c r="B6032" s="8" t="s">
        <v>9478</v>
      </c>
      <c r="C6032" s="8" t="s">
        <v>12187</v>
      </c>
      <c r="D6032" s="8" t="s">
        <v>12188</v>
      </c>
      <c r="E6032" s="13">
        <v>0</v>
      </c>
      <c r="F6032" s="14">
        <v>0</v>
      </c>
    </row>
    <row r="6033" spans="1:6" x14ac:dyDescent="0.3">
      <c r="A6033" s="8">
        <v>6031</v>
      </c>
      <c r="B6033" s="8" t="s">
        <v>9478</v>
      </c>
      <c r="C6033" s="8" t="s">
        <v>12189</v>
      </c>
      <c r="D6033" s="8" t="s">
        <v>29</v>
      </c>
      <c r="E6033" s="13">
        <v>100000</v>
      </c>
      <c r="F6033" s="14">
        <v>200000</v>
      </c>
    </row>
    <row r="6034" spans="1:6" x14ac:dyDescent="0.3">
      <c r="A6034" s="8">
        <v>6032</v>
      </c>
      <c r="B6034" s="8" t="s">
        <v>9478</v>
      </c>
      <c r="C6034" s="8" t="s">
        <v>12190</v>
      </c>
      <c r="D6034" s="8" t="s">
        <v>97</v>
      </c>
      <c r="E6034" s="13">
        <v>292000</v>
      </c>
      <c r="F6034" s="14">
        <v>584259</v>
      </c>
    </row>
    <row r="6035" spans="1:6" x14ac:dyDescent="0.3">
      <c r="A6035" s="8">
        <v>6033</v>
      </c>
      <c r="B6035" s="8" t="s">
        <v>9478</v>
      </c>
      <c r="C6035" s="8" t="s">
        <v>12191</v>
      </c>
      <c r="D6035" s="8" t="s">
        <v>89</v>
      </c>
      <c r="E6035" s="13">
        <v>81000</v>
      </c>
      <c r="F6035" s="14">
        <v>162037</v>
      </c>
    </row>
    <row r="6036" spans="1:6" x14ac:dyDescent="0.3">
      <c r="A6036" s="8">
        <v>6034</v>
      </c>
      <c r="B6036" s="8" t="s">
        <v>9478</v>
      </c>
      <c r="C6036" s="8" t="s">
        <v>12192</v>
      </c>
      <c r="D6036" s="8" t="s">
        <v>12193</v>
      </c>
      <c r="E6036" s="13">
        <v>0</v>
      </c>
      <c r="F6036" s="14">
        <v>0</v>
      </c>
    </row>
    <row r="6037" spans="1:6" x14ac:dyDescent="0.3">
      <c r="A6037" s="8">
        <v>6035</v>
      </c>
      <c r="B6037" s="8" t="s">
        <v>9478</v>
      </c>
      <c r="C6037" s="8" t="s">
        <v>12194</v>
      </c>
      <c r="D6037" s="8" t="s">
        <v>12195</v>
      </c>
      <c r="E6037" s="13">
        <v>0</v>
      </c>
      <c r="F6037" s="14">
        <v>0</v>
      </c>
    </row>
    <row r="6038" spans="1:6" x14ac:dyDescent="0.3">
      <c r="A6038" s="8">
        <v>6036</v>
      </c>
      <c r="B6038" s="8" t="s">
        <v>9478</v>
      </c>
      <c r="C6038" s="8" t="s">
        <v>12196</v>
      </c>
      <c r="D6038" s="8" t="s">
        <v>12197</v>
      </c>
      <c r="E6038" s="13">
        <v>0</v>
      </c>
      <c r="F6038" s="14">
        <v>0</v>
      </c>
    </row>
    <row r="6039" spans="1:6" x14ac:dyDescent="0.3">
      <c r="A6039" s="8">
        <v>6037</v>
      </c>
      <c r="B6039" s="8" t="s">
        <v>9478</v>
      </c>
      <c r="C6039" s="8" t="s">
        <v>12198</v>
      </c>
      <c r="D6039" s="8" t="s">
        <v>12199</v>
      </c>
      <c r="E6039" s="13">
        <v>0</v>
      </c>
      <c r="F6039" s="14">
        <v>0</v>
      </c>
    </row>
    <row r="6040" spans="1:6" x14ac:dyDescent="0.3">
      <c r="A6040" s="8">
        <v>6038</v>
      </c>
      <c r="B6040" s="8" t="s">
        <v>9478</v>
      </c>
      <c r="C6040" s="8" t="s">
        <v>12200</v>
      </c>
      <c r="D6040" s="8" t="s">
        <v>12201</v>
      </c>
      <c r="E6040" s="13">
        <v>0</v>
      </c>
      <c r="F6040" s="14">
        <v>0</v>
      </c>
    </row>
    <row r="6041" spans="1:6" x14ac:dyDescent="0.3">
      <c r="A6041" s="8">
        <v>6039</v>
      </c>
      <c r="B6041" s="8" t="s">
        <v>9478</v>
      </c>
      <c r="C6041" s="8" t="s">
        <v>12202</v>
      </c>
      <c r="D6041" s="8" t="s">
        <v>12203</v>
      </c>
      <c r="E6041" s="13">
        <v>0</v>
      </c>
      <c r="F6041" s="14">
        <v>0</v>
      </c>
    </row>
    <row r="6042" spans="1:6" x14ac:dyDescent="0.3">
      <c r="A6042" s="8">
        <v>6040</v>
      </c>
      <c r="B6042" s="8" t="s">
        <v>9478</v>
      </c>
      <c r="C6042" s="8" t="s">
        <v>12204</v>
      </c>
      <c r="D6042" s="8" t="s">
        <v>12205</v>
      </c>
      <c r="E6042" s="13">
        <v>0</v>
      </c>
      <c r="F6042" s="14">
        <v>0</v>
      </c>
    </row>
    <row r="6043" spans="1:6" x14ac:dyDescent="0.3">
      <c r="A6043" s="8">
        <v>6041</v>
      </c>
      <c r="B6043" s="8" t="s">
        <v>10697</v>
      </c>
      <c r="C6043" s="8" t="s">
        <v>12206</v>
      </c>
      <c r="D6043" s="8" t="s">
        <v>12207</v>
      </c>
      <c r="E6043" s="13">
        <v>22000</v>
      </c>
      <c r="F6043" s="14">
        <v>43519</v>
      </c>
    </row>
    <row r="6044" spans="1:6" x14ac:dyDescent="0.3">
      <c r="A6044" s="8">
        <v>6042</v>
      </c>
      <c r="B6044" s="8" t="s">
        <v>10697</v>
      </c>
      <c r="C6044" s="8" t="s">
        <v>12208</v>
      </c>
      <c r="D6044" s="8" t="s">
        <v>12209</v>
      </c>
      <c r="E6044" s="13">
        <v>0</v>
      </c>
      <c r="F6044" s="14">
        <v>0</v>
      </c>
    </row>
    <row r="6045" spans="1:6" x14ac:dyDescent="0.3">
      <c r="A6045" s="8">
        <v>6043</v>
      </c>
      <c r="B6045" s="8" t="s">
        <v>10697</v>
      </c>
      <c r="C6045" s="8" t="s">
        <v>12210</v>
      </c>
      <c r="D6045" s="8" t="s">
        <v>12211</v>
      </c>
      <c r="E6045" s="13">
        <v>20000</v>
      </c>
      <c r="F6045" s="14">
        <v>39815</v>
      </c>
    </row>
    <row r="6046" spans="1:6" x14ac:dyDescent="0.3">
      <c r="A6046" s="8">
        <v>6044</v>
      </c>
      <c r="B6046" s="8" t="s">
        <v>10697</v>
      </c>
      <c r="C6046" s="8" t="s">
        <v>12212</v>
      </c>
      <c r="D6046" s="8" t="s">
        <v>12213</v>
      </c>
      <c r="E6046" s="13">
        <v>90000</v>
      </c>
      <c r="F6046" s="14">
        <v>179630</v>
      </c>
    </row>
    <row r="6047" spans="1:6" x14ac:dyDescent="0.3">
      <c r="A6047" s="8">
        <v>6045</v>
      </c>
      <c r="B6047" s="8" t="s">
        <v>10697</v>
      </c>
      <c r="C6047" s="8" t="s">
        <v>12214</v>
      </c>
      <c r="D6047" s="8" t="s">
        <v>12215</v>
      </c>
      <c r="E6047" s="13">
        <v>33000</v>
      </c>
      <c r="F6047" s="14">
        <v>66667</v>
      </c>
    </row>
    <row r="6048" spans="1:6" x14ac:dyDescent="0.3">
      <c r="A6048" s="8">
        <v>6046</v>
      </c>
      <c r="B6048" s="8" t="s">
        <v>10697</v>
      </c>
      <c r="C6048" s="8" t="s">
        <v>12216</v>
      </c>
      <c r="D6048" s="8" t="s">
        <v>12217</v>
      </c>
      <c r="E6048" s="13">
        <v>0</v>
      </c>
      <c r="F6048" s="14">
        <v>0</v>
      </c>
    </row>
    <row r="6049" spans="1:6" x14ac:dyDescent="0.3">
      <c r="A6049" s="8">
        <v>6047</v>
      </c>
      <c r="B6049" s="8" t="s">
        <v>10697</v>
      </c>
      <c r="C6049" s="8" t="s">
        <v>12218</v>
      </c>
      <c r="D6049" s="8" t="s">
        <v>12219</v>
      </c>
      <c r="E6049" s="13">
        <v>0</v>
      </c>
      <c r="F6049" s="14">
        <v>0</v>
      </c>
    </row>
    <row r="6050" spans="1:6" x14ac:dyDescent="0.3">
      <c r="A6050" s="8">
        <v>6048</v>
      </c>
      <c r="B6050" s="8" t="s">
        <v>10697</v>
      </c>
      <c r="C6050" s="8" t="s">
        <v>12220</v>
      </c>
      <c r="D6050" s="8" t="s">
        <v>12221</v>
      </c>
      <c r="E6050" s="13">
        <v>0</v>
      </c>
      <c r="F6050" s="14">
        <v>0</v>
      </c>
    </row>
    <row r="6051" spans="1:6" x14ac:dyDescent="0.3">
      <c r="A6051" s="8">
        <v>6049</v>
      </c>
      <c r="B6051" s="8" t="s">
        <v>10697</v>
      </c>
      <c r="C6051" s="8" t="s">
        <v>12222</v>
      </c>
      <c r="D6051" s="8" t="s">
        <v>12223</v>
      </c>
      <c r="E6051" s="13">
        <v>0</v>
      </c>
      <c r="F6051" s="14">
        <v>0</v>
      </c>
    </row>
    <row r="6052" spans="1:6" x14ac:dyDescent="0.3">
      <c r="A6052" s="8">
        <v>6050</v>
      </c>
      <c r="B6052" s="8" t="s">
        <v>10928</v>
      </c>
      <c r="C6052" s="8" t="s">
        <v>12224</v>
      </c>
      <c r="D6052" s="8" t="s">
        <v>12225</v>
      </c>
      <c r="E6052" s="13">
        <v>0</v>
      </c>
      <c r="F6052" s="14">
        <v>0</v>
      </c>
    </row>
    <row r="6053" spans="1:6" x14ac:dyDescent="0.3">
      <c r="A6053" s="8">
        <v>6051</v>
      </c>
      <c r="B6053" s="8" t="s">
        <v>10697</v>
      </c>
      <c r="C6053" s="8" t="s">
        <v>12226</v>
      </c>
      <c r="D6053" s="8" t="s">
        <v>12227</v>
      </c>
      <c r="E6053" s="13">
        <v>0</v>
      </c>
      <c r="F6053" s="14">
        <v>0</v>
      </c>
    </row>
    <row r="6054" spans="1:6" x14ac:dyDescent="0.3">
      <c r="A6054" s="8">
        <v>6052</v>
      </c>
      <c r="B6054" s="8" t="s">
        <v>10697</v>
      </c>
      <c r="C6054" s="8" t="s">
        <v>12228</v>
      </c>
      <c r="D6054" s="8" t="s">
        <v>12229</v>
      </c>
      <c r="E6054" s="13">
        <v>0</v>
      </c>
      <c r="F6054" s="14">
        <v>0</v>
      </c>
    </row>
    <row r="6055" spans="1:6" x14ac:dyDescent="0.3">
      <c r="A6055" s="8">
        <v>6053</v>
      </c>
      <c r="B6055" s="8" t="s">
        <v>7694</v>
      </c>
      <c r="C6055" s="8" t="s">
        <v>12230</v>
      </c>
      <c r="D6055" s="8" t="s">
        <v>12231</v>
      </c>
      <c r="E6055" s="13">
        <v>150000</v>
      </c>
      <c r="F6055" s="14">
        <v>300000</v>
      </c>
    </row>
    <row r="6056" spans="1:6" x14ac:dyDescent="0.3">
      <c r="A6056" s="8">
        <v>6054</v>
      </c>
      <c r="B6056" s="8" t="s">
        <v>7694</v>
      </c>
      <c r="C6056" s="8" t="s">
        <v>12232</v>
      </c>
      <c r="D6056" s="8" t="s">
        <v>12233</v>
      </c>
      <c r="E6056" s="13">
        <v>1293000</v>
      </c>
      <c r="F6056" s="14">
        <v>2160185</v>
      </c>
    </row>
    <row r="6057" spans="1:6" x14ac:dyDescent="0.3">
      <c r="A6057" s="8">
        <v>6055</v>
      </c>
      <c r="B6057" s="8" t="s">
        <v>7694</v>
      </c>
      <c r="C6057" s="8" t="s">
        <v>12234</v>
      </c>
      <c r="D6057" s="8" t="s">
        <v>12235</v>
      </c>
      <c r="E6057" s="13">
        <v>0</v>
      </c>
      <c r="F6057" s="14">
        <v>0</v>
      </c>
    </row>
    <row r="6058" spans="1:6" x14ac:dyDescent="0.3">
      <c r="A6058" s="8">
        <v>6056</v>
      </c>
      <c r="B6058" s="8" t="s">
        <v>7694</v>
      </c>
      <c r="C6058" s="8" t="s">
        <v>12236</v>
      </c>
      <c r="D6058" s="8" t="s">
        <v>12237</v>
      </c>
      <c r="E6058" s="13">
        <v>351900</v>
      </c>
      <c r="F6058" s="14">
        <v>703636</v>
      </c>
    </row>
    <row r="6059" spans="1:6" x14ac:dyDescent="0.3">
      <c r="A6059" s="8">
        <v>6057</v>
      </c>
      <c r="B6059" s="8" t="s">
        <v>7694</v>
      </c>
      <c r="C6059" s="8" t="s">
        <v>12238</v>
      </c>
      <c r="D6059" s="8" t="s">
        <v>12239</v>
      </c>
      <c r="E6059" s="13">
        <v>0</v>
      </c>
      <c r="F6059" s="14">
        <v>750000</v>
      </c>
    </row>
    <row r="6060" spans="1:6" x14ac:dyDescent="0.3">
      <c r="A6060" s="8">
        <v>6058</v>
      </c>
      <c r="B6060" s="8" t="s">
        <v>7694</v>
      </c>
      <c r="C6060" s="8" t="s">
        <v>12240</v>
      </c>
      <c r="D6060" s="8" t="s">
        <v>12241</v>
      </c>
      <c r="E6060" s="13">
        <v>0</v>
      </c>
      <c r="F6060" s="14">
        <v>0</v>
      </c>
    </row>
    <row r="6061" spans="1:6" x14ac:dyDescent="0.3">
      <c r="A6061" s="8">
        <v>6059</v>
      </c>
      <c r="B6061" s="8" t="s">
        <v>7694</v>
      </c>
      <c r="C6061" s="8" t="s">
        <v>12242</v>
      </c>
      <c r="D6061" s="8" t="s">
        <v>12243</v>
      </c>
      <c r="E6061" s="13">
        <v>240000</v>
      </c>
      <c r="F6061" s="14">
        <v>480000</v>
      </c>
    </row>
    <row r="6062" spans="1:6" x14ac:dyDescent="0.3">
      <c r="A6062" s="8">
        <v>6060</v>
      </c>
      <c r="B6062" s="8" t="s">
        <v>7694</v>
      </c>
      <c r="C6062" s="8" t="s">
        <v>12244</v>
      </c>
      <c r="D6062" s="8" t="s">
        <v>12245</v>
      </c>
      <c r="E6062" s="13">
        <v>250000</v>
      </c>
      <c r="F6062" s="14">
        <v>500000</v>
      </c>
    </row>
    <row r="6063" spans="1:6" x14ac:dyDescent="0.3">
      <c r="A6063" s="8">
        <v>6061</v>
      </c>
      <c r="B6063" s="8" t="s">
        <v>7694</v>
      </c>
      <c r="C6063" s="8" t="s">
        <v>12246</v>
      </c>
      <c r="D6063" s="8" t="s">
        <v>12247</v>
      </c>
      <c r="E6063" s="13">
        <v>0</v>
      </c>
      <c r="F6063" s="14">
        <v>0</v>
      </c>
    </row>
    <row r="6064" spans="1:6" x14ac:dyDescent="0.3">
      <c r="A6064" s="8">
        <v>6062</v>
      </c>
      <c r="B6064" s="8" t="s">
        <v>7694</v>
      </c>
      <c r="C6064" s="8" t="s">
        <v>12248</v>
      </c>
      <c r="D6064" s="8" t="s">
        <v>12249</v>
      </c>
      <c r="E6064" s="13">
        <v>90000</v>
      </c>
      <c r="F6064" s="14">
        <v>179630</v>
      </c>
    </row>
    <row r="6065" spans="1:6" x14ac:dyDescent="0.3">
      <c r="A6065" s="8">
        <v>6063</v>
      </c>
      <c r="B6065" s="8" t="s">
        <v>7694</v>
      </c>
      <c r="C6065" s="8" t="s">
        <v>12250</v>
      </c>
      <c r="D6065" s="8" t="s">
        <v>12251</v>
      </c>
      <c r="E6065" s="13">
        <v>0</v>
      </c>
      <c r="F6065" s="14">
        <v>0</v>
      </c>
    </row>
    <row r="6066" spans="1:6" x14ac:dyDescent="0.3">
      <c r="A6066" s="8">
        <v>6064</v>
      </c>
      <c r="B6066" s="8" t="s">
        <v>7694</v>
      </c>
      <c r="C6066" s="8" t="s">
        <v>12252</v>
      </c>
      <c r="D6066" s="8" t="s">
        <v>12253</v>
      </c>
      <c r="E6066" s="13">
        <v>0</v>
      </c>
      <c r="F6066" s="14">
        <v>0</v>
      </c>
    </row>
    <row r="6067" spans="1:6" x14ac:dyDescent="0.3">
      <c r="A6067" s="8">
        <v>6065</v>
      </c>
      <c r="B6067" s="8" t="s">
        <v>7694</v>
      </c>
      <c r="C6067" s="8" t="s">
        <v>12254</v>
      </c>
      <c r="D6067" s="8" t="s">
        <v>12255</v>
      </c>
      <c r="E6067" s="13">
        <v>0</v>
      </c>
      <c r="F6067" s="14">
        <v>0</v>
      </c>
    </row>
    <row r="6068" spans="1:6" x14ac:dyDescent="0.3">
      <c r="A6068" s="8">
        <v>6066</v>
      </c>
      <c r="B6068" s="8" t="s">
        <v>7694</v>
      </c>
      <c r="C6068" s="8" t="s">
        <v>12256</v>
      </c>
      <c r="D6068" s="8" t="s">
        <v>12257</v>
      </c>
      <c r="E6068" s="13">
        <v>370000</v>
      </c>
      <c r="F6068" s="14">
        <v>740909</v>
      </c>
    </row>
    <row r="6069" spans="1:6" x14ac:dyDescent="0.3">
      <c r="A6069" s="8">
        <v>6067</v>
      </c>
      <c r="B6069" s="8" t="s">
        <v>7694</v>
      </c>
      <c r="C6069" s="8" t="s">
        <v>12258</v>
      </c>
      <c r="D6069" s="8" t="s">
        <v>12259</v>
      </c>
      <c r="E6069" s="13">
        <v>0</v>
      </c>
      <c r="F6069" s="14">
        <v>0</v>
      </c>
    </row>
    <row r="6070" spans="1:6" x14ac:dyDescent="0.3">
      <c r="A6070" s="8">
        <v>6068</v>
      </c>
      <c r="B6070" s="8" t="s">
        <v>7694</v>
      </c>
      <c r="C6070" s="8" t="s">
        <v>12260</v>
      </c>
      <c r="D6070" s="8" t="s">
        <v>12261</v>
      </c>
      <c r="E6070" s="13">
        <v>0</v>
      </c>
      <c r="F6070" s="14">
        <v>0</v>
      </c>
    </row>
    <row r="6071" spans="1:6" x14ac:dyDescent="0.3">
      <c r="A6071" s="8">
        <v>6069</v>
      </c>
      <c r="B6071" s="8" t="s">
        <v>7694</v>
      </c>
      <c r="C6071" s="8" t="s">
        <v>12262</v>
      </c>
      <c r="D6071" s="8" t="s">
        <v>12263</v>
      </c>
      <c r="E6071" s="13">
        <v>0</v>
      </c>
      <c r="F6071" s="14">
        <v>253880000</v>
      </c>
    </row>
    <row r="6072" spans="1:6" x14ac:dyDescent="0.3">
      <c r="A6072" s="8">
        <v>6070</v>
      </c>
      <c r="B6072" s="8" t="s">
        <v>7694</v>
      </c>
      <c r="C6072" s="8" t="s">
        <v>12264</v>
      </c>
      <c r="D6072" s="8" t="s">
        <v>12265</v>
      </c>
      <c r="E6072" s="13">
        <v>0</v>
      </c>
      <c r="F6072" s="14">
        <v>89650000</v>
      </c>
    </row>
    <row r="6073" spans="1:6" x14ac:dyDescent="0.3">
      <c r="A6073" s="8">
        <v>6071</v>
      </c>
      <c r="B6073" s="8" t="s">
        <v>7694</v>
      </c>
      <c r="C6073" s="8" t="s">
        <v>12266</v>
      </c>
      <c r="D6073" s="8" t="s">
        <v>12267</v>
      </c>
      <c r="E6073" s="13">
        <v>0</v>
      </c>
      <c r="F6073" s="14">
        <v>37950000</v>
      </c>
    </row>
    <row r="6074" spans="1:6" x14ac:dyDescent="0.3">
      <c r="A6074" s="8">
        <v>6072</v>
      </c>
      <c r="B6074" s="8" t="s">
        <v>7694</v>
      </c>
      <c r="C6074" s="8" t="s">
        <v>12268</v>
      </c>
      <c r="D6074" s="8" t="s">
        <v>12269</v>
      </c>
      <c r="E6074" s="13">
        <v>0</v>
      </c>
      <c r="F6074" s="14">
        <v>44000000</v>
      </c>
    </row>
    <row r="6075" spans="1:6" x14ac:dyDescent="0.3">
      <c r="A6075" s="8">
        <v>6073</v>
      </c>
      <c r="B6075" s="8" t="s">
        <v>7694</v>
      </c>
      <c r="C6075" s="8" t="s">
        <v>12270</v>
      </c>
      <c r="D6075" s="8" t="s">
        <v>12271</v>
      </c>
      <c r="E6075" s="13">
        <v>0</v>
      </c>
      <c r="F6075" s="14">
        <v>0</v>
      </c>
    </row>
    <row r="6076" spans="1:6" x14ac:dyDescent="0.3">
      <c r="A6076" s="8">
        <v>6074</v>
      </c>
      <c r="B6076" s="8" t="s">
        <v>7694</v>
      </c>
      <c r="C6076" s="8" t="s">
        <v>12272</v>
      </c>
      <c r="D6076" s="8" t="s">
        <v>12273</v>
      </c>
      <c r="E6076" s="13">
        <v>0</v>
      </c>
      <c r="F6076" s="14">
        <v>0</v>
      </c>
    </row>
    <row r="6077" spans="1:6" x14ac:dyDescent="0.3">
      <c r="A6077" s="8">
        <v>6075</v>
      </c>
      <c r="B6077" s="8" t="s">
        <v>7694</v>
      </c>
      <c r="C6077" s="8" t="s">
        <v>12274</v>
      </c>
      <c r="D6077" s="8" t="s">
        <v>12275</v>
      </c>
      <c r="E6077" s="13">
        <v>0</v>
      </c>
      <c r="F6077" s="14">
        <v>0</v>
      </c>
    </row>
    <row r="6078" spans="1:6" x14ac:dyDescent="0.3">
      <c r="A6078" s="8">
        <v>6076</v>
      </c>
      <c r="B6078" s="8" t="s">
        <v>7694</v>
      </c>
      <c r="C6078" s="8" t="s">
        <v>12276</v>
      </c>
      <c r="D6078" s="8" t="s">
        <v>12277</v>
      </c>
      <c r="E6078" s="13">
        <v>0</v>
      </c>
      <c r="F6078" s="14">
        <v>0</v>
      </c>
    </row>
    <row r="6079" spans="1:6" x14ac:dyDescent="0.3">
      <c r="A6079" s="8">
        <v>6077</v>
      </c>
      <c r="B6079" s="8" t="s">
        <v>7694</v>
      </c>
      <c r="C6079" s="8" t="s">
        <v>12278</v>
      </c>
      <c r="D6079" s="8" t="s">
        <v>12279</v>
      </c>
      <c r="E6079" s="13">
        <v>0</v>
      </c>
      <c r="F6079" s="14">
        <v>259091</v>
      </c>
    </row>
    <row r="6080" spans="1:6" x14ac:dyDescent="0.3">
      <c r="A6080" s="8">
        <v>6078</v>
      </c>
      <c r="B6080" s="8" t="s">
        <v>7694</v>
      </c>
      <c r="C6080" s="8" t="s">
        <v>12280</v>
      </c>
      <c r="D6080" s="8" t="s">
        <v>12281</v>
      </c>
      <c r="E6080" s="13">
        <v>0</v>
      </c>
      <c r="F6080" s="14">
        <v>0</v>
      </c>
    </row>
    <row r="6081" spans="1:6" x14ac:dyDescent="0.3">
      <c r="A6081" s="8">
        <v>6079</v>
      </c>
      <c r="B6081" s="8" t="s">
        <v>7694</v>
      </c>
      <c r="C6081" s="8" t="s">
        <v>12282</v>
      </c>
      <c r="D6081" s="8" t="s">
        <v>12283</v>
      </c>
      <c r="E6081" s="13">
        <v>0</v>
      </c>
      <c r="F6081" s="14">
        <v>0</v>
      </c>
    </row>
    <row r="6082" spans="1:6" x14ac:dyDescent="0.3">
      <c r="A6082" s="8">
        <v>6080</v>
      </c>
      <c r="B6082" s="8" t="s">
        <v>7694</v>
      </c>
      <c r="C6082" s="8" t="s">
        <v>12284</v>
      </c>
      <c r="D6082" s="8" t="s">
        <v>12285</v>
      </c>
      <c r="E6082" s="13">
        <v>0</v>
      </c>
      <c r="F6082" s="14">
        <v>0</v>
      </c>
    </row>
    <row r="6083" spans="1:6" x14ac:dyDescent="0.3">
      <c r="A6083" s="8">
        <v>6081</v>
      </c>
      <c r="B6083" s="8" t="s">
        <v>7694</v>
      </c>
      <c r="C6083" s="8" t="s">
        <v>12286</v>
      </c>
      <c r="D6083" s="8" t="s">
        <v>12287</v>
      </c>
      <c r="E6083" s="13">
        <v>0</v>
      </c>
      <c r="F6083" s="14">
        <v>0</v>
      </c>
    </row>
    <row r="6084" spans="1:6" x14ac:dyDescent="0.3">
      <c r="A6084" s="8">
        <v>6082</v>
      </c>
      <c r="B6084" s="8" t="s">
        <v>7694</v>
      </c>
      <c r="C6084" s="8" t="s">
        <v>12288</v>
      </c>
      <c r="D6084" s="8" t="s">
        <v>12289</v>
      </c>
      <c r="E6084" s="13">
        <v>0</v>
      </c>
      <c r="F6084" s="14">
        <v>46970000</v>
      </c>
    </row>
    <row r="6085" spans="1:6" x14ac:dyDescent="0.3">
      <c r="A6085" s="8">
        <v>6083</v>
      </c>
      <c r="B6085" s="8" t="s">
        <v>7694</v>
      </c>
      <c r="C6085" s="8" t="s">
        <v>12290</v>
      </c>
      <c r="D6085" s="8" t="s">
        <v>12291</v>
      </c>
      <c r="E6085" s="13">
        <v>0</v>
      </c>
      <c r="F6085" s="14">
        <v>194700000</v>
      </c>
    </row>
    <row r="6086" spans="1:6" x14ac:dyDescent="0.3">
      <c r="A6086" s="8">
        <v>6084</v>
      </c>
      <c r="B6086" s="8" t="s">
        <v>7694</v>
      </c>
      <c r="C6086" s="8" t="s">
        <v>12292</v>
      </c>
      <c r="D6086" s="8" t="s">
        <v>12293</v>
      </c>
      <c r="E6086" s="13">
        <v>0</v>
      </c>
      <c r="F6086" s="14">
        <v>117920000</v>
      </c>
    </row>
    <row r="6087" spans="1:6" x14ac:dyDescent="0.3">
      <c r="A6087" s="8">
        <v>6085</v>
      </c>
      <c r="B6087" s="8" t="s">
        <v>7694</v>
      </c>
      <c r="C6087" s="8" t="s">
        <v>12294</v>
      </c>
      <c r="D6087" s="8" t="s">
        <v>12295</v>
      </c>
      <c r="E6087" s="13">
        <v>0</v>
      </c>
      <c r="F6087" s="14">
        <v>163460000</v>
      </c>
    </row>
    <row r="6088" spans="1:6" x14ac:dyDescent="0.3">
      <c r="A6088" s="8">
        <v>6086</v>
      </c>
      <c r="B6088" s="8" t="s">
        <v>7694</v>
      </c>
      <c r="C6088" s="8" t="s">
        <v>12296</v>
      </c>
      <c r="D6088" s="8" t="s">
        <v>12297</v>
      </c>
      <c r="E6088" s="13">
        <v>0</v>
      </c>
      <c r="F6088" s="14">
        <v>101200000</v>
      </c>
    </row>
    <row r="6089" spans="1:6" x14ac:dyDescent="0.3">
      <c r="A6089" s="8">
        <v>6087</v>
      </c>
      <c r="B6089" s="8" t="s">
        <v>7694</v>
      </c>
      <c r="C6089" s="8" t="s">
        <v>12298</v>
      </c>
      <c r="D6089" s="8" t="s">
        <v>12299</v>
      </c>
      <c r="E6089" s="13">
        <v>0</v>
      </c>
      <c r="F6089" s="14">
        <v>32450000</v>
      </c>
    </row>
    <row r="6090" spans="1:6" x14ac:dyDescent="0.3">
      <c r="A6090" s="8">
        <v>6088</v>
      </c>
      <c r="B6090" s="8" t="s">
        <v>7694</v>
      </c>
      <c r="C6090" s="8" t="s">
        <v>12300</v>
      </c>
      <c r="D6090" s="8" t="s">
        <v>12301</v>
      </c>
      <c r="E6090" s="13">
        <v>0</v>
      </c>
      <c r="F6090" s="14">
        <v>0</v>
      </c>
    </row>
    <row r="6091" spans="1:6" x14ac:dyDescent="0.3">
      <c r="A6091" s="8">
        <v>6089</v>
      </c>
      <c r="B6091" s="8" t="s">
        <v>7694</v>
      </c>
      <c r="C6091" s="8" t="s">
        <v>12302</v>
      </c>
      <c r="D6091" s="8" t="s">
        <v>12303</v>
      </c>
      <c r="E6091" s="13">
        <v>0</v>
      </c>
      <c r="F6091" s="14">
        <v>0</v>
      </c>
    </row>
    <row r="6092" spans="1:6" x14ac:dyDescent="0.3">
      <c r="A6092" s="8">
        <v>6090</v>
      </c>
      <c r="B6092" s="8" t="s">
        <v>7694</v>
      </c>
      <c r="C6092" s="8" t="s">
        <v>12304</v>
      </c>
      <c r="D6092" s="8" t="s">
        <v>12305</v>
      </c>
      <c r="E6092" s="13">
        <v>0</v>
      </c>
      <c r="F6092" s="14">
        <v>0</v>
      </c>
    </row>
    <row r="6093" spans="1:6" x14ac:dyDescent="0.3">
      <c r="A6093" s="8">
        <v>6091</v>
      </c>
      <c r="B6093" s="8" t="s">
        <v>9463</v>
      </c>
      <c r="C6093" s="8" t="s">
        <v>12306</v>
      </c>
      <c r="D6093" s="8" t="s">
        <v>12307</v>
      </c>
      <c r="E6093" s="13">
        <v>4100</v>
      </c>
      <c r="F6093" s="14">
        <v>8182</v>
      </c>
    </row>
    <row r="6094" spans="1:6" x14ac:dyDescent="0.3">
      <c r="A6094" s="8">
        <v>6092</v>
      </c>
      <c r="B6094" s="8" t="s">
        <v>9463</v>
      </c>
      <c r="C6094" s="8" t="s">
        <v>12308</v>
      </c>
      <c r="D6094" s="8" t="s">
        <v>12309</v>
      </c>
      <c r="E6094" s="13">
        <v>0</v>
      </c>
      <c r="F6094" s="14">
        <v>0</v>
      </c>
    </row>
    <row r="6095" spans="1:6" x14ac:dyDescent="0.3">
      <c r="A6095" s="8">
        <v>6093</v>
      </c>
      <c r="B6095" s="8" t="s">
        <v>9463</v>
      </c>
      <c r="C6095" s="8" t="s">
        <v>12310</v>
      </c>
      <c r="D6095" s="8" t="s">
        <v>12311</v>
      </c>
      <c r="E6095" s="13">
        <v>55700</v>
      </c>
      <c r="F6095" s="14">
        <v>111111</v>
      </c>
    </row>
    <row r="6096" spans="1:6" x14ac:dyDescent="0.3">
      <c r="A6096" s="8">
        <v>6094</v>
      </c>
      <c r="B6096" s="8" t="s">
        <v>9463</v>
      </c>
      <c r="C6096" s="8" t="s">
        <v>12312</v>
      </c>
      <c r="D6096" s="8" t="s">
        <v>12313</v>
      </c>
      <c r="E6096" s="13">
        <v>0</v>
      </c>
      <c r="F6096" s="14">
        <v>0</v>
      </c>
    </row>
    <row r="6097" spans="1:6" x14ac:dyDescent="0.3">
      <c r="A6097" s="8">
        <v>6095</v>
      </c>
      <c r="B6097" s="8" t="s">
        <v>9463</v>
      </c>
      <c r="C6097" s="8" t="s">
        <v>12314</v>
      </c>
      <c r="D6097" s="8" t="s">
        <v>12315</v>
      </c>
      <c r="E6097" s="13">
        <v>0</v>
      </c>
      <c r="F6097" s="14">
        <v>0</v>
      </c>
    </row>
    <row r="6098" spans="1:6" x14ac:dyDescent="0.3">
      <c r="A6098" s="8">
        <v>6096</v>
      </c>
      <c r="B6098" s="8" t="s">
        <v>9463</v>
      </c>
      <c r="C6098" s="8" t="s">
        <v>12316</v>
      </c>
      <c r="D6098" s="8" t="s">
        <v>12317</v>
      </c>
      <c r="E6098" s="13">
        <v>140000</v>
      </c>
      <c r="F6098" s="14">
        <v>279630</v>
      </c>
    </row>
    <row r="6099" spans="1:6" x14ac:dyDescent="0.3">
      <c r="A6099" s="8">
        <v>6097</v>
      </c>
      <c r="B6099" s="8" t="s">
        <v>9478</v>
      </c>
      <c r="C6099" s="8" t="s">
        <v>12318</v>
      </c>
      <c r="D6099" s="8" t="s">
        <v>46</v>
      </c>
      <c r="E6099" s="13">
        <v>146000</v>
      </c>
      <c r="F6099" s="14">
        <v>291667</v>
      </c>
    </row>
    <row r="6100" spans="1:6" x14ac:dyDescent="0.3">
      <c r="A6100" s="8">
        <v>6098</v>
      </c>
      <c r="B6100" s="8" t="s">
        <v>9478</v>
      </c>
      <c r="C6100" s="8" t="s">
        <v>12319</v>
      </c>
      <c r="D6100" s="8" t="s">
        <v>12320</v>
      </c>
      <c r="E6100" s="13">
        <v>0</v>
      </c>
      <c r="F6100" s="14">
        <v>0</v>
      </c>
    </row>
    <row r="6101" spans="1:6" x14ac:dyDescent="0.3">
      <c r="A6101" s="8">
        <v>6099</v>
      </c>
      <c r="B6101" s="8" t="s">
        <v>9478</v>
      </c>
      <c r="C6101" s="8" t="s">
        <v>12321</v>
      </c>
      <c r="D6101" s="8" t="s">
        <v>12322</v>
      </c>
      <c r="E6101" s="13">
        <v>0</v>
      </c>
      <c r="F6101" s="14">
        <v>0</v>
      </c>
    </row>
    <row r="6102" spans="1:6" x14ac:dyDescent="0.3">
      <c r="A6102" s="8">
        <v>6100</v>
      </c>
      <c r="B6102" s="8" t="s">
        <v>9478</v>
      </c>
      <c r="C6102" s="8" t="s">
        <v>12323</v>
      </c>
      <c r="D6102" s="8" t="s">
        <v>12324</v>
      </c>
      <c r="E6102" s="13">
        <v>0</v>
      </c>
      <c r="F6102" s="14">
        <v>0</v>
      </c>
    </row>
    <row r="6103" spans="1:6" x14ac:dyDescent="0.3">
      <c r="A6103" s="8">
        <v>6101</v>
      </c>
      <c r="B6103" s="8" t="s">
        <v>9478</v>
      </c>
      <c r="C6103" s="8" t="s">
        <v>12325</v>
      </c>
      <c r="D6103" s="8" t="s">
        <v>12326</v>
      </c>
      <c r="E6103" s="13">
        <v>88900</v>
      </c>
      <c r="F6103" s="14">
        <v>177778</v>
      </c>
    </row>
    <row r="6104" spans="1:6" x14ac:dyDescent="0.3">
      <c r="A6104" s="8">
        <v>6102</v>
      </c>
      <c r="B6104" s="8" t="s">
        <v>7694</v>
      </c>
      <c r="C6104" s="8" t="s">
        <v>12327</v>
      </c>
      <c r="D6104" s="8" t="s">
        <v>12328</v>
      </c>
      <c r="E6104" s="13">
        <v>0</v>
      </c>
      <c r="F6104" s="14">
        <v>107800000</v>
      </c>
    </row>
    <row r="6105" spans="1:6" x14ac:dyDescent="0.3">
      <c r="A6105" s="8">
        <v>6103</v>
      </c>
      <c r="B6105" s="8" t="s">
        <v>7694</v>
      </c>
      <c r="C6105" s="8" t="s">
        <v>12329</v>
      </c>
      <c r="D6105" s="8" t="s">
        <v>12330</v>
      </c>
      <c r="E6105" s="13">
        <v>0</v>
      </c>
      <c r="F6105" s="14">
        <v>129800000</v>
      </c>
    </row>
    <row r="6106" spans="1:6" x14ac:dyDescent="0.3">
      <c r="A6106" s="8">
        <v>6104</v>
      </c>
      <c r="B6106" s="8" t="s">
        <v>7694</v>
      </c>
      <c r="C6106" s="8" t="s">
        <v>12331</v>
      </c>
      <c r="D6106" s="8" t="s">
        <v>12332</v>
      </c>
      <c r="E6106" s="13">
        <v>0</v>
      </c>
      <c r="F6106" s="14">
        <v>0</v>
      </c>
    </row>
    <row r="6107" spans="1:6" x14ac:dyDescent="0.3">
      <c r="A6107" s="8">
        <v>6105</v>
      </c>
      <c r="B6107" s="8" t="s">
        <v>7694</v>
      </c>
      <c r="C6107" s="8" t="s">
        <v>12333</v>
      </c>
      <c r="D6107" s="8" t="s">
        <v>12334</v>
      </c>
      <c r="E6107" s="13">
        <v>0</v>
      </c>
      <c r="F6107" s="14">
        <v>2727273</v>
      </c>
    </row>
    <row r="6108" spans="1:6" x14ac:dyDescent="0.3">
      <c r="A6108" s="8">
        <v>6106</v>
      </c>
      <c r="B6108" s="8" t="s">
        <v>7694</v>
      </c>
      <c r="C6108" s="8" t="s">
        <v>12335</v>
      </c>
      <c r="D6108" s="8" t="s">
        <v>12336</v>
      </c>
      <c r="E6108" s="13">
        <v>0</v>
      </c>
      <c r="F6108" s="14">
        <v>0</v>
      </c>
    </row>
    <row r="6109" spans="1:6" x14ac:dyDescent="0.3">
      <c r="A6109" s="8">
        <v>6107</v>
      </c>
      <c r="B6109" s="8" t="s">
        <v>7694</v>
      </c>
      <c r="C6109" s="8" t="s">
        <v>12337</v>
      </c>
      <c r="D6109" s="8" t="s">
        <v>12338</v>
      </c>
      <c r="E6109" s="13">
        <v>0</v>
      </c>
      <c r="F6109" s="14">
        <v>0</v>
      </c>
    </row>
    <row r="6110" spans="1:6" x14ac:dyDescent="0.3">
      <c r="A6110" s="8">
        <v>6108</v>
      </c>
      <c r="B6110" s="8" t="s">
        <v>7694</v>
      </c>
      <c r="C6110" s="8" t="s">
        <v>12339</v>
      </c>
      <c r="D6110" s="8" t="s">
        <v>12340</v>
      </c>
      <c r="E6110" s="13">
        <v>0</v>
      </c>
      <c r="F6110" s="14">
        <v>114400000</v>
      </c>
    </row>
    <row r="6111" spans="1:6" x14ac:dyDescent="0.3">
      <c r="A6111" s="8">
        <v>6109</v>
      </c>
      <c r="B6111" s="8" t="s">
        <v>7694</v>
      </c>
      <c r="C6111" s="8" t="s">
        <v>12341</v>
      </c>
      <c r="D6111" s="8" t="s">
        <v>12342</v>
      </c>
      <c r="E6111" s="13">
        <v>0</v>
      </c>
      <c r="F6111" s="14">
        <v>39160000</v>
      </c>
    </row>
    <row r="6112" spans="1:6" x14ac:dyDescent="0.3">
      <c r="A6112" s="8">
        <v>6110</v>
      </c>
      <c r="B6112" s="8" t="s">
        <v>9463</v>
      </c>
      <c r="C6112" s="8" t="s">
        <v>12343</v>
      </c>
      <c r="D6112" s="8" t="s">
        <v>12344</v>
      </c>
      <c r="E6112" s="13">
        <v>0</v>
      </c>
      <c r="F6112" s="14">
        <v>0</v>
      </c>
    </row>
    <row r="6113" spans="1:6" x14ac:dyDescent="0.3">
      <c r="A6113" s="8">
        <v>6111</v>
      </c>
      <c r="B6113" s="8" t="s">
        <v>9478</v>
      </c>
      <c r="C6113" s="8" t="s">
        <v>12345</v>
      </c>
      <c r="D6113" s="8" t="s">
        <v>41</v>
      </c>
      <c r="E6113" s="13">
        <v>156000</v>
      </c>
      <c r="F6113" s="14">
        <v>312037</v>
      </c>
    </row>
    <row r="6114" spans="1:6" x14ac:dyDescent="0.3">
      <c r="A6114" s="8">
        <v>6112</v>
      </c>
      <c r="B6114" s="8" t="s">
        <v>9478</v>
      </c>
      <c r="C6114" s="8" t="s">
        <v>12346</v>
      </c>
      <c r="D6114" s="8" t="s">
        <v>55</v>
      </c>
      <c r="E6114" s="13">
        <v>91000</v>
      </c>
      <c r="F6114" s="14">
        <v>205556</v>
      </c>
    </row>
    <row r="6115" spans="1:6" x14ac:dyDescent="0.3">
      <c r="A6115" s="8">
        <v>6113</v>
      </c>
      <c r="B6115" s="8" t="s">
        <v>9478</v>
      </c>
      <c r="C6115" s="8" t="s">
        <v>12347</v>
      </c>
      <c r="D6115" s="8" t="s">
        <v>12348</v>
      </c>
      <c r="E6115" s="13">
        <v>156000</v>
      </c>
      <c r="F6115" s="14">
        <v>312037</v>
      </c>
    </row>
    <row r="6116" spans="1:6" x14ac:dyDescent="0.3">
      <c r="A6116" s="8">
        <v>6114</v>
      </c>
      <c r="B6116" s="8" t="s">
        <v>9478</v>
      </c>
      <c r="C6116" s="8" t="s">
        <v>12349</v>
      </c>
      <c r="D6116" s="8" t="s">
        <v>12350</v>
      </c>
      <c r="E6116" s="13">
        <v>0</v>
      </c>
      <c r="F6116" s="14">
        <v>0</v>
      </c>
    </row>
    <row r="6117" spans="1:6" x14ac:dyDescent="0.3">
      <c r="A6117" s="8">
        <v>6115</v>
      </c>
      <c r="B6117" s="8" t="s">
        <v>9478</v>
      </c>
      <c r="C6117" s="8" t="s">
        <v>12351</v>
      </c>
      <c r="D6117" s="8" t="s">
        <v>12352</v>
      </c>
      <c r="E6117" s="13">
        <v>0</v>
      </c>
      <c r="F6117" s="14">
        <v>0</v>
      </c>
    </row>
    <row r="6118" spans="1:6" x14ac:dyDescent="0.3">
      <c r="A6118" s="8">
        <v>6116</v>
      </c>
      <c r="B6118" s="8" t="s">
        <v>9478</v>
      </c>
      <c r="C6118" s="8" t="s">
        <v>12353</v>
      </c>
      <c r="D6118" s="8" t="s">
        <v>12354</v>
      </c>
      <c r="E6118" s="13">
        <v>185000</v>
      </c>
      <c r="F6118" s="14">
        <v>370370</v>
      </c>
    </row>
    <row r="6119" spans="1:6" x14ac:dyDescent="0.3">
      <c r="A6119" s="8">
        <v>6117</v>
      </c>
      <c r="B6119" s="8" t="s">
        <v>9478</v>
      </c>
      <c r="C6119" s="8" t="s">
        <v>12355</v>
      </c>
      <c r="D6119" s="8" t="s">
        <v>12356</v>
      </c>
      <c r="E6119" s="13">
        <v>0</v>
      </c>
      <c r="F6119" s="14">
        <v>0</v>
      </c>
    </row>
    <row r="6120" spans="1:6" x14ac:dyDescent="0.3">
      <c r="A6120" s="8">
        <v>6118</v>
      </c>
      <c r="B6120" s="8" t="s">
        <v>9478</v>
      </c>
      <c r="C6120" s="8" t="s">
        <v>12357</v>
      </c>
      <c r="D6120" s="8" t="s">
        <v>45</v>
      </c>
      <c r="E6120" s="13">
        <v>111000</v>
      </c>
      <c r="F6120" s="14">
        <v>222222</v>
      </c>
    </row>
    <row r="6121" spans="1:6" x14ac:dyDescent="0.3">
      <c r="A6121" s="8">
        <v>6119</v>
      </c>
      <c r="B6121" s="8" t="s">
        <v>9478</v>
      </c>
      <c r="C6121" s="8" t="s">
        <v>12358</v>
      </c>
      <c r="D6121" s="8" t="s">
        <v>12359</v>
      </c>
      <c r="E6121" s="13">
        <v>0</v>
      </c>
      <c r="F6121" s="14">
        <v>0</v>
      </c>
    </row>
    <row r="6122" spans="1:6" x14ac:dyDescent="0.3">
      <c r="A6122" s="8">
        <v>6120</v>
      </c>
      <c r="B6122" s="8" t="s">
        <v>9478</v>
      </c>
      <c r="C6122" s="8" t="s">
        <v>12360</v>
      </c>
      <c r="D6122" s="8" t="s">
        <v>12361</v>
      </c>
      <c r="E6122" s="13">
        <v>0</v>
      </c>
      <c r="F6122" s="14">
        <v>0</v>
      </c>
    </row>
    <row r="6123" spans="1:6" x14ac:dyDescent="0.3">
      <c r="A6123" s="8">
        <v>6121</v>
      </c>
      <c r="B6123" s="8" t="s">
        <v>9478</v>
      </c>
      <c r="C6123" s="8" t="s">
        <v>12362</v>
      </c>
      <c r="D6123" s="8" t="s">
        <v>12363</v>
      </c>
      <c r="E6123" s="13">
        <v>0</v>
      </c>
      <c r="F6123" s="14">
        <v>0</v>
      </c>
    </row>
    <row r="6124" spans="1:6" x14ac:dyDescent="0.3">
      <c r="A6124" s="8">
        <v>6122</v>
      </c>
      <c r="B6124" s="8" t="s">
        <v>9478</v>
      </c>
      <c r="C6124" s="8" t="s">
        <v>12364</v>
      </c>
      <c r="D6124" s="8" t="s">
        <v>12365</v>
      </c>
      <c r="E6124" s="13">
        <v>0</v>
      </c>
      <c r="F6124" s="14">
        <v>0</v>
      </c>
    </row>
    <row r="6125" spans="1:6" x14ac:dyDescent="0.3">
      <c r="A6125" s="8">
        <v>6123</v>
      </c>
      <c r="B6125" s="8" t="s">
        <v>9478</v>
      </c>
      <c r="C6125" s="8" t="s">
        <v>12366</v>
      </c>
      <c r="D6125" s="8" t="s">
        <v>12367</v>
      </c>
      <c r="E6125" s="13">
        <v>0</v>
      </c>
      <c r="F6125" s="14">
        <v>0</v>
      </c>
    </row>
    <row r="6126" spans="1:6" x14ac:dyDescent="0.3">
      <c r="A6126" s="8">
        <v>6124</v>
      </c>
      <c r="B6126" s="8" t="s">
        <v>9478</v>
      </c>
      <c r="C6126" s="8" t="s">
        <v>12368</v>
      </c>
      <c r="D6126" s="8" t="s">
        <v>12369</v>
      </c>
      <c r="E6126" s="13">
        <v>0</v>
      </c>
      <c r="F6126" s="14">
        <v>0</v>
      </c>
    </row>
    <row r="6127" spans="1:6" x14ac:dyDescent="0.3">
      <c r="A6127" s="8">
        <v>6125</v>
      </c>
      <c r="B6127" s="8" t="s">
        <v>9478</v>
      </c>
      <c r="C6127" s="8" t="s">
        <v>12370</v>
      </c>
      <c r="D6127" s="8" t="s">
        <v>12371</v>
      </c>
      <c r="E6127" s="13">
        <v>0</v>
      </c>
      <c r="F6127" s="14">
        <v>0</v>
      </c>
    </row>
    <row r="6128" spans="1:6" x14ac:dyDescent="0.3">
      <c r="A6128" s="8">
        <v>6126</v>
      </c>
      <c r="B6128" s="8" t="s">
        <v>9478</v>
      </c>
      <c r="C6128" s="8" t="s">
        <v>12372</v>
      </c>
      <c r="D6128" s="8" t="s">
        <v>12373</v>
      </c>
      <c r="E6128" s="13">
        <v>0</v>
      </c>
      <c r="F6128" s="14">
        <v>0</v>
      </c>
    </row>
    <row r="6129" spans="1:6" x14ac:dyDescent="0.3">
      <c r="A6129" s="8">
        <v>6127</v>
      </c>
      <c r="B6129" s="8" t="s">
        <v>9478</v>
      </c>
      <c r="C6129" s="8" t="s">
        <v>12374</v>
      </c>
      <c r="D6129" s="8" t="s">
        <v>12375</v>
      </c>
      <c r="E6129" s="13">
        <v>0</v>
      </c>
      <c r="F6129" s="14">
        <v>0</v>
      </c>
    </row>
    <row r="6130" spans="1:6" x14ac:dyDescent="0.3">
      <c r="A6130" s="8">
        <v>6128</v>
      </c>
      <c r="B6130" s="8" t="s">
        <v>7355</v>
      </c>
      <c r="C6130" s="8" t="s">
        <v>12376</v>
      </c>
      <c r="D6130" s="8" t="s">
        <v>12377</v>
      </c>
      <c r="E6130" s="13">
        <v>0</v>
      </c>
      <c r="F6130" s="14">
        <v>0</v>
      </c>
    </row>
    <row r="6131" spans="1:6" x14ac:dyDescent="0.3">
      <c r="A6131" s="8">
        <v>6129</v>
      </c>
      <c r="B6131" s="8" t="s">
        <v>7368</v>
      </c>
      <c r="C6131" s="8" t="s">
        <v>12378</v>
      </c>
      <c r="D6131" s="8" t="s">
        <v>12379</v>
      </c>
      <c r="E6131" s="13">
        <v>0</v>
      </c>
      <c r="F6131" s="14">
        <v>0</v>
      </c>
    </row>
    <row r="6132" spans="1:6" x14ac:dyDescent="0.3">
      <c r="A6132" s="8">
        <v>6130</v>
      </c>
      <c r="B6132" s="8" t="s">
        <v>7368</v>
      </c>
      <c r="C6132" s="8" t="s">
        <v>12380</v>
      </c>
      <c r="D6132" s="8" t="s">
        <v>12381</v>
      </c>
      <c r="E6132" s="13">
        <v>0</v>
      </c>
      <c r="F6132" s="14">
        <v>204000</v>
      </c>
    </row>
    <row r="6133" spans="1:6" x14ac:dyDescent="0.3">
      <c r="A6133" s="8">
        <v>6131</v>
      </c>
      <c r="B6133" s="8" t="s">
        <v>7368</v>
      </c>
      <c r="C6133" s="8" t="s">
        <v>12382</v>
      </c>
      <c r="D6133" s="8" t="s">
        <v>12383</v>
      </c>
      <c r="E6133" s="13">
        <v>0</v>
      </c>
      <c r="F6133" s="14">
        <v>264000</v>
      </c>
    </row>
    <row r="6134" spans="1:6" x14ac:dyDescent="0.3">
      <c r="A6134" s="8">
        <v>6132</v>
      </c>
      <c r="B6134" s="8" t="s">
        <v>7368</v>
      </c>
      <c r="C6134" s="8" t="s">
        <v>12384</v>
      </c>
      <c r="D6134" s="8" t="s">
        <v>12385</v>
      </c>
      <c r="E6134" s="13">
        <v>0</v>
      </c>
      <c r="F6134" s="14">
        <v>0</v>
      </c>
    </row>
    <row r="6135" spans="1:6" x14ac:dyDescent="0.3">
      <c r="A6135" s="8">
        <v>6133</v>
      </c>
      <c r="B6135" s="8" t="s">
        <v>7368</v>
      </c>
      <c r="C6135" s="8" t="s">
        <v>12386</v>
      </c>
      <c r="D6135" s="8" t="s">
        <v>12387</v>
      </c>
      <c r="E6135" s="13">
        <v>0</v>
      </c>
      <c r="F6135" s="14">
        <v>0</v>
      </c>
    </row>
    <row r="6136" spans="1:6" x14ac:dyDescent="0.3">
      <c r="A6136" s="8">
        <v>6134</v>
      </c>
      <c r="B6136" s="8" t="s">
        <v>7368</v>
      </c>
      <c r="C6136" s="8" t="s">
        <v>12388</v>
      </c>
      <c r="D6136" s="8" t="s">
        <v>12389</v>
      </c>
      <c r="E6136" s="13">
        <v>0</v>
      </c>
      <c r="F6136" s="14">
        <v>0</v>
      </c>
    </row>
    <row r="6137" spans="1:6" x14ac:dyDescent="0.3">
      <c r="A6137" s="8">
        <v>6135</v>
      </c>
      <c r="B6137" s="8" t="s">
        <v>7368</v>
      </c>
      <c r="C6137" s="8" t="s">
        <v>12390</v>
      </c>
      <c r="D6137" s="8" t="s">
        <v>12391</v>
      </c>
      <c r="E6137" s="13">
        <v>0</v>
      </c>
      <c r="F6137" s="14">
        <v>0</v>
      </c>
    </row>
    <row r="6138" spans="1:6" x14ac:dyDescent="0.3">
      <c r="A6138" s="8">
        <v>6136</v>
      </c>
      <c r="B6138" s="8" t="s">
        <v>12392</v>
      </c>
      <c r="C6138" s="8" t="s">
        <v>12393</v>
      </c>
      <c r="D6138" s="8" t="s">
        <v>12394</v>
      </c>
      <c r="E6138" s="13">
        <v>0</v>
      </c>
      <c r="F6138" s="14">
        <v>0</v>
      </c>
    </row>
    <row r="6139" spans="1:6" x14ac:dyDescent="0.3">
      <c r="A6139" s="8">
        <v>6137</v>
      </c>
      <c r="B6139" s="8" t="s">
        <v>7681</v>
      </c>
      <c r="C6139" s="8" t="s">
        <v>12395</v>
      </c>
      <c r="D6139" s="8" t="s">
        <v>12396</v>
      </c>
      <c r="E6139" s="13">
        <v>0</v>
      </c>
      <c r="F6139" s="14">
        <v>0</v>
      </c>
    </row>
    <row r="6140" spans="1:6" x14ac:dyDescent="0.3">
      <c r="A6140" s="8">
        <v>6138</v>
      </c>
      <c r="B6140" s="8" t="s">
        <v>7681</v>
      </c>
      <c r="C6140" s="8" t="s">
        <v>12397</v>
      </c>
      <c r="D6140" s="8" t="s">
        <v>12398</v>
      </c>
      <c r="E6140" s="13">
        <v>55500</v>
      </c>
      <c r="F6140" s="14">
        <v>111000</v>
      </c>
    </row>
    <row r="6141" spans="1:6" x14ac:dyDescent="0.3">
      <c r="A6141" s="8">
        <v>6139</v>
      </c>
      <c r="B6141" s="8" t="s">
        <v>7681</v>
      </c>
      <c r="C6141" s="8" t="s">
        <v>12399</v>
      </c>
      <c r="D6141" s="8" t="s">
        <v>12400</v>
      </c>
      <c r="E6141" s="13">
        <v>38000</v>
      </c>
      <c r="F6141" s="14">
        <v>75926</v>
      </c>
    </row>
    <row r="6142" spans="1:6" x14ac:dyDescent="0.3">
      <c r="A6142" s="8">
        <v>6140</v>
      </c>
      <c r="B6142" s="8" t="s">
        <v>7681</v>
      </c>
      <c r="C6142" s="8" t="s">
        <v>12401</v>
      </c>
      <c r="D6142" s="8" t="s">
        <v>12402</v>
      </c>
      <c r="E6142" s="13">
        <v>0</v>
      </c>
      <c r="F6142" s="14">
        <v>0</v>
      </c>
    </row>
    <row r="6143" spans="1:6" x14ac:dyDescent="0.3">
      <c r="A6143" s="8">
        <v>6141</v>
      </c>
      <c r="B6143" s="8" t="s">
        <v>7681</v>
      </c>
      <c r="C6143" s="8" t="s">
        <v>12403</v>
      </c>
      <c r="D6143" s="8" t="s">
        <v>12404</v>
      </c>
      <c r="E6143" s="13">
        <v>0</v>
      </c>
      <c r="F6143" s="14">
        <v>0</v>
      </c>
    </row>
    <row r="6144" spans="1:6" x14ac:dyDescent="0.3">
      <c r="A6144" s="8">
        <v>6142</v>
      </c>
      <c r="B6144" s="8" t="s">
        <v>7694</v>
      </c>
      <c r="C6144" s="8" t="s">
        <v>12405</v>
      </c>
      <c r="D6144" s="8" t="s">
        <v>12406</v>
      </c>
      <c r="E6144" s="13">
        <v>230000</v>
      </c>
      <c r="F6144" s="14">
        <v>460185</v>
      </c>
    </row>
    <row r="6145" spans="1:6" x14ac:dyDescent="0.3">
      <c r="A6145" s="8">
        <v>6143</v>
      </c>
      <c r="B6145" s="8" t="s">
        <v>7694</v>
      </c>
      <c r="C6145" s="8" t="s">
        <v>12407</v>
      </c>
      <c r="D6145" s="8" t="s">
        <v>12408</v>
      </c>
      <c r="E6145" s="13">
        <v>606000</v>
      </c>
      <c r="F6145" s="14">
        <v>1090000</v>
      </c>
    </row>
    <row r="6146" spans="1:6" x14ac:dyDescent="0.3">
      <c r="A6146" s="8">
        <v>6144</v>
      </c>
      <c r="B6146" s="8" t="s">
        <v>7694</v>
      </c>
      <c r="C6146" s="8" t="s">
        <v>12409</v>
      </c>
      <c r="D6146" s="8" t="s">
        <v>12410</v>
      </c>
      <c r="E6146" s="13">
        <v>0</v>
      </c>
      <c r="F6146" s="14">
        <v>0</v>
      </c>
    </row>
    <row r="6147" spans="1:6" x14ac:dyDescent="0.3">
      <c r="A6147" s="8">
        <v>6145</v>
      </c>
      <c r="B6147" s="8" t="s">
        <v>7694</v>
      </c>
      <c r="C6147" s="8" t="s">
        <v>12411</v>
      </c>
      <c r="D6147" s="8" t="s">
        <v>12412</v>
      </c>
      <c r="E6147" s="13">
        <v>0</v>
      </c>
      <c r="F6147" s="14">
        <v>490000</v>
      </c>
    </row>
    <row r="6148" spans="1:6" x14ac:dyDescent="0.3">
      <c r="A6148" s="8">
        <v>6146</v>
      </c>
      <c r="B6148" s="8" t="s">
        <v>7694</v>
      </c>
      <c r="C6148" s="8" t="s">
        <v>12413</v>
      </c>
      <c r="D6148" s="8" t="s">
        <v>12414</v>
      </c>
      <c r="E6148" s="13">
        <v>220000</v>
      </c>
      <c r="F6148" s="14">
        <v>439815</v>
      </c>
    </row>
    <row r="6149" spans="1:6" x14ac:dyDescent="0.3">
      <c r="A6149" s="8">
        <v>6147</v>
      </c>
      <c r="B6149" s="8" t="s">
        <v>7694</v>
      </c>
      <c r="C6149" s="8" t="s">
        <v>12415</v>
      </c>
      <c r="D6149" s="8" t="s">
        <v>12416</v>
      </c>
      <c r="E6149" s="13">
        <v>133000</v>
      </c>
      <c r="F6149" s="14">
        <v>266667</v>
      </c>
    </row>
    <row r="6150" spans="1:6" x14ac:dyDescent="0.3">
      <c r="A6150" s="8">
        <v>6148</v>
      </c>
      <c r="B6150" s="8" t="s">
        <v>7694</v>
      </c>
      <c r="C6150" s="8" t="s">
        <v>12417</v>
      </c>
      <c r="D6150" s="8" t="s">
        <v>12418</v>
      </c>
      <c r="E6150" s="13">
        <v>0</v>
      </c>
      <c r="F6150" s="14">
        <v>418182</v>
      </c>
    </row>
    <row r="6151" spans="1:6" x14ac:dyDescent="0.3">
      <c r="A6151" s="8">
        <v>6149</v>
      </c>
      <c r="B6151" s="8" t="s">
        <v>7694</v>
      </c>
      <c r="C6151" s="8" t="s">
        <v>12419</v>
      </c>
      <c r="D6151" s="8" t="s">
        <v>12420</v>
      </c>
      <c r="E6151" s="13">
        <v>0</v>
      </c>
      <c r="F6151" s="14">
        <v>0</v>
      </c>
    </row>
    <row r="6152" spans="1:6" x14ac:dyDescent="0.3">
      <c r="A6152" s="8">
        <v>6150</v>
      </c>
      <c r="B6152" s="8" t="s">
        <v>7694</v>
      </c>
      <c r="C6152" s="8" t="s">
        <v>12421</v>
      </c>
      <c r="D6152" s="8" t="s">
        <v>12422</v>
      </c>
      <c r="E6152" s="13">
        <v>0</v>
      </c>
      <c r="F6152" s="14">
        <v>0</v>
      </c>
    </row>
    <row r="6153" spans="1:6" x14ac:dyDescent="0.3">
      <c r="A6153" s="8">
        <v>6151</v>
      </c>
      <c r="B6153" s="8" t="s">
        <v>7694</v>
      </c>
      <c r="C6153" s="8" t="s">
        <v>12423</v>
      </c>
      <c r="D6153" s="8" t="s">
        <v>12424</v>
      </c>
      <c r="E6153" s="13">
        <v>0</v>
      </c>
      <c r="F6153" s="14">
        <v>936364</v>
      </c>
    </row>
    <row r="6154" spans="1:6" x14ac:dyDescent="0.3">
      <c r="A6154" s="8">
        <v>6152</v>
      </c>
      <c r="B6154" s="8" t="s">
        <v>4148</v>
      </c>
      <c r="C6154" s="8" t="s">
        <v>12425</v>
      </c>
      <c r="D6154" s="8" t="s">
        <v>12426</v>
      </c>
      <c r="E6154" s="13">
        <v>77200</v>
      </c>
      <c r="F6154" s="14">
        <v>172222</v>
      </c>
    </row>
    <row r="6155" spans="1:6" x14ac:dyDescent="0.3">
      <c r="A6155" s="8">
        <v>6153</v>
      </c>
      <c r="B6155" s="8" t="s">
        <v>4148</v>
      </c>
      <c r="C6155" s="8" t="s">
        <v>12427</v>
      </c>
      <c r="D6155" s="8" t="s">
        <v>12428</v>
      </c>
      <c r="E6155" s="13">
        <v>0</v>
      </c>
      <c r="F6155" s="14">
        <v>0</v>
      </c>
    </row>
    <row r="6156" spans="1:6" x14ac:dyDescent="0.3">
      <c r="A6156" s="8">
        <v>6154</v>
      </c>
      <c r="B6156" s="8" t="s">
        <v>4148</v>
      </c>
      <c r="C6156" s="8" t="s">
        <v>12429</v>
      </c>
      <c r="D6156" s="8" t="s">
        <v>12430</v>
      </c>
      <c r="E6156" s="13">
        <v>0</v>
      </c>
      <c r="F6156" s="14">
        <v>196000</v>
      </c>
    </row>
    <row r="6157" spans="1:6" x14ac:dyDescent="0.3">
      <c r="A6157" s="8">
        <v>6155</v>
      </c>
      <c r="B6157" s="8" t="s">
        <v>4148</v>
      </c>
      <c r="C6157" s="8" t="s">
        <v>12431</v>
      </c>
      <c r="D6157" s="8" t="s">
        <v>12432</v>
      </c>
      <c r="E6157" s="13">
        <v>0</v>
      </c>
      <c r="F6157" s="14">
        <v>0</v>
      </c>
    </row>
    <row r="6158" spans="1:6" x14ac:dyDescent="0.3">
      <c r="A6158" s="8">
        <v>6156</v>
      </c>
      <c r="B6158" s="8" t="s">
        <v>4148</v>
      </c>
      <c r="C6158" s="8" t="s">
        <v>12433</v>
      </c>
      <c r="D6158" s="8" t="s">
        <v>12434</v>
      </c>
      <c r="E6158" s="13">
        <v>79500</v>
      </c>
      <c r="F6158" s="14">
        <v>159259</v>
      </c>
    </row>
    <row r="6159" spans="1:6" x14ac:dyDescent="0.3">
      <c r="A6159" s="8">
        <v>6157</v>
      </c>
      <c r="B6159" s="8" t="s">
        <v>4148</v>
      </c>
      <c r="C6159" s="8" t="s">
        <v>12435</v>
      </c>
      <c r="D6159" s="8" t="s">
        <v>12436</v>
      </c>
      <c r="E6159" s="13">
        <v>81200</v>
      </c>
      <c r="F6159" s="14">
        <v>162037</v>
      </c>
    </row>
    <row r="6160" spans="1:6" x14ac:dyDescent="0.3">
      <c r="A6160" s="8">
        <v>6158</v>
      </c>
      <c r="B6160" s="8" t="s">
        <v>4148</v>
      </c>
      <c r="C6160" s="8" t="s">
        <v>12437</v>
      </c>
      <c r="D6160" s="8" t="s">
        <v>12438</v>
      </c>
      <c r="E6160" s="13">
        <v>0</v>
      </c>
      <c r="F6160" s="14">
        <v>400000</v>
      </c>
    </row>
    <row r="6161" spans="1:6" x14ac:dyDescent="0.3">
      <c r="A6161" s="8">
        <v>6159</v>
      </c>
      <c r="B6161" s="8" t="s">
        <v>4148</v>
      </c>
      <c r="C6161" s="8" t="s">
        <v>12439</v>
      </c>
      <c r="D6161" s="8" t="s">
        <v>12440</v>
      </c>
      <c r="E6161" s="13">
        <v>0</v>
      </c>
      <c r="F6161" s="14">
        <v>1550000</v>
      </c>
    </row>
    <row r="6162" spans="1:6" x14ac:dyDescent="0.3">
      <c r="A6162" s="8">
        <v>6160</v>
      </c>
      <c r="B6162" s="8" t="s">
        <v>4148</v>
      </c>
      <c r="C6162" s="8" t="s">
        <v>12441</v>
      </c>
      <c r="D6162" s="8" t="s">
        <v>12442</v>
      </c>
      <c r="E6162" s="13">
        <v>0</v>
      </c>
      <c r="F6162" s="14">
        <v>0</v>
      </c>
    </row>
    <row r="6163" spans="1:6" x14ac:dyDescent="0.3">
      <c r="A6163" s="8">
        <v>6161</v>
      </c>
      <c r="B6163" s="8" t="s">
        <v>4148</v>
      </c>
      <c r="C6163" s="8" t="s">
        <v>12443</v>
      </c>
      <c r="D6163" s="8" t="s">
        <v>12444</v>
      </c>
      <c r="E6163" s="13">
        <v>76300</v>
      </c>
      <c r="F6163" s="14">
        <v>170370</v>
      </c>
    </row>
    <row r="6164" spans="1:6" x14ac:dyDescent="0.3">
      <c r="A6164" s="8">
        <v>6162</v>
      </c>
      <c r="B6164" s="8" t="s">
        <v>4148</v>
      </c>
      <c r="C6164" s="8" t="s">
        <v>12445</v>
      </c>
      <c r="D6164" s="8" t="s">
        <v>12446</v>
      </c>
      <c r="E6164" s="13">
        <v>71000</v>
      </c>
      <c r="F6164" s="14">
        <v>158333</v>
      </c>
    </row>
    <row r="6165" spans="1:6" x14ac:dyDescent="0.3">
      <c r="A6165" s="8">
        <v>6163</v>
      </c>
      <c r="B6165" s="8" t="s">
        <v>4148</v>
      </c>
      <c r="C6165" s="8" t="s">
        <v>12447</v>
      </c>
      <c r="D6165" s="8" t="s">
        <v>12448</v>
      </c>
      <c r="E6165" s="13">
        <v>0</v>
      </c>
      <c r="F6165" s="14">
        <v>185185</v>
      </c>
    </row>
    <row r="6166" spans="1:6" x14ac:dyDescent="0.3">
      <c r="A6166" s="8">
        <v>6164</v>
      </c>
      <c r="B6166" s="8" t="s">
        <v>4148</v>
      </c>
      <c r="C6166" s="8" t="s">
        <v>12449</v>
      </c>
      <c r="D6166" s="8" t="s">
        <v>12450</v>
      </c>
      <c r="E6166" s="13">
        <v>94600</v>
      </c>
      <c r="F6166" s="14">
        <v>188889</v>
      </c>
    </row>
    <row r="6167" spans="1:6" x14ac:dyDescent="0.3">
      <c r="A6167" s="8">
        <v>6165</v>
      </c>
      <c r="B6167" s="8" t="s">
        <v>4148</v>
      </c>
      <c r="C6167" s="8" t="s">
        <v>12451</v>
      </c>
      <c r="D6167" s="8" t="s">
        <v>12452</v>
      </c>
      <c r="E6167" s="13">
        <v>210000</v>
      </c>
      <c r="F6167" s="14">
        <v>420370</v>
      </c>
    </row>
    <row r="6168" spans="1:6" x14ac:dyDescent="0.3">
      <c r="A6168" s="8">
        <v>6166</v>
      </c>
      <c r="B6168" s="8" t="s">
        <v>4148</v>
      </c>
      <c r="C6168" s="8" t="s">
        <v>12453</v>
      </c>
      <c r="D6168" s="8" t="s">
        <v>12454</v>
      </c>
      <c r="E6168" s="13">
        <v>83800</v>
      </c>
      <c r="F6168" s="14">
        <v>167593</v>
      </c>
    </row>
    <row r="6169" spans="1:6" x14ac:dyDescent="0.3">
      <c r="A6169" s="8">
        <v>6167</v>
      </c>
      <c r="B6169" s="8" t="s">
        <v>4148</v>
      </c>
      <c r="C6169" s="8" t="s">
        <v>12455</v>
      </c>
      <c r="D6169" s="8" t="s">
        <v>12456</v>
      </c>
      <c r="E6169" s="13">
        <v>220000</v>
      </c>
      <c r="F6169" s="14">
        <v>439815</v>
      </c>
    </row>
    <row r="6170" spans="1:6" x14ac:dyDescent="0.3">
      <c r="A6170" s="8">
        <v>6168</v>
      </c>
      <c r="B6170" s="8" t="s">
        <v>4148</v>
      </c>
      <c r="C6170" s="8" t="s">
        <v>12457</v>
      </c>
      <c r="D6170" s="8" t="s">
        <v>12458</v>
      </c>
      <c r="E6170" s="13">
        <v>0</v>
      </c>
      <c r="F6170" s="14">
        <v>0</v>
      </c>
    </row>
    <row r="6171" spans="1:6" x14ac:dyDescent="0.3">
      <c r="A6171" s="8">
        <v>6169</v>
      </c>
      <c r="B6171" s="8" t="s">
        <v>4148</v>
      </c>
      <c r="C6171" s="8" t="s">
        <v>12459</v>
      </c>
      <c r="D6171" s="8" t="s">
        <v>12460</v>
      </c>
      <c r="E6171" s="13">
        <v>171300</v>
      </c>
      <c r="F6171" s="14">
        <v>342593</v>
      </c>
    </row>
    <row r="6172" spans="1:6" x14ac:dyDescent="0.3">
      <c r="A6172" s="8">
        <v>6170</v>
      </c>
      <c r="B6172" s="8" t="s">
        <v>4148</v>
      </c>
      <c r="C6172" s="8" t="s">
        <v>12461</v>
      </c>
      <c r="D6172" s="8" t="s">
        <v>12462</v>
      </c>
      <c r="E6172" s="13">
        <v>180600</v>
      </c>
      <c r="F6172" s="14">
        <v>361111</v>
      </c>
    </row>
    <row r="6173" spans="1:6" x14ac:dyDescent="0.3">
      <c r="A6173" s="8">
        <v>6171</v>
      </c>
      <c r="B6173" s="8" t="s">
        <v>4148</v>
      </c>
      <c r="C6173" s="8" t="s">
        <v>12463</v>
      </c>
      <c r="D6173" s="8" t="s">
        <v>12464</v>
      </c>
      <c r="E6173" s="13">
        <v>0</v>
      </c>
      <c r="F6173" s="14">
        <v>0</v>
      </c>
    </row>
    <row r="6174" spans="1:6" x14ac:dyDescent="0.3">
      <c r="A6174" s="8">
        <v>6172</v>
      </c>
      <c r="B6174" s="8" t="s">
        <v>4148</v>
      </c>
      <c r="C6174" s="8" t="s">
        <v>12465</v>
      </c>
      <c r="D6174" s="8" t="s">
        <v>12466</v>
      </c>
      <c r="E6174" s="13">
        <v>0</v>
      </c>
      <c r="F6174" s="14">
        <v>0</v>
      </c>
    </row>
    <row r="6175" spans="1:6" x14ac:dyDescent="0.3">
      <c r="A6175" s="8">
        <v>6173</v>
      </c>
      <c r="B6175" s="8" t="s">
        <v>4148</v>
      </c>
      <c r="C6175" s="8" t="s">
        <v>12467</v>
      </c>
      <c r="D6175" s="8" t="s">
        <v>12468</v>
      </c>
      <c r="E6175" s="13">
        <v>0</v>
      </c>
      <c r="F6175" s="14">
        <v>0</v>
      </c>
    </row>
    <row r="6176" spans="1:6" x14ac:dyDescent="0.3">
      <c r="A6176" s="8">
        <v>6174</v>
      </c>
      <c r="B6176" s="8" t="s">
        <v>4148</v>
      </c>
      <c r="C6176" s="8" t="s">
        <v>12469</v>
      </c>
      <c r="D6176" s="8" t="s">
        <v>12470</v>
      </c>
      <c r="E6176" s="13">
        <v>0</v>
      </c>
      <c r="F6176" s="14">
        <v>0</v>
      </c>
    </row>
    <row r="6177" spans="1:6" x14ac:dyDescent="0.3">
      <c r="A6177" s="8">
        <v>6175</v>
      </c>
      <c r="B6177" s="8" t="s">
        <v>7694</v>
      </c>
      <c r="C6177" s="8" t="s">
        <v>12471</v>
      </c>
      <c r="D6177" s="8" t="s">
        <v>12472</v>
      </c>
      <c r="E6177" s="13">
        <v>260000</v>
      </c>
      <c r="F6177" s="14">
        <v>520000</v>
      </c>
    </row>
    <row r="6178" spans="1:6" x14ac:dyDescent="0.3">
      <c r="A6178" s="8">
        <v>6176</v>
      </c>
      <c r="B6178" s="8" t="s">
        <v>7694</v>
      </c>
      <c r="C6178" s="8" t="s">
        <v>12473</v>
      </c>
      <c r="D6178" s="8" t="s">
        <v>12474</v>
      </c>
      <c r="E6178" s="13">
        <v>351900</v>
      </c>
      <c r="F6178" s="14">
        <v>703636</v>
      </c>
    </row>
    <row r="6179" spans="1:6" x14ac:dyDescent="0.3">
      <c r="A6179" s="8">
        <v>6177</v>
      </c>
      <c r="B6179" s="8" t="s">
        <v>7694</v>
      </c>
      <c r="C6179" s="8" t="s">
        <v>12475</v>
      </c>
      <c r="D6179" s="8" t="s">
        <v>12476</v>
      </c>
      <c r="E6179" s="13">
        <v>0</v>
      </c>
      <c r="F6179" s="14">
        <v>462727</v>
      </c>
    </row>
    <row r="6180" spans="1:6" x14ac:dyDescent="0.3">
      <c r="A6180" s="8">
        <v>6178</v>
      </c>
      <c r="B6180" s="8" t="s">
        <v>7694</v>
      </c>
      <c r="C6180" s="8" t="s">
        <v>12477</v>
      </c>
      <c r="D6180" s="8" t="s">
        <v>12478</v>
      </c>
      <c r="E6180" s="13">
        <v>0</v>
      </c>
      <c r="F6180" s="14">
        <v>0</v>
      </c>
    </row>
    <row r="6181" spans="1:6" x14ac:dyDescent="0.3">
      <c r="A6181" s="8">
        <v>6179</v>
      </c>
      <c r="B6181" s="8" t="s">
        <v>7694</v>
      </c>
      <c r="C6181" s="8" t="s">
        <v>12479</v>
      </c>
      <c r="D6181" s="8" t="s">
        <v>12480</v>
      </c>
      <c r="E6181" s="13">
        <v>1700000</v>
      </c>
      <c r="F6181" s="14">
        <v>3400000</v>
      </c>
    </row>
    <row r="6182" spans="1:6" x14ac:dyDescent="0.3">
      <c r="A6182" s="8">
        <v>6180</v>
      </c>
      <c r="B6182" s="8" t="s">
        <v>7694</v>
      </c>
      <c r="C6182" s="8" t="s">
        <v>12481</v>
      </c>
      <c r="D6182" s="8" t="s">
        <v>12482</v>
      </c>
      <c r="E6182" s="13">
        <v>324100</v>
      </c>
      <c r="F6182" s="14">
        <v>648182</v>
      </c>
    </row>
    <row r="6183" spans="1:6" x14ac:dyDescent="0.3">
      <c r="A6183" s="8">
        <v>6181</v>
      </c>
      <c r="B6183" s="8" t="s">
        <v>7694</v>
      </c>
      <c r="C6183" s="8" t="s">
        <v>12483</v>
      </c>
      <c r="D6183" s="8" t="s">
        <v>12484</v>
      </c>
      <c r="E6183" s="13">
        <v>0</v>
      </c>
      <c r="F6183" s="14">
        <v>0</v>
      </c>
    </row>
    <row r="6184" spans="1:6" x14ac:dyDescent="0.3">
      <c r="A6184" s="8">
        <v>6182</v>
      </c>
      <c r="B6184" s="8" t="s">
        <v>7694</v>
      </c>
      <c r="C6184" s="8" t="s">
        <v>12485</v>
      </c>
      <c r="D6184" s="8" t="s">
        <v>12486</v>
      </c>
      <c r="E6184" s="13">
        <v>0</v>
      </c>
      <c r="F6184" s="14">
        <v>0</v>
      </c>
    </row>
    <row r="6185" spans="1:6" x14ac:dyDescent="0.3">
      <c r="A6185" s="8">
        <v>6183</v>
      </c>
      <c r="B6185" s="8" t="s">
        <v>7694</v>
      </c>
      <c r="C6185" s="8" t="s">
        <v>12487</v>
      </c>
      <c r="D6185" s="8" t="s">
        <v>12488</v>
      </c>
      <c r="E6185" s="13">
        <v>0</v>
      </c>
      <c r="F6185" s="14">
        <v>0</v>
      </c>
    </row>
    <row r="6186" spans="1:6" x14ac:dyDescent="0.3">
      <c r="A6186" s="8">
        <v>6184</v>
      </c>
      <c r="B6186" s="8" t="s">
        <v>7694</v>
      </c>
      <c r="C6186" s="8" t="s">
        <v>12489</v>
      </c>
      <c r="D6186" s="8" t="s">
        <v>12490</v>
      </c>
      <c r="E6186" s="13">
        <v>0</v>
      </c>
      <c r="F6186" s="14">
        <v>0</v>
      </c>
    </row>
    <row r="6187" spans="1:6" x14ac:dyDescent="0.3">
      <c r="A6187" s="8">
        <v>6185</v>
      </c>
      <c r="B6187" s="8" t="s">
        <v>7694</v>
      </c>
      <c r="C6187" s="8" t="s">
        <v>12491</v>
      </c>
      <c r="D6187" s="8" t="s">
        <v>12492</v>
      </c>
      <c r="E6187" s="13">
        <v>0</v>
      </c>
      <c r="F6187" s="14">
        <v>0</v>
      </c>
    </row>
    <row r="6188" spans="1:6" x14ac:dyDescent="0.3">
      <c r="A6188" s="8">
        <v>6186</v>
      </c>
      <c r="B6188" s="8" t="s">
        <v>7694</v>
      </c>
      <c r="C6188" s="8" t="s">
        <v>12493</v>
      </c>
      <c r="D6188" s="8" t="s">
        <v>12494</v>
      </c>
      <c r="E6188" s="13">
        <v>0</v>
      </c>
      <c r="F6188" s="14">
        <v>0</v>
      </c>
    </row>
    <row r="6189" spans="1:6" x14ac:dyDescent="0.3">
      <c r="A6189" s="8">
        <v>6187</v>
      </c>
      <c r="B6189" s="8" t="s">
        <v>7694</v>
      </c>
      <c r="C6189" s="8" t="s">
        <v>12495</v>
      </c>
      <c r="D6189" s="8" t="s">
        <v>12496</v>
      </c>
      <c r="E6189" s="13">
        <v>0</v>
      </c>
      <c r="F6189" s="14">
        <v>0</v>
      </c>
    </row>
    <row r="6190" spans="1:6" x14ac:dyDescent="0.3">
      <c r="A6190" s="8">
        <v>6188</v>
      </c>
      <c r="B6190" s="8" t="s">
        <v>7694</v>
      </c>
      <c r="C6190" s="8" t="s">
        <v>12497</v>
      </c>
      <c r="D6190" s="8" t="s">
        <v>12498</v>
      </c>
      <c r="E6190" s="13">
        <v>0</v>
      </c>
      <c r="F6190" s="14">
        <v>90750000</v>
      </c>
    </row>
    <row r="6191" spans="1:6" x14ac:dyDescent="0.3">
      <c r="A6191" s="8">
        <v>6189</v>
      </c>
      <c r="B6191" s="8" t="s">
        <v>7694</v>
      </c>
      <c r="C6191" s="8" t="s">
        <v>12499</v>
      </c>
      <c r="D6191" s="8" t="s">
        <v>12500</v>
      </c>
      <c r="E6191" s="13">
        <v>0</v>
      </c>
      <c r="F6191" s="14">
        <v>194700000</v>
      </c>
    </row>
    <row r="6192" spans="1:6" x14ac:dyDescent="0.3">
      <c r="A6192" s="8">
        <v>6190</v>
      </c>
      <c r="B6192" s="8" t="s">
        <v>7694</v>
      </c>
      <c r="C6192" s="8" t="s">
        <v>12501</v>
      </c>
      <c r="D6192" s="8" t="s">
        <v>12502</v>
      </c>
      <c r="E6192" s="13">
        <v>0</v>
      </c>
      <c r="F6192" s="14">
        <v>0</v>
      </c>
    </row>
    <row r="6193" spans="1:6" x14ac:dyDescent="0.3">
      <c r="A6193" s="8">
        <v>6191</v>
      </c>
      <c r="B6193" s="8" t="s">
        <v>9463</v>
      </c>
      <c r="C6193" s="8" t="s">
        <v>12503</v>
      </c>
      <c r="D6193" s="8" t="s">
        <v>12504</v>
      </c>
      <c r="E6193" s="13">
        <v>46296</v>
      </c>
      <c r="F6193" s="14">
        <v>46296</v>
      </c>
    </row>
    <row r="6194" spans="1:6" x14ac:dyDescent="0.3">
      <c r="A6194" s="8">
        <v>6192</v>
      </c>
      <c r="B6194" s="8" t="s">
        <v>9463</v>
      </c>
      <c r="C6194" s="8" t="s">
        <v>12505</v>
      </c>
      <c r="D6194" s="8" t="s">
        <v>12506</v>
      </c>
      <c r="E6194" s="13">
        <v>35185</v>
      </c>
      <c r="F6194" s="14">
        <v>70370</v>
      </c>
    </row>
    <row r="6195" spans="1:6" x14ac:dyDescent="0.3">
      <c r="A6195" s="8">
        <v>6193</v>
      </c>
      <c r="B6195" s="8" t="s">
        <v>9463</v>
      </c>
      <c r="C6195" s="8" t="s">
        <v>12507</v>
      </c>
      <c r="D6195" s="8" t="s">
        <v>12508</v>
      </c>
      <c r="E6195" s="13">
        <v>0</v>
      </c>
      <c r="F6195" s="14">
        <v>0</v>
      </c>
    </row>
    <row r="6196" spans="1:6" x14ac:dyDescent="0.3">
      <c r="A6196" s="8">
        <v>6194</v>
      </c>
      <c r="B6196" s="8" t="s">
        <v>9463</v>
      </c>
      <c r="C6196" s="8" t="s">
        <v>12509</v>
      </c>
      <c r="D6196" s="8" t="s">
        <v>12510</v>
      </c>
      <c r="E6196" s="13">
        <v>0</v>
      </c>
      <c r="F6196" s="14">
        <v>0</v>
      </c>
    </row>
    <row r="6197" spans="1:6" x14ac:dyDescent="0.3">
      <c r="A6197" s="8">
        <v>6195</v>
      </c>
      <c r="B6197" s="8" t="s">
        <v>9463</v>
      </c>
      <c r="C6197" s="8" t="s">
        <v>12511</v>
      </c>
      <c r="D6197" s="8" t="s">
        <v>12512</v>
      </c>
      <c r="E6197" s="13">
        <v>0</v>
      </c>
      <c r="F6197" s="14">
        <v>0</v>
      </c>
    </row>
    <row r="6198" spans="1:6" x14ac:dyDescent="0.3">
      <c r="A6198" s="8">
        <v>6196</v>
      </c>
      <c r="B6198" s="8" t="s">
        <v>9463</v>
      </c>
      <c r="C6198" s="8" t="s">
        <v>12513</v>
      </c>
      <c r="D6198" s="8" t="s">
        <v>12514</v>
      </c>
      <c r="E6198" s="13">
        <v>140000</v>
      </c>
      <c r="F6198" s="14">
        <v>279630</v>
      </c>
    </row>
    <row r="6199" spans="1:6" x14ac:dyDescent="0.3">
      <c r="A6199" s="8">
        <v>6197</v>
      </c>
      <c r="B6199" s="8" t="s">
        <v>9478</v>
      </c>
      <c r="C6199" s="8" t="s">
        <v>12515</v>
      </c>
      <c r="D6199" s="8" t="s">
        <v>12516</v>
      </c>
      <c r="E6199" s="13">
        <v>0</v>
      </c>
      <c r="F6199" s="14">
        <v>0</v>
      </c>
    </row>
    <row r="6200" spans="1:6" x14ac:dyDescent="0.3">
      <c r="A6200" s="8">
        <v>6198</v>
      </c>
      <c r="B6200" s="8" t="s">
        <v>9478</v>
      </c>
      <c r="C6200" s="8" t="s">
        <v>12517</v>
      </c>
      <c r="D6200" s="8" t="s">
        <v>26</v>
      </c>
      <c r="E6200" s="13">
        <v>82000</v>
      </c>
      <c r="F6200" s="14">
        <v>163889</v>
      </c>
    </row>
    <row r="6201" spans="1:6" x14ac:dyDescent="0.3">
      <c r="A6201" s="8">
        <v>6199</v>
      </c>
      <c r="B6201" s="8" t="s">
        <v>6516</v>
      </c>
      <c r="C6201" s="8" t="s">
        <v>12518</v>
      </c>
      <c r="D6201" s="8" t="s">
        <v>12519</v>
      </c>
      <c r="E6201" s="13">
        <v>0</v>
      </c>
      <c r="F6201" s="14">
        <v>0</v>
      </c>
    </row>
    <row r="6202" spans="1:6" x14ac:dyDescent="0.3">
      <c r="A6202" s="8">
        <v>6200</v>
      </c>
      <c r="B6202" s="8" t="s">
        <v>6516</v>
      </c>
      <c r="C6202" s="8" t="s">
        <v>12520</v>
      </c>
      <c r="D6202" s="8" t="s">
        <v>12521</v>
      </c>
      <c r="E6202" s="13">
        <v>0</v>
      </c>
      <c r="F6202" s="14">
        <v>0</v>
      </c>
    </row>
    <row r="6203" spans="1:6" x14ac:dyDescent="0.3">
      <c r="A6203" s="8">
        <v>6201</v>
      </c>
      <c r="B6203" s="8" t="s">
        <v>6516</v>
      </c>
      <c r="C6203" s="8" t="s">
        <v>12522</v>
      </c>
      <c r="D6203" s="8" t="s">
        <v>12523</v>
      </c>
      <c r="E6203" s="13">
        <v>0</v>
      </c>
      <c r="F6203" s="14">
        <v>0</v>
      </c>
    </row>
    <row r="6204" spans="1:6" x14ac:dyDescent="0.3">
      <c r="A6204" s="8">
        <v>6202</v>
      </c>
      <c r="B6204" s="8" t="s">
        <v>6516</v>
      </c>
      <c r="C6204" s="8" t="s">
        <v>12524</v>
      </c>
      <c r="D6204" s="8" t="s">
        <v>12525</v>
      </c>
      <c r="E6204" s="13">
        <v>0</v>
      </c>
      <c r="F6204" s="14">
        <v>0</v>
      </c>
    </row>
    <row r="6205" spans="1:6" x14ac:dyDescent="0.3">
      <c r="A6205" s="8">
        <v>6203</v>
      </c>
      <c r="B6205" s="8" t="s">
        <v>6516</v>
      </c>
      <c r="C6205" s="8" t="s">
        <v>12526</v>
      </c>
      <c r="D6205" s="8" t="s">
        <v>12527</v>
      </c>
      <c r="E6205" s="13">
        <v>0</v>
      </c>
      <c r="F6205" s="14">
        <v>0</v>
      </c>
    </row>
    <row r="6206" spans="1:6" x14ac:dyDescent="0.3">
      <c r="A6206" s="8">
        <v>6204</v>
      </c>
      <c r="B6206" s="8" t="s">
        <v>6516</v>
      </c>
      <c r="C6206" s="8" t="s">
        <v>12528</v>
      </c>
      <c r="D6206" s="8" t="s">
        <v>12529</v>
      </c>
      <c r="E6206" s="13">
        <v>0</v>
      </c>
      <c r="F6206" s="14">
        <v>0</v>
      </c>
    </row>
    <row r="6207" spans="1:6" x14ac:dyDescent="0.3">
      <c r="A6207" s="8">
        <v>6205</v>
      </c>
      <c r="B6207" s="8" t="s">
        <v>6516</v>
      </c>
      <c r="C6207" s="8" t="s">
        <v>12530</v>
      </c>
      <c r="D6207" s="8" t="s">
        <v>12531</v>
      </c>
      <c r="E6207" s="13">
        <v>0</v>
      </c>
      <c r="F6207" s="14">
        <v>0</v>
      </c>
    </row>
    <row r="6208" spans="1:6" x14ac:dyDescent="0.3">
      <c r="A6208" s="8">
        <v>6206</v>
      </c>
      <c r="B6208" s="8" t="s">
        <v>6516</v>
      </c>
      <c r="C6208" s="8" t="s">
        <v>12532</v>
      </c>
      <c r="D6208" s="8" t="s">
        <v>12533</v>
      </c>
      <c r="E6208" s="13">
        <v>0</v>
      </c>
      <c r="F6208" s="14">
        <v>0</v>
      </c>
    </row>
    <row r="6209" spans="1:6" x14ac:dyDescent="0.3">
      <c r="A6209" s="8">
        <v>6207</v>
      </c>
      <c r="B6209" s="8" t="s">
        <v>6516</v>
      </c>
      <c r="C6209" s="8" t="s">
        <v>12534</v>
      </c>
      <c r="D6209" s="8" t="s">
        <v>12535</v>
      </c>
      <c r="E6209" s="13">
        <v>0</v>
      </c>
      <c r="F6209" s="14">
        <v>0</v>
      </c>
    </row>
    <row r="6210" spans="1:6" x14ac:dyDescent="0.3">
      <c r="A6210" s="8">
        <v>6208</v>
      </c>
      <c r="B6210" s="8" t="s">
        <v>7355</v>
      </c>
      <c r="C6210" s="8" t="s">
        <v>12536</v>
      </c>
      <c r="D6210" s="8" t="s">
        <v>12537</v>
      </c>
      <c r="E6210" s="13">
        <v>0</v>
      </c>
      <c r="F6210" s="14">
        <v>0</v>
      </c>
    </row>
    <row r="6211" spans="1:6" x14ac:dyDescent="0.3">
      <c r="A6211" s="8">
        <v>6209</v>
      </c>
      <c r="B6211" s="8" t="s">
        <v>7355</v>
      </c>
      <c r="C6211" s="8" t="s">
        <v>12538</v>
      </c>
      <c r="D6211" s="8" t="s">
        <v>12539</v>
      </c>
      <c r="E6211" s="13">
        <v>127000</v>
      </c>
      <c r="F6211" s="14">
        <v>220000</v>
      </c>
    </row>
    <row r="6212" spans="1:6" x14ac:dyDescent="0.3">
      <c r="A6212" s="8">
        <v>6210</v>
      </c>
      <c r="B6212" s="8" t="s">
        <v>7355</v>
      </c>
      <c r="C6212" s="8" t="s">
        <v>12540</v>
      </c>
      <c r="D6212" s="8" t="s">
        <v>12541</v>
      </c>
      <c r="E6212" s="13">
        <v>246000</v>
      </c>
      <c r="F6212" s="14">
        <v>420000</v>
      </c>
    </row>
    <row r="6213" spans="1:6" x14ac:dyDescent="0.3">
      <c r="A6213" s="8">
        <v>6211</v>
      </c>
      <c r="B6213" s="8" t="s">
        <v>7355</v>
      </c>
      <c r="C6213" s="8" t="s">
        <v>12542</v>
      </c>
      <c r="D6213" s="8" t="s">
        <v>12543</v>
      </c>
      <c r="E6213" s="13">
        <v>183000</v>
      </c>
      <c r="F6213" s="14">
        <v>330000</v>
      </c>
    </row>
    <row r="6214" spans="1:6" x14ac:dyDescent="0.3">
      <c r="A6214" s="8">
        <v>6212</v>
      </c>
      <c r="B6214" s="8" t="s">
        <v>7355</v>
      </c>
      <c r="C6214" s="8" t="s">
        <v>12544</v>
      </c>
      <c r="D6214" s="8" t="s">
        <v>12545</v>
      </c>
      <c r="E6214" s="13">
        <v>88700</v>
      </c>
      <c r="F6214" s="14">
        <v>176852</v>
      </c>
    </row>
    <row r="6215" spans="1:6" x14ac:dyDescent="0.3">
      <c r="A6215" s="8">
        <v>6213</v>
      </c>
      <c r="B6215" s="8" t="s">
        <v>7355</v>
      </c>
      <c r="C6215" s="8" t="s">
        <v>12546</v>
      </c>
      <c r="D6215" s="8" t="s">
        <v>12547</v>
      </c>
      <c r="E6215" s="13">
        <v>0</v>
      </c>
      <c r="F6215" s="14">
        <v>0</v>
      </c>
    </row>
    <row r="6216" spans="1:6" x14ac:dyDescent="0.3">
      <c r="A6216" s="8">
        <v>6214</v>
      </c>
      <c r="B6216" s="8" t="s">
        <v>7355</v>
      </c>
      <c r="C6216" s="8" t="s">
        <v>12548</v>
      </c>
      <c r="D6216" s="8" t="s">
        <v>12549</v>
      </c>
      <c r="E6216" s="13">
        <v>0</v>
      </c>
      <c r="F6216" s="14">
        <v>0</v>
      </c>
    </row>
    <row r="6217" spans="1:6" x14ac:dyDescent="0.3">
      <c r="A6217" s="8">
        <v>6215</v>
      </c>
      <c r="B6217" s="8" t="s">
        <v>7355</v>
      </c>
      <c r="C6217" s="8" t="s">
        <v>12550</v>
      </c>
      <c r="D6217" s="8" t="s">
        <v>12551</v>
      </c>
      <c r="E6217" s="13">
        <v>0</v>
      </c>
      <c r="F6217" s="14">
        <v>0</v>
      </c>
    </row>
    <row r="6218" spans="1:6" x14ac:dyDescent="0.3">
      <c r="A6218" s="8">
        <v>6216</v>
      </c>
      <c r="B6218" s="8" t="s">
        <v>7355</v>
      </c>
      <c r="C6218" s="8" t="s">
        <v>12552</v>
      </c>
      <c r="D6218" s="8" t="s">
        <v>12553</v>
      </c>
      <c r="E6218" s="13">
        <v>0</v>
      </c>
      <c r="F6218" s="14">
        <v>0</v>
      </c>
    </row>
    <row r="6219" spans="1:6" x14ac:dyDescent="0.3">
      <c r="A6219" s="8">
        <v>6217</v>
      </c>
      <c r="B6219" s="8" t="s">
        <v>7368</v>
      </c>
      <c r="C6219" s="8" t="s">
        <v>12554</v>
      </c>
      <c r="D6219" s="8" t="s">
        <v>12555</v>
      </c>
      <c r="E6219" s="13">
        <v>82400</v>
      </c>
      <c r="F6219" s="14">
        <v>165000</v>
      </c>
    </row>
    <row r="6220" spans="1:6" x14ac:dyDescent="0.3">
      <c r="A6220" s="8">
        <v>6218</v>
      </c>
      <c r="B6220" s="8" t="s">
        <v>7368</v>
      </c>
      <c r="C6220" s="8" t="s">
        <v>12556</v>
      </c>
      <c r="D6220" s="8" t="s">
        <v>12557</v>
      </c>
      <c r="E6220" s="13">
        <v>30000</v>
      </c>
      <c r="F6220" s="14">
        <v>92000</v>
      </c>
    </row>
    <row r="6221" spans="1:6" x14ac:dyDescent="0.3">
      <c r="A6221" s="8">
        <v>6219</v>
      </c>
      <c r="B6221" s="8" t="s">
        <v>7368</v>
      </c>
      <c r="C6221" s="8" t="s">
        <v>12558</v>
      </c>
      <c r="D6221" s="8" t="s">
        <v>12559</v>
      </c>
      <c r="E6221" s="13">
        <v>0</v>
      </c>
      <c r="F6221" s="14">
        <v>0</v>
      </c>
    </row>
    <row r="6222" spans="1:6" x14ac:dyDescent="0.3">
      <c r="A6222" s="8">
        <v>6220</v>
      </c>
      <c r="B6222" s="8" t="s">
        <v>7368</v>
      </c>
      <c r="C6222" s="8" t="s">
        <v>12560</v>
      </c>
      <c r="D6222" s="8" t="s">
        <v>12561</v>
      </c>
      <c r="E6222" s="13">
        <v>42000</v>
      </c>
      <c r="F6222" s="14">
        <v>83981</v>
      </c>
    </row>
    <row r="6223" spans="1:6" x14ac:dyDescent="0.3">
      <c r="A6223" s="8">
        <v>6221</v>
      </c>
      <c r="B6223" s="8" t="s">
        <v>7368</v>
      </c>
      <c r="C6223" s="8" t="s">
        <v>12562</v>
      </c>
      <c r="D6223" s="8" t="s">
        <v>12563</v>
      </c>
      <c r="E6223" s="13">
        <v>68600</v>
      </c>
      <c r="F6223" s="14">
        <v>137037</v>
      </c>
    </row>
    <row r="6224" spans="1:6" x14ac:dyDescent="0.3">
      <c r="A6224" s="8">
        <v>6222</v>
      </c>
      <c r="B6224" s="8" t="s">
        <v>7368</v>
      </c>
      <c r="C6224" s="8" t="s">
        <v>12564</v>
      </c>
      <c r="D6224" s="8" t="s">
        <v>12565</v>
      </c>
      <c r="E6224" s="13">
        <v>0</v>
      </c>
      <c r="F6224" s="14">
        <v>275000</v>
      </c>
    </row>
    <row r="6225" spans="1:6" x14ac:dyDescent="0.3">
      <c r="A6225" s="8">
        <v>6223</v>
      </c>
      <c r="B6225" s="8" t="s">
        <v>7681</v>
      </c>
      <c r="C6225" s="8" t="s">
        <v>12566</v>
      </c>
      <c r="D6225" s="8" t="s">
        <v>12567</v>
      </c>
      <c r="E6225" s="13">
        <v>0</v>
      </c>
      <c r="F6225" s="14">
        <v>0</v>
      </c>
    </row>
    <row r="6226" spans="1:6" x14ac:dyDescent="0.3">
      <c r="A6226" s="8">
        <v>6224</v>
      </c>
      <c r="B6226" s="8" t="s">
        <v>4148</v>
      </c>
      <c r="C6226" s="8" t="s">
        <v>12568</v>
      </c>
      <c r="D6226" s="8" t="s">
        <v>12569</v>
      </c>
      <c r="E6226" s="13">
        <v>0</v>
      </c>
      <c r="F6226" s="14">
        <v>0</v>
      </c>
    </row>
    <row r="6227" spans="1:6" x14ac:dyDescent="0.3">
      <c r="A6227" s="8">
        <v>6225</v>
      </c>
      <c r="B6227" s="8" t="s">
        <v>4148</v>
      </c>
      <c r="C6227" s="8" t="s">
        <v>12570</v>
      </c>
      <c r="D6227" s="8" t="s">
        <v>12571</v>
      </c>
      <c r="E6227" s="13">
        <v>0</v>
      </c>
      <c r="F6227" s="14">
        <v>0</v>
      </c>
    </row>
    <row r="6228" spans="1:6" x14ac:dyDescent="0.3">
      <c r="A6228" s="8">
        <v>6226</v>
      </c>
      <c r="B6228" s="8" t="s">
        <v>4148</v>
      </c>
      <c r="C6228" s="8" t="s">
        <v>12572</v>
      </c>
      <c r="D6228" s="8" t="s">
        <v>12573</v>
      </c>
      <c r="E6228" s="13">
        <v>0</v>
      </c>
      <c r="F6228" s="14">
        <v>0</v>
      </c>
    </row>
    <row r="6229" spans="1:6" x14ac:dyDescent="0.3">
      <c r="A6229" s="8">
        <v>6227</v>
      </c>
      <c r="B6229" s="8" t="s">
        <v>4148</v>
      </c>
      <c r="C6229" s="8" t="s">
        <v>12574</v>
      </c>
      <c r="D6229" s="8" t="s">
        <v>12575</v>
      </c>
      <c r="E6229" s="13">
        <v>57400</v>
      </c>
      <c r="F6229" s="14">
        <v>114815</v>
      </c>
    </row>
    <row r="6230" spans="1:6" x14ac:dyDescent="0.3">
      <c r="A6230" s="8">
        <v>6228</v>
      </c>
      <c r="B6230" s="8" t="s">
        <v>4148</v>
      </c>
      <c r="C6230" s="8" t="s">
        <v>12576</v>
      </c>
      <c r="D6230" s="8" t="s">
        <v>12577</v>
      </c>
      <c r="E6230" s="13">
        <v>97200</v>
      </c>
      <c r="F6230" s="14">
        <v>194444</v>
      </c>
    </row>
    <row r="6231" spans="1:6" x14ac:dyDescent="0.3">
      <c r="A6231" s="8">
        <v>6229</v>
      </c>
      <c r="B6231" s="8" t="s">
        <v>4148</v>
      </c>
      <c r="C6231" s="8" t="s">
        <v>12578</v>
      </c>
      <c r="D6231" s="8" t="s">
        <v>12579</v>
      </c>
      <c r="E6231" s="13">
        <v>94600</v>
      </c>
      <c r="F6231" s="14">
        <v>188889</v>
      </c>
    </row>
    <row r="6232" spans="1:6" x14ac:dyDescent="0.3">
      <c r="A6232" s="8">
        <v>6230</v>
      </c>
      <c r="B6232" s="8" t="s">
        <v>4148</v>
      </c>
      <c r="C6232" s="8" t="s">
        <v>12580</v>
      </c>
      <c r="D6232" s="8" t="s">
        <v>12581</v>
      </c>
      <c r="E6232" s="13">
        <v>83200</v>
      </c>
      <c r="F6232" s="14">
        <v>166667</v>
      </c>
    </row>
    <row r="6233" spans="1:6" x14ac:dyDescent="0.3">
      <c r="A6233" s="8">
        <v>6231</v>
      </c>
      <c r="B6233" s="8" t="s">
        <v>4148</v>
      </c>
      <c r="C6233" s="8" t="s">
        <v>12582</v>
      </c>
      <c r="D6233" s="8" t="s">
        <v>12583</v>
      </c>
      <c r="E6233" s="13">
        <v>54400</v>
      </c>
      <c r="F6233" s="14">
        <v>122222</v>
      </c>
    </row>
    <row r="6234" spans="1:6" x14ac:dyDescent="0.3">
      <c r="A6234" s="8">
        <v>6232</v>
      </c>
      <c r="B6234" s="8" t="s">
        <v>4148</v>
      </c>
      <c r="C6234" s="8" t="s">
        <v>12584</v>
      </c>
      <c r="D6234" s="8" t="s">
        <v>12585</v>
      </c>
      <c r="E6234" s="13">
        <v>76300</v>
      </c>
      <c r="F6234" s="14">
        <v>170370</v>
      </c>
    </row>
    <row r="6235" spans="1:6" x14ac:dyDescent="0.3">
      <c r="A6235" s="8">
        <v>6233</v>
      </c>
      <c r="B6235" s="8" t="s">
        <v>4148</v>
      </c>
      <c r="C6235" s="8" t="s">
        <v>12586</v>
      </c>
      <c r="D6235" s="8" t="s">
        <v>12587</v>
      </c>
      <c r="E6235" s="13">
        <v>61400</v>
      </c>
      <c r="F6235" s="14">
        <v>136111</v>
      </c>
    </row>
    <row r="6236" spans="1:6" x14ac:dyDescent="0.3">
      <c r="A6236" s="8">
        <v>6234</v>
      </c>
      <c r="B6236" s="8" t="s">
        <v>4148</v>
      </c>
      <c r="C6236" s="8" t="s">
        <v>12588</v>
      </c>
      <c r="D6236" s="8" t="s">
        <v>12589</v>
      </c>
      <c r="E6236" s="13">
        <v>57400</v>
      </c>
      <c r="F6236" s="14">
        <v>114815</v>
      </c>
    </row>
    <row r="6237" spans="1:6" x14ac:dyDescent="0.3">
      <c r="A6237" s="8">
        <v>6235</v>
      </c>
      <c r="B6237" s="8" t="s">
        <v>4148</v>
      </c>
      <c r="C6237" s="8" t="s">
        <v>12590</v>
      </c>
      <c r="D6237" s="8" t="s">
        <v>12591</v>
      </c>
      <c r="E6237" s="13">
        <v>79500</v>
      </c>
      <c r="F6237" s="14">
        <v>159259</v>
      </c>
    </row>
    <row r="6238" spans="1:6" x14ac:dyDescent="0.3">
      <c r="A6238" s="8">
        <v>6236</v>
      </c>
      <c r="B6238" s="8" t="s">
        <v>4148</v>
      </c>
      <c r="C6238" s="8" t="s">
        <v>12592</v>
      </c>
      <c r="D6238" s="8" t="s">
        <v>12593</v>
      </c>
      <c r="E6238" s="13">
        <v>81200</v>
      </c>
      <c r="F6238" s="14">
        <v>162037</v>
      </c>
    </row>
    <row r="6239" spans="1:6" x14ac:dyDescent="0.3">
      <c r="A6239" s="8">
        <v>6237</v>
      </c>
      <c r="B6239" s="8" t="s">
        <v>4148</v>
      </c>
      <c r="C6239" s="8" t="s">
        <v>12594</v>
      </c>
      <c r="D6239" s="8" t="s">
        <v>12595</v>
      </c>
      <c r="E6239" s="13">
        <v>97200</v>
      </c>
      <c r="F6239" s="14">
        <v>194444</v>
      </c>
    </row>
    <row r="6240" spans="1:6" x14ac:dyDescent="0.3">
      <c r="A6240" s="8">
        <v>6238</v>
      </c>
      <c r="B6240" s="8" t="s">
        <v>4148</v>
      </c>
      <c r="C6240" s="8" t="s">
        <v>12596</v>
      </c>
      <c r="D6240" s="8" t="s">
        <v>12597</v>
      </c>
      <c r="E6240" s="13">
        <v>0</v>
      </c>
      <c r="F6240" s="14">
        <v>0</v>
      </c>
    </row>
    <row r="6241" spans="1:6" x14ac:dyDescent="0.3">
      <c r="A6241" s="8">
        <v>6239</v>
      </c>
      <c r="B6241" s="8" t="s">
        <v>4148</v>
      </c>
      <c r="C6241" s="8" t="s">
        <v>12598</v>
      </c>
      <c r="D6241" s="8" t="s">
        <v>12599</v>
      </c>
      <c r="E6241" s="13">
        <v>0</v>
      </c>
      <c r="F6241" s="14">
        <v>0</v>
      </c>
    </row>
    <row r="6242" spans="1:6" x14ac:dyDescent="0.3">
      <c r="A6242" s="8">
        <v>6240</v>
      </c>
      <c r="B6242" s="8" t="s">
        <v>4148</v>
      </c>
      <c r="C6242" s="8" t="s">
        <v>12600</v>
      </c>
      <c r="D6242" s="8" t="s">
        <v>12601</v>
      </c>
      <c r="E6242" s="13">
        <v>0</v>
      </c>
      <c r="F6242" s="14">
        <v>0</v>
      </c>
    </row>
    <row r="6243" spans="1:6" x14ac:dyDescent="0.3">
      <c r="A6243" s="8">
        <v>6241</v>
      </c>
      <c r="B6243" s="8" t="s">
        <v>4148</v>
      </c>
      <c r="C6243" s="8" t="s">
        <v>12602</v>
      </c>
      <c r="D6243" s="8" t="s">
        <v>12603</v>
      </c>
      <c r="E6243" s="13">
        <v>0</v>
      </c>
      <c r="F6243" s="14">
        <v>0</v>
      </c>
    </row>
    <row r="6244" spans="1:6" x14ac:dyDescent="0.3">
      <c r="A6244" s="8">
        <v>6242</v>
      </c>
      <c r="B6244" s="8" t="s">
        <v>4148</v>
      </c>
      <c r="C6244" s="8" t="s">
        <v>12604</v>
      </c>
      <c r="D6244" s="8" t="s">
        <v>12605</v>
      </c>
      <c r="E6244" s="13">
        <v>0</v>
      </c>
      <c r="F6244" s="14">
        <v>600000</v>
      </c>
    </row>
    <row r="6245" spans="1:6" x14ac:dyDescent="0.3">
      <c r="A6245" s="8">
        <v>6243</v>
      </c>
      <c r="B6245" s="8" t="s">
        <v>4148</v>
      </c>
      <c r="C6245" s="8" t="s">
        <v>12606</v>
      </c>
      <c r="D6245" s="8" t="s">
        <v>12607</v>
      </c>
      <c r="E6245" s="13">
        <v>0</v>
      </c>
      <c r="F6245" s="14">
        <v>0</v>
      </c>
    </row>
    <row r="6246" spans="1:6" x14ac:dyDescent="0.3">
      <c r="A6246" s="8">
        <v>6244</v>
      </c>
      <c r="B6246" s="8" t="s">
        <v>4148</v>
      </c>
      <c r="C6246" s="8" t="s">
        <v>12608</v>
      </c>
      <c r="D6246" s="8" t="s">
        <v>12609</v>
      </c>
      <c r="E6246" s="13">
        <v>0</v>
      </c>
      <c r="F6246" s="14">
        <v>185185</v>
      </c>
    </row>
    <row r="6247" spans="1:6" x14ac:dyDescent="0.3">
      <c r="A6247" s="8">
        <v>6245</v>
      </c>
      <c r="B6247" s="8" t="s">
        <v>4148</v>
      </c>
      <c r="C6247" s="8" t="s">
        <v>12610</v>
      </c>
      <c r="D6247" s="8" t="s">
        <v>12611</v>
      </c>
      <c r="E6247" s="13">
        <v>0</v>
      </c>
      <c r="F6247" s="14">
        <v>0</v>
      </c>
    </row>
    <row r="6248" spans="1:6" x14ac:dyDescent="0.3">
      <c r="A6248" s="8">
        <v>6246</v>
      </c>
      <c r="B6248" s="8" t="s">
        <v>4148</v>
      </c>
      <c r="C6248" s="8" t="s">
        <v>12612</v>
      </c>
      <c r="D6248" s="8" t="s">
        <v>12613</v>
      </c>
      <c r="E6248" s="13">
        <v>0</v>
      </c>
      <c r="F6248" s="14">
        <v>0</v>
      </c>
    </row>
    <row r="6249" spans="1:6" x14ac:dyDescent="0.3">
      <c r="A6249" s="8">
        <v>6247</v>
      </c>
      <c r="B6249" s="8" t="s">
        <v>10697</v>
      </c>
      <c r="C6249" s="8" t="s">
        <v>12614</v>
      </c>
      <c r="D6249" s="8" t="s">
        <v>12615</v>
      </c>
      <c r="E6249" s="13">
        <v>0</v>
      </c>
      <c r="F6249" s="14">
        <v>0</v>
      </c>
    </row>
    <row r="6250" spans="1:6" x14ac:dyDescent="0.3">
      <c r="A6250" s="8">
        <v>6248</v>
      </c>
      <c r="B6250" s="8" t="s">
        <v>10697</v>
      </c>
      <c r="C6250" s="8" t="s">
        <v>12616</v>
      </c>
      <c r="D6250" s="8" t="s">
        <v>12617</v>
      </c>
      <c r="E6250" s="13">
        <v>0</v>
      </c>
      <c r="F6250" s="14">
        <v>0</v>
      </c>
    </row>
    <row r="6251" spans="1:6" x14ac:dyDescent="0.3">
      <c r="A6251" s="8">
        <v>6249</v>
      </c>
      <c r="B6251" s="8" t="s">
        <v>10697</v>
      </c>
      <c r="C6251" s="8" t="s">
        <v>12618</v>
      </c>
      <c r="D6251" s="8" t="s">
        <v>12619</v>
      </c>
      <c r="E6251" s="13">
        <v>28000</v>
      </c>
      <c r="F6251" s="14">
        <v>55556</v>
      </c>
    </row>
    <row r="6252" spans="1:6" x14ac:dyDescent="0.3">
      <c r="A6252" s="8">
        <v>6250</v>
      </c>
      <c r="B6252" s="8" t="s">
        <v>10697</v>
      </c>
      <c r="C6252" s="8" t="s">
        <v>12620</v>
      </c>
      <c r="D6252" s="8" t="s">
        <v>12621</v>
      </c>
      <c r="E6252" s="13">
        <v>22000</v>
      </c>
      <c r="F6252" s="14">
        <v>43519</v>
      </c>
    </row>
    <row r="6253" spans="1:6" x14ac:dyDescent="0.3">
      <c r="A6253" s="8">
        <v>6251</v>
      </c>
      <c r="B6253" s="8" t="s">
        <v>10697</v>
      </c>
      <c r="C6253" s="8" t="s">
        <v>12622</v>
      </c>
      <c r="D6253" s="8" t="s">
        <v>12623</v>
      </c>
      <c r="E6253" s="13">
        <v>22000</v>
      </c>
      <c r="F6253" s="14">
        <v>43519</v>
      </c>
    </row>
    <row r="6254" spans="1:6" x14ac:dyDescent="0.3">
      <c r="A6254" s="8">
        <v>6252</v>
      </c>
      <c r="B6254" s="8" t="s">
        <v>10697</v>
      </c>
      <c r="C6254" s="8" t="s">
        <v>12624</v>
      </c>
      <c r="D6254" s="8" t="s">
        <v>12625</v>
      </c>
      <c r="E6254" s="13">
        <v>36300</v>
      </c>
      <c r="F6254" s="14">
        <v>73148</v>
      </c>
    </row>
    <row r="6255" spans="1:6" x14ac:dyDescent="0.3">
      <c r="A6255" s="8">
        <v>6253</v>
      </c>
      <c r="B6255" s="8" t="s">
        <v>10697</v>
      </c>
      <c r="C6255" s="8" t="s">
        <v>12626</v>
      </c>
      <c r="D6255" s="8" t="s">
        <v>12627</v>
      </c>
      <c r="E6255" s="13">
        <v>0</v>
      </c>
      <c r="F6255" s="14">
        <v>0</v>
      </c>
    </row>
    <row r="6256" spans="1:6" x14ac:dyDescent="0.3">
      <c r="A6256" s="8">
        <v>6254</v>
      </c>
      <c r="B6256" s="8" t="s">
        <v>10697</v>
      </c>
      <c r="C6256" s="8" t="s">
        <v>12628</v>
      </c>
      <c r="D6256" s="8" t="s">
        <v>12629</v>
      </c>
      <c r="E6256" s="13">
        <v>9000</v>
      </c>
      <c r="F6256" s="14">
        <v>18182</v>
      </c>
    </row>
    <row r="6257" spans="1:6" x14ac:dyDescent="0.3">
      <c r="A6257" s="8">
        <v>6255</v>
      </c>
      <c r="B6257" s="8" t="s">
        <v>10697</v>
      </c>
      <c r="C6257" s="8" t="s">
        <v>12630</v>
      </c>
      <c r="D6257" s="8" t="s">
        <v>12631</v>
      </c>
      <c r="E6257" s="13">
        <v>0</v>
      </c>
      <c r="F6257" s="14">
        <v>0</v>
      </c>
    </row>
    <row r="6258" spans="1:6" x14ac:dyDescent="0.3">
      <c r="A6258" s="8">
        <v>6256</v>
      </c>
      <c r="B6258" s="8" t="s">
        <v>10697</v>
      </c>
      <c r="C6258" s="8" t="s">
        <v>12632</v>
      </c>
      <c r="D6258" s="8" t="s">
        <v>12633</v>
      </c>
      <c r="E6258" s="13">
        <v>0</v>
      </c>
      <c r="F6258" s="14">
        <v>0</v>
      </c>
    </row>
    <row r="6259" spans="1:6" x14ac:dyDescent="0.3">
      <c r="A6259" s="8">
        <v>6257</v>
      </c>
      <c r="B6259" s="8" t="s">
        <v>10928</v>
      </c>
      <c r="C6259" s="8" t="s">
        <v>12634</v>
      </c>
      <c r="D6259" s="8" t="s">
        <v>12635</v>
      </c>
      <c r="E6259" s="13">
        <v>0</v>
      </c>
      <c r="F6259" s="14">
        <v>0</v>
      </c>
    </row>
    <row r="6260" spans="1:6" x14ac:dyDescent="0.3">
      <c r="A6260" s="8">
        <v>6258</v>
      </c>
      <c r="B6260" s="8" t="s">
        <v>10928</v>
      </c>
      <c r="C6260" s="8" t="s">
        <v>12636</v>
      </c>
      <c r="D6260" s="8" t="s">
        <v>12637</v>
      </c>
      <c r="E6260" s="13">
        <v>0</v>
      </c>
      <c r="F6260" s="14">
        <v>0</v>
      </c>
    </row>
    <row r="6261" spans="1:6" x14ac:dyDescent="0.3">
      <c r="A6261" s="8">
        <v>6259</v>
      </c>
      <c r="B6261" s="8" t="s">
        <v>10928</v>
      </c>
      <c r="C6261" s="8" t="s">
        <v>12638</v>
      </c>
      <c r="D6261" s="8" t="s">
        <v>12639</v>
      </c>
      <c r="E6261" s="13">
        <v>0</v>
      </c>
      <c r="F6261" s="14">
        <v>0</v>
      </c>
    </row>
    <row r="6262" spans="1:6" x14ac:dyDescent="0.3">
      <c r="A6262" s="8">
        <v>6260</v>
      </c>
      <c r="B6262" s="8" t="s">
        <v>10928</v>
      </c>
      <c r="C6262" s="8" t="s">
        <v>12640</v>
      </c>
      <c r="D6262" s="8" t="s">
        <v>12641</v>
      </c>
      <c r="E6262" s="13">
        <v>0</v>
      </c>
      <c r="F6262" s="14">
        <v>0</v>
      </c>
    </row>
    <row r="6263" spans="1:6" x14ac:dyDescent="0.3">
      <c r="A6263" s="8">
        <v>6261</v>
      </c>
      <c r="B6263" s="8" t="s">
        <v>10928</v>
      </c>
      <c r="C6263" s="8" t="s">
        <v>12642</v>
      </c>
      <c r="D6263" s="8" t="s">
        <v>12643</v>
      </c>
      <c r="E6263" s="13">
        <v>0</v>
      </c>
      <c r="F6263" s="14">
        <v>0</v>
      </c>
    </row>
    <row r="6264" spans="1:6" x14ac:dyDescent="0.3">
      <c r="A6264" s="8">
        <v>6262</v>
      </c>
      <c r="B6264" s="8" t="s">
        <v>4148</v>
      </c>
      <c r="C6264" s="8" t="s">
        <v>12644</v>
      </c>
      <c r="D6264" s="8" t="s">
        <v>12645</v>
      </c>
      <c r="E6264" s="13">
        <v>40200</v>
      </c>
      <c r="F6264" s="14">
        <v>80370</v>
      </c>
    </row>
    <row r="6265" spans="1:6" x14ac:dyDescent="0.3">
      <c r="A6265" s="8">
        <v>6263</v>
      </c>
      <c r="B6265" s="8" t="s">
        <v>4148</v>
      </c>
      <c r="C6265" s="8" t="s">
        <v>12646</v>
      </c>
      <c r="D6265" s="8" t="s">
        <v>12647</v>
      </c>
      <c r="E6265" s="13">
        <v>70100</v>
      </c>
      <c r="F6265" s="14">
        <v>139815</v>
      </c>
    </row>
    <row r="6266" spans="1:6" x14ac:dyDescent="0.3">
      <c r="A6266" s="8">
        <v>6264</v>
      </c>
      <c r="B6266" s="8" t="s">
        <v>4148</v>
      </c>
      <c r="C6266" s="8" t="s">
        <v>12648</v>
      </c>
      <c r="D6266" s="8" t="s">
        <v>12649</v>
      </c>
      <c r="E6266" s="13">
        <v>130000</v>
      </c>
      <c r="F6266" s="14">
        <v>260185</v>
      </c>
    </row>
    <row r="6267" spans="1:6" x14ac:dyDescent="0.3">
      <c r="A6267" s="8">
        <v>6265</v>
      </c>
      <c r="B6267" s="8" t="s">
        <v>4148</v>
      </c>
      <c r="C6267" s="8" t="s">
        <v>12650</v>
      </c>
      <c r="D6267" s="8" t="s">
        <v>12651</v>
      </c>
      <c r="E6267" s="13">
        <v>0</v>
      </c>
      <c r="F6267" s="14">
        <v>0</v>
      </c>
    </row>
    <row r="6268" spans="1:6" x14ac:dyDescent="0.3">
      <c r="A6268" s="8">
        <v>6266</v>
      </c>
      <c r="B6268" s="8" t="s">
        <v>4148</v>
      </c>
      <c r="C6268" s="8" t="s">
        <v>12652</v>
      </c>
      <c r="D6268" s="8" t="s">
        <v>12653</v>
      </c>
      <c r="E6268" s="13">
        <v>0</v>
      </c>
      <c r="F6268" s="14">
        <v>0</v>
      </c>
    </row>
    <row r="6269" spans="1:6" x14ac:dyDescent="0.3">
      <c r="A6269" s="8">
        <v>6267</v>
      </c>
      <c r="B6269" s="8" t="s">
        <v>4148</v>
      </c>
      <c r="C6269" s="8" t="s">
        <v>12654</v>
      </c>
      <c r="D6269" s="8" t="s">
        <v>12655</v>
      </c>
      <c r="E6269" s="13">
        <v>0</v>
      </c>
      <c r="F6269" s="14">
        <v>365741</v>
      </c>
    </row>
    <row r="6270" spans="1:6" x14ac:dyDescent="0.3">
      <c r="A6270" s="8">
        <v>6268</v>
      </c>
      <c r="B6270" s="8" t="s">
        <v>4148</v>
      </c>
      <c r="C6270" s="8" t="s">
        <v>12656</v>
      </c>
      <c r="D6270" s="8" t="s">
        <v>12657</v>
      </c>
      <c r="E6270" s="13">
        <v>0</v>
      </c>
      <c r="F6270" s="14">
        <v>166667</v>
      </c>
    </row>
    <row r="6271" spans="1:6" x14ac:dyDescent="0.3">
      <c r="A6271" s="8">
        <v>6269</v>
      </c>
      <c r="B6271" s="8" t="s">
        <v>4148</v>
      </c>
      <c r="C6271" s="8" t="s">
        <v>12658</v>
      </c>
      <c r="D6271" s="8" t="s">
        <v>12659</v>
      </c>
      <c r="E6271" s="13">
        <v>0</v>
      </c>
      <c r="F6271" s="14">
        <v>222222</v>
      </c>
    </row>
    <row r="6272" spans="1:6" x14ac:dyDescent="0.3">
      <c r="A6272" s="8">
        <v>6270</v>
      </c>
      <c r="B6272" s="8" t="s">
        <v>4148</v>
      </c>
      <c r="C6272" s="8" t="s">
        <v>12660</v>
      </c>
      <c r="D6272" s="8" t="s">
        <v>12661</v>
      </c>
      <c r="E6272" s="13">
        <v>0</v>
      </c>
      <c r="F6272" s="14">
        <v>0</v>
      </c>
    </row>
    <row r="6273" spans="1:6" x14ac:dyDescent="0.3">
      <c r="A6273" s="8">
        <v>6271</v>
      </c>
      <c r="B6273" s="8" t="s">
        <v>4148</v>
      </c>
      <c r="C6273" s="8" t="s">
        <v>12662</v>
      </c>
      <c r="D6273" s="8" t="s">
        <v>12663</v>
      </c>
      <c r="E6273" s="13">
        <v>0</v>
      </c>
      <c r="F6273" s="14">
        <v>0</v>
      </c>
    </row>
    <row r="6274" spans="1:6" x14ac:dyDescent="0.3">
      <c r="A6274" s="8">
        <v>6272</v>
      </c>
      <c r="B6274" s="8" t="s">
        <v>4148</v>
      </c>
      <c r="C6274" s="8" t="s">
        <v>12664</v>
      </c>
      <c r="D6274" s="8" t="s">
        <v>12665</v>
      </c>
      <c r="E6274" s="13">
        <v>0</v>
      </c>
      <c r="F6274" s="14">
        <v>0</v>
      </c>
    </row>
    <row r="6275" spans="1:6" x14ac:dyDescent="0.3">
      <c r="A6275" s="8">
        <v>6273</v>
      </c>
      <c r="B6275" s="8" t="s">
        <v>4148</v>
      </c>
      <c r="C6275" s="8" t="s">
        <v>12666</v>
      </c>
      <c r="D6275" s="8" t="s">
        <v>12667</v>
      </c>
      <c r="E6275" s="13">
        <v>0</v>
      </c>
      <c r="F6275" s="14">
        <v>0</v>
      </c>
    </row>
    <row r="6276" spans="1:6" x14ac:dyDescent="0.3">
      <c r="A6276" s="8">
        <v>6274</v>
      </c>
      <c r="B6276" s="8" t="s">
        <v>6022</v>
      </c>
      <c r="C6276" s="8" t="s">
        <v>12668</v>
      </c>
      <c r="D6276" s="8" t="s">
        <v>12669</v>
      </c>
      <c r="E6276" s="13">
        <v>0</v>
      </c>
      <c r="F6276" s="14">
        <v>0</v>
      </c>
    </row>
    <row r="6277" spans="1:6" x14ac:dyDescent="0.3">
      <c r="A6277" s="8">
        <v>6275</v>
      </c>
      <c r="B6277" s="8" t="s">
        <v>6022</v>
      </c>
      <c r="C6277" s="8" t="s">
        <v>12670</v>
      </c>
      <c r="D6277" s="8" t="s">
        <v>12671</v>
      </c>
      <c r="E6277" s="13">
        <v>141000</v>
      </c>
      <c r="F6277" s="14">
        <v>243000</v>
      </c>
    </row>
    <row r="6278" spans="1:6" x14ac:dyDescent="0.3">
      <c r="A6278" s="8">
        <v>6276</v>
      </c>
      <c r="B6278" s="8" t="s">
        <v>6022</v>
      </c>
      <c r="C6278" s="8" t="s">
        <v>12672</v>
      </c>
      <c r="D6278" s="8" t="s">
        <v>12673</v>
      </c>
      <c r="E6278" s="13">
        <v>0</v>
      </c>
      <c r="F6278" s="14">
        <v>0</v>
      </c>
    </row>
    <row r="6279" spans="1:6" x14ac:dyDescent="0.3">
      <c r="A6279" s="8">
        <v>6277</v>
      </c>
      <c r="B6279" s="8" t="s">
        <v>6029</v>
      </c>
      <c r="C6279" s="8" t="s">
        <v>12674</v>
      </c>
      <c r="D6279" s="8" t="s">
        <v>12675</v>
      </c>
      <c r="E6279" s="13">
        <v>95600</v>
      </c>
      <c r="F6279" s="14">
        <v>191000</v>
      </c>
    </row>
    <row r="6280" spans="1:6" x14ac:dyDescent="0.3">
      <c r="A6280" s="8">
        <v>6278</v>
      </c>
      <c r="B6280" s="8" t="s">
        <v>6029</v>
      </c>
      <c r="C6280" s="8" t="s">
        <v>12676</v>
      </c>
      <c r="D6280" s="8" t="s">
        <v>12677</v>
      </c>
      <c r="E6280" s="13">
        <v>183000</v>
      </c>
      <c r="F6280" s="14">
        <v>328000</v>
      </c>
    </row>
    <row r="6281" spans="1:6" x14ac:dyDescent="0.3">
      <c r="A6281" s="8">
        <v>6279</v>
      </c>
      <c r="B6281" s="8" t="s">
        <v>6029</v>
      </c>
      <c r="C6281" s="8" t="s">
        <v>12678</v>
      </c>
      <c r="D6281" s="8" t="s">
        <v>12679</v>
      </c>
      <c r="E6281" s="13">
        <v>0</v>
      </c>
      <c r="F6281" s="14">
        <v>0</v>
      </c>
    </row>
    <row r="6282" spans="1:6" x14ac:dyDescent="0.3">
      <c r="A6282" s="8">
        <v>6280</v>
      </c>
      <c r="B6282" s="8" t="s">
        <v>6022</v>
      </c>
      <c r="C6282" s="8" t="s">
        <v>12680</v>
      </c>
      <c r="D6282" s="8" t="s">
        <v>12681</v>
      </c>
      <c r="E6282" s="13">
        <v>220000</v>
      </c>
      <c r="F6282" s="14">
        <v>439815</v>
      </c>
    </row>
    <row r="6283" spans="1:6" x14ac:dyDescent="0.3">
      <c r="A6283" s="8">
        <v>6281</v>
      </c>
      <c r="B6283" s="8" t="s">
        <v>6029</v>
      </c>
      <c r="C6283" s="8" t="s">
        <v>12682</v>
      </c>
      <c r="D6283" s="8" t="s">
        <v>12683</v>
      </c>
      <c r="E6283" s="13">
        <v>142000</v>
      </c>
      <c r="F6283" s="14">
        <v>284259</v>
      </c>
    </row>
    <row r="6284" spans="1:6" x14ac:dyDescent="0.3">
      <c r="A6284" s="8">
        <v>6282</v>
      </c>
      <c r="B6284" s="8" t="s">
        <v>6022</v>
      </c>
      <c r="C6284" s="8" t="s">
        <v>12684</v>
      </c>
      <c r="D6284" s="8" t="s">
        <v>12685</v>
      </c>
      <c r="E6284" s="13">
        <v>0</v>
      </c>
      <c r="F6284" s="14">
        <v>0</v>
      </c>
    </row>
    <row r="6285" spans="1:6" x14ac:dyDescent="0.3">
      <c r="A6285" s="8">
        <v>6283</v>
      </c>
      <c r="B6285" s="8" t="s">
        <v>6022</v>
      </c>
      <c r="C6285" s="8" t="s">
        <v>12686</v>
      </c>
      <c r="D6285" s="8" t="s">
        <v>12687</v>
      </c>
      <c r="E6285" s="13">
        <v>0</v>
      </c>
      <c r="F6285" s="14">
        <v>0</v>
      </c>
    </row>
    <row r="6286" spans="1:6" x14ac:dyDescent="0.3">
      <c r="A6286" s="8">
        <v>6284</v>
      </c>
      <c r="B6286" s="8" t="s">
        <v>6029</v>
      </c>
      <c r="C6286" s="8" t="s">
        <v>12688</v>
      </c>
      <c r="D6286" s="8" t="s">
        <v>12689</v>
      </c>
      <c r="E6286" s="13">
        <v>0</v>
      </c>
      <c r="F6286" s="14">
        <v>0</v>
      </c>
    </row>
    <row r="6287" spans="1:6" x14ac:dyDescent="0.3">
      <c r="A6287" s="8">
        <v>6285</v>
      </c>
      <c r="B6287" s="8" t="s">
        <v>6029</v>
      </c>
      <c r="C6287" s="8" t="s">
        <v>12690</v>
      </c>
      <c r="D6287" s="8" t="s">
        <v>12691</v>
      </c>
      <c r="E6287" s="13">
        <v>0</v>
      </c>
      <c r="F6287" s="14">
        <v>0</v>
      </c>
    </row>
    <row r="6288" spans="1:6" x14ac:dyDescent="0.3">
      <c r="A6288" s="8">
        <v>6286</v>
      </c>
      <c r="B6288" s="8" t="s">
        <v>9478</v>
      </c>
      <c r="C6288" s="8" t="s">
        <v>12692</v>
      </c>
      <c r="D6288" s="8" t="s">
        <v>12693</v>
      </c>
      <c r="E6288" s="13">
        <v>0</v>
      </c>
      <c r="F6288" s="14">
        <v>0</v>
      </c>
    </row>
    <row r="6289" spans="1:6" x14ac:dyDescent="0.3">
      <c r="A6289" s="8">
        <v>6287</v>
      </c>
      <c r="B6289" s="8" t="s">
        <v>9478</v>
      </c>
      <c r="C6289" s="8" t="s">
        <v>12694</v>
      </c>
      <c r="D6289" s="8" t="s">
        <v>99</v>
      </c>
      <c r="E6289" s="13">
        <v>154000</v>
      </c>
      <c r="F6289" s="14">
        <v>308333</v>
      </c>
    </row>
    <row r="6290" spans="1:6" x14ac:dyDescent="0.3">
      <c r="A6290" s="8">
        <v>6288</v>
      </c>
      <c r="B6290" s="8" t="s">
        <v>9478</v>
      </c>
      <c r="C6290" s="8" t="s">
        <v>12695</v>
      </c>
      <c r="D6290" s="8" t="s">
        <v>104</v>
      </c>
      <c r="E6290" s="13">
        <v>46300</v>
      </c>
      <c r="F6290" s="14">
        <v>92593</v>
      </c>
    </row>
    <row r="6291" spans="1:6" x14ac:dyDescent="0.3">
      <c r="A6291" s="8">
        <v>6289</v>
      </c>
      <c r="B6291" s="8" t="s">
        <v>9478</v>
      </c>
      <c r="C6291" s="8" t="s">
        <v>12696</v>
      </c>
      <c r="D6291" s="8" t="s">
        <v>12697</v>
      </c>
      <c r="E6291" s="13">
        <v>0</v>
      </c>
      <c r="F6291" s="14">
        <v>0</v>
      </c>
    </row>
    <row r="6292" spans="1:6" x14ac:dyDescent="0.3">
      <c r="A6292" s="8">
        <v>6290</v>
      </c>
      <c r="B6292" s="8" t="s">
        <v>9478</v>
      </c>
      <c r="C6292" s="8" t="s">
        <v>12698</v>
      </c>
      <c r="D6292" s="8" t="s">
        <v>105</v>
      </c>
      <c r="E6292" s="13">
        <v>46300</v>
      </c>
      <c r="F6292" s="14">
        <v>92593</v>
      </c>
    </row>
    <row r="6293" spans="1:6" x14ac:dyDescent="0.3">
      <c r="A6293" s="8">
        <v>6291</v>
      </c>
      <c r="B6293" s="8" t="s">
        <v>9478</v>
      </c>
      <c r="C6293" s="8" t="s">
        <v>12699</v>
      </c>
      <c r="D6293" s="8" t="s">
        <v>12700</v>
      </c>
      <c r="E6293" s="13">
        <v>180000</v>
      </c>
      <c r="F6293" s="14">
        <v>360185</v>
      </c>
    </row>
    <row r="6294" spans="1:6" x14ac:dyDescent="0.3">
      <c r="A6294" s="8">
        <v>6292</v>
      </c>
      <c r="B6294" s="8" t="s">
        <v>9478</v>
      </c>
      <c r="C6294" s="8" t="s">
        <v>12701</v>
      </c>
      <c r="D6294" s="8" t="s">
        <v>12702</v>
      </c>
      <c r="E6294" s="13">
        <v>0</v>
      </c>
      <c r="F6294" s="14">
        <v>0</v>
      </c>
    </row>
    <row r="6295" spans="1:6" x14ac:dyDescent="0.3">
      <c r="A6295" s="8">
        <v>6293</v>
      </c>
      <c r="B6295" s="8" t="s">
        <v>9478</v>
      </c>
      <c r="C6295" s="8" t="s">
        <v>12703</v>
      </c>
      <c r="D6295" s="8" t="s">
        <v>12704</v>
      </c>
      <c r="E6295" s="13">
        <v>0</v>
      </c>
      <c r="F6295" s="14">
        <v>0</v>
      </c>
    </row>
    <row r="6296" spans="1:6" x14ac:dyDescent="0.3">
      <c r="A6296" s="8">
        <v>6294</v>
      </c>
      <c r="B6296" s="8" t="s">
        <v>9478</v>
      </c>
      <c r="C6296" s="8" t="s">
        <v>12705</v>
      </c>
      <c r="D6296" s="8" t="s">
        <v>12706</v>
      </c>
      <c r="E6296" s="13">
        <v>0</v>
      </c>
      <c r="F6296" s="14">
        <v>0</v>
      </c>
    </row>
    <row r="6297" spans="1:6" x14ac:dyDescent="0.3">
      <c r="A6297" s="8">
        <v>6295</v>
      </c>
      <c r="B6297" s="8" t="s">
        <v>9478</v>
      </c>
      <c r="C6297" s="8" t="s">
        <v>12707</v>
      </c>
      <c r="D6297" s="8" t="s">
        <v>12708</v>
      </c>
      <c r="E6297" s="13">
        <v>0</v>
      </c>
      <c r="F6297" s="14">
        <v>0</v>
      </c>
    </row>
    <row r="6298" spans="1:6" x14ac:dyDescent="0.3">
      <c r="A6298" s="8">
        <v>6296</v>
      </c>
      <c r="B6298" s="8" t="s">
        <v>9478</v>
      </c>
      <c r="C6298" s="8" t="s">
        <v>12709</v>
      </c>
      <c r="D6298" s="8" t="s">
        <v>123</v>
      </c>
      <c r="E6298" s="13">
        <v>98000</v>
      </c>
      <c r="F6298" s="14">
        <v>196296</v>
      </c>
    </row>
    <row r="6299" spans="1:6" x14ac:dyDescent="0.3">
      <c r="A6299" s="8">
        <v>6297</v>
      </c>
      <c r="B6299" s="8" t="s">
        <v>9478</v>
      </c>
      <c r="C6299" s="8" t="s">
        <v>12710</v>
      </c>
      <c r="D6299" s="8" t="s">
        <v>127</v>
      </c>
      <c r="E6299" s="13">
        <v>103000</v>
      </c>
      <c r="F6299" s="14">
        <v>205556</v>
      </c>
    </row>
    <row r="6300" spans="1:6" x14ac:dyDescent="0.3">
      <c r="A6300" s="8">
        <v>6298</v>
      </c>
      <c r="B6300" s="8" t="s">
        <v>10667</v>
      </c>
      <c r="C6300" s="8" t="s">
        <v>12711</v>
      </c>
      <c r="D6300" s="8" t="s">
        <v>12712</v>
      </c>
      <c r="E6300" s="13">
        <v>0</v>
      </c>
      <c r="F6300" s="14">
        <v>0</v>
      </c>
    </row>
    <row r="6301" spans="1:6" x14ac:dyDescent="0.3">
      <c r="A6301" s="8">
        <v>6299</v>
      </c>
      <c r="B6301" s="8" t="s">
        <v>10667</v>
      </c>
      <c r="C6301" s="8" t="s">
        <v>12713</v>
      </c>
      <c r="D6301" s="8" t="s">
        <v>12714</v>
      </c>
      <c r="E6301" s="13">
        <v>0</v>
      </c>
      <c r="F6301" s="14">
        <v>0</v>
      </c>
    </row>
    <row r="6302" spans="1:6" x14ac:dyDescent="0.3">
      <c r="A6302" s="8">
        <v>6300</v>
      </c>
      <c r="B6302" s="8" t="s">
        <v>10667</v>
      </c>
      <c r="C6302" s="8" t="s">
        <v>12715</v>
      </c>
      <c r="D6302" s="8" t="s">
        <v>12716</v>
      </c>
      <c r="E6302" s="13">
        <v>0</v>
      </c>
      <c r="F6302" s="14">
        <v>0</v>
      </c>
    </row>
    <row r="6303" spans="1:6" x14ac:dyDescent="0.3">
      <c r="A6303" s="8">
        <v>6301</v>
      </c>
      <c r="B6303" s="8" t="s">
        <v>10667</v>
      </c>
      <c r="C6303" s="8" t="s">
        <v>12717</v>
      </c>
      <c r="D6303" s="8" t="s">
        <v>12718</v>
      </c>
      <c r="E6303" s="13">
        <v>0</v>
      </c>
      <c r="F6303" s="14">
        <v>0</v>
      </c>
    </row>
    <row r="6304" spans="1:6" x14ac:dyDescent="0.3">
      <c r="A6304" s="8">
        <v>6302</v>
      </c>
      <c r="B6304" s="8" t="s">
        <v>10667</v>
      </c>
      <c r="C6304" s="8" t="s">
        <v>12719</v>
      </c>
      <c r="D6304" s="8" t="s">
        <v>12720</v>
      </c>
      <c r="E6304" s="13">
        <v>0</v>
      </c>
      <c r="F6304" s="14">
        <v>0</v>
      </c>
    </row>
    <row r="6305" spans="1:6" x14ac:dyDescent="0.3">
      <c r="A6305" s="8">
        <v>6303</v>
      </c>
      <c r="B6305" s="8" t="s">
        <v>10667</v>
      </c>
      <c r="C6305" s="8" t="s">
        <v>12721</v>
      </c>
      <c r="D6305" s="8" t="s">
        <v>12722</v>
      </c>
      <c r="E6305" s="13">
        <v>0</v>
      </c>
      <c r="F6305" s="14">
        <v>0</v>
      </c>
    </row>
    <row r="6306" spans="1:6" x14ac:dyDescent="0.3">
      <c r="A6306" s="8">
        <v>6304</v>
      </c>
      <c r="B6306" s="8" t="s">
        <v>10667</v>
      </c>
      <c r="C6306" s="8" t="s">
        <v>12723</v>
      </c>
      <c r="D6306" s="8" t="s">
        <v>11</v>
      </c>
      <c r="E6306" s="13">
        <v>68600</v>
      </c>
      <c r="F6306" s="14">
        <v>137037</v>
      </c>
    </row>
    <row r="6307" spans="1:6" x14ac:dyDescent="0.3">
      <c r="A6307" s="8">
        <v>6305</v>
      </c>
      <c r="B6307" s="8" t="s">
        <v>10667</v>
      </c>
      <c r="C6307" s="8" t="s">
        <v>12724</v>
      </c>
      <c r="D6307" s="8" t="s">
        <v>12725</v>
      </c>
      <c r="E6307" s="13">
        <v>0</v>
      </c>
      <c r="F6307" s="14">
        <v>0</v>
      </c>
    </row>
    <row r="6308" spans="1:6" x14ac:dyDescent="0.3">
      <c r="A6308" s="8">
        <v>6306</v>
      </c>
      <c r="B6308" s="8" t="s">
        <v>10667</v>
      </c>
      <c r="C6308" s="8" t="s">
        <v>12726</v>
      </c>
      <c r="D6308" s="8" t="s">
        <v>12727</v>
      </c>
      <c r="E6308" s="13">
        <v>0</v>
      </c>
      <c r="F6308" s="14">
        <v>0</v>
      </c>
    </row>
    <row r="6309" spans="1:6" x14ac:dyDescent="0.3">
      <c r="A6309" s="8">
        <v>6307</v>
      </c>
      <c r="B6309" s="8" t="s">
        <v>10667</v>
      </c>
      <c r="C6309" s="8" t="s">
        <v>12728</v>
      </c>
      <c r="D6309" s="8" t="s">
        <v>12729</v>
      </c>
      <c r="E6309" s="13">
        <v>0</v>
      </c>
      <c r="F6309" s="14">
        <v>0</v>
      </c>
    </row>
    <row r="6310" spans="1:6" x14ac:dyDescent="0.3">
      <c r="A6310" s="8">
        <v>6308</v>
      </c>
      <c r="B6310" s="8" t="s">
        <v>10667</v>
      </c>
      <c r="C6310" s="8" t="s">
        <v>12730</v>
      </c>
      <c r="D6310" s="8" t="s">
        <v>12731</v>
      </c>
      <c r="E6310" s="13">
        <v>0</v>
      </c>
      <c r="F6310" s="14">
        <v>0</v>
      </c>
    </row>
    <row r="6311" spans="1:6" x14ac:dyDescent="0.3">
      <c r="A6311" s="8">
        <v>6309</v>
      </c>
      <c r="B6311" s="8" t="s">
        <v>10667</v>
      </c>
      <c r="C6311" s="8" t="s">
        <v>12732</v>
      </c>
      <c r="D6311" s="8" t="s">
        <v>12733</v>
      </c>
      <c r="E6311" s="13">
        <v>0</v>
      </c>
      <c r="F6311" s="14">
        <v>0</v>
      </c>
    </row>
    <row r="6312" spans="1:6" x14ac:dyDescent="0.3">
      <c r="A6312" s="8">
        <v>6310</v>
      </c>
      <c r="B6312" s="8" t="s">
        <v>10667</v>
      </c>
      <c r="C6312" s="8" t="s">
        <v>12734</v>
      </c>
      <c r="D6312" s="8" t="s">
        <v>12735</v>
      </c>
      <c r="E6312" s="13">
        <v>0</v>
      </c>
      <c r="F6312" s="14">
        <v>0</v>
      </c>
    </row>
    <row r="6313" spans="1:6" x14ac:dyDescent="0.3">
      <c r="A6313" s="8">
        <v>6311</v>
      </c>
      <c r="B6313" s="8" t="s">
        <v>10667</v>
      </c>
      <c r="C6313" s="8" t="s">
        <v>12736</v>
      </c>
      <c r="D6313" s="8" t="s">
        <v>12737</v>
      </c>
      <c r="E6313" s="13">
        <v>0</v>
      </c>
      <c r="F6313" s="14">
        <v>0</v>
      </c>
    </row>
    <row r="6314" spans="1:6" x14ac:dyDescent="0.3">
      <c r="A6314" s="8">
        <v>6312</v>
      </c>
      <c r="B6314" s="8" t="s">
        <v>10684</v>
      </c>
      <c r="C6314" s="8" t="s">
        <v>12738</v>
      </c>
      <c r="D6314" s="8" t="s">
        <v>12739</v>
      </c>
      <c r="E6314" s="13">
        <v>0</v>
      </c>
      <c r="F6314" s="14">
        <v>0</v>
      </c>
    </row>
    <row r="6315" spans="1:6" x14ac:dyDescent="0.3">
      <c r="A6315" s="8">
        <v>6313</v>
      </c>
      <c r="B6315" s="8" t="s">
        <v>10684</v>
      </c>
      <c r="C6315" s="8" t="s">
        <v>12740</v>
      </c>
      <c r="D6315" s="8" t="s">
        <v>12741</v>
      </c>
      <c r="E6315" s="13">
        <v>0</v>
      </c>
      <c r="F6315" s="14">
        <v>0</v>
      </c>
    </row>
    <row r="6316" spans="1:6" x14ac:dyDescent="0.3">
      <c r="A6316" s="8">
        <v>6314</v>
      </c>
      <c r="B6316" s="8" t="s">
        <v>10684</v>
      </c>
      <c r="C6316" s="8" t="s">
        <v>12742</v>
      </c>
      <c r="D6316" s="8" t="s">
        <v>12743</v>
      </c>
      <c r="E6316" s="13">
        <v>0</v>
      </c>
      <c r="F6316" s="14">
        <v>0</v>
      </c>
    </row>
    <row r="6317" spans="1:6" x14ac:dyDescent="0.3">
      <c r="A6317" s="8">
        <v>6315</v>
      </c>
      <c r="B6317" s="8" t="s">
        <v>10684</v>
      </c>
      <c r="C6317" s="8" t="s">
        <v>12744</v>
      </c>
      <c r="D6317" s="8" t="s">
        <v>12745</v>
      </c>
      <c r="E6317" s="13">
        <v>0</v>
      </c>
      <c r="F6317" s="14">
        <v>0</v>
      </c>
    </row>
    <row r="6318" spans="1:6" x14ac:dyDescent="0.3">
      <c r="A6318" s="8">
        <v>6316</v>
      </c>
      <c r="B6318" s="8" t="s">
        <v>9478</v>
      </c>
      <c r="C6318" s="8" t="s">
        <v>12746</v>
      </c>
      <c r="D6318" s="8" t="s">
        <v>75</v>
      </c>
      <c r="E6318" s="13">
        <v>195000</v>
      </c>
      <c r="F6318" s="14">
        <v>389815</v>
      </c>
    </row>
    <row r="6319" spans="1:6" x14ac:dyDescent="0.3">
      <c r="A6319" s="8">
        <v>6317</v>
      </c>
      <c r="B6319" s="8" t="s">
        <v>9478</v>
      </c>
      <c r="C6319" s="8" t="s">
        <v>12747</v>
      </c>
      <c r="D6319" s="8" t="s">
        <v>83</v>
      </c>
      <c r="E6319" s="13">
        <v>102000</v>
      </c>
      <c r="F6319" s="14">
        <v>203704</v>
      </c>
    </row>
    <row r="6320" spans="1:6" x14ac:dyDescent="0.3">
      <c r="A6320" s="8">
        <v>6318</v>
      </c>
      <c r="B6320" s="8" t="s">
        <v>9478</v>
      </c>
      <c r="C6320" s="8" t="s">
        <v>12748</v>
      </c>
      <c r="D6320" s="8" t="s">
        <v>12749</v>
      </c>
      <c r="E6320" s="13">
        <v>0</v>
      </c>
      <c r="F6320" s="14">
        <v>0</v>
      </c>
    </row>
    <row r="6321" spans="1:6" x14ac:dyDescent="0.3">
      <c r="A6321" s="8">
        <v>6319</v>
      </c>
      <c r="B6321" s="8" t="s">
        <v>9478</v>
      </c>
      <c r="C6321" s="8" t="s">
        <v>12750</v>
      </c>
      <c r="D6321" s="8" t="s">
        <v>12751</v>
      </c>
      <c r="E6321" s="13">
        <v>0</v>
      </c>
      <c r="F6321" s="14">
        <v>0</v>
      </c>
    </row>
    <row r="6322" spans="1:6" x14ac:dyDescent="0.3">
      <c r="A6322" s="8">
        <v>6320</v>
      </c>
      <c r="B6322" s="8" t="s">
        <v>9478</v>
      </c>
      <c r="C6322" s="8" t="s">
        <v>12752</v>
      </c>
      <c r="D6322" s="8" t="s">
        <v>96</v>
      </c>
      <c r="E6322" s="13">
        <v>345000</v>
      </c>
      <c r="F6322" s="14">
        <v>690741</v>
      </c>
    </row>
    <row r="6323" spans="1:6" x14ac:dyDescent="0.3">
      <c r="A6323" s="8">
        <v>6321</v>
      </c>
      <c r="B6323" s="8" t="s">
        <v>9478</v>
      </c>
      <c r="C6323" s="8" t="s">
        <v>12753</v>
      </c>
      <c r="D6323" s="8" t="s">
        <v>92</v>
      </c>
      <c r="E6323" s="13">
        <v>45300</v>
      </c>
      <c r="F6323" s="14">
        <v>90556</v>
      </c>
    </row>
    <row r="6324" spans="1:6" x14ac:dyDescent="0.3">
      <c r="A6324" s="8">
        <v>6322</v>
      </c>
      <c r="B6324" s="8" t="s">
        <v>9478</v>
      </c>
      <c r="C6324" s="8" t="s">
        <v>12754</v>
      </c>
      <c r="D6324" s="8" t="s">
        <v>12755</v>
      </c>
      <c r="E6324" s="13">
        <v>0</v>
      </c>
      <c r="F6324" s="14">
        <v>0</v>
      </c>
    </row>
    <row r="6325" spans="1:6" x14ac:dyDescent="0.3">
      <c r="A6325" s="8">
        <v>6323</v>
      </c>
      <c r="B6325" s="8" t="s">
        <v>9478</v>
      </c>
      <c r="C6325" s="8" t="s">
        <v>12756</v>
      </c>
      <c r="D6325" s="8" t="s">
        <v>98</v>
      </c>
      <c r="E6325" s="13">
        <v>320000</v>
      </c>
      <c r="F6325" s="14">
        <v>639815</v>
      </c>
    </row>
    <row r="6326" spans="1:6" x14ac:dyDescent="0.3">
      <c r="A6326" s="8">
        <v>6324</v>
      </c>
      <c r="B6326" s="8" t="s">
        <v>9478</v>
      </c>
      <c r="C6326" s="8" t="s">
        <v>12757</v>
      </c>
      <c r="D6326" s="8" t="s">
        <v>12758</v>
      </c>
      <c r="E6326" s="13">
        <v>0</v>
      </c>
      <c r="F6326" s="14">
        <v>0</v>
      </c>
    </row>
    <row r="6327" spans="1:6" x14ac:dyDescent="0.3">
      <c r="A6327" s="8">
        <v>6325</v>
      </c>
      <c r="B6327" s="8" t="s">
        <v>9478</v>
      </c>
      <c r="C6327" s="8" t="s">
        <v>12759</v>
      </c>
      <c r="D6327" s="8" t="s">
        <v>12760</v>
      </c>
      <c r="E6327" s="13">
        <v>0</v>
      </c>
      <c r="F6327" s="14">
        <v>0</v>
      </c>
    </row>
    <row r="6328" spans="1:6" x14ac:dyDescent="0.3">
      <c r="A6328" s="8">
        <v>6326</v>
      </c>
      <c r="B6328" s="8" t="s">
        <v>9478</v>
      </c>
      <c r="C6328" s="8" t="s">
        <v>12761</v>
      </c>
      <c r="D6328" s="8" t="s">
        <v>12762</v>
      </c>
      <c r="E6328" s="13">
        <v>0</v>
      </c>
      <c r="F6328" s="14">
        <v>0</v>
      </c>
    </row>
    <row r="6329" spans="1:6" x14ac:dyDescent="0.3">
      <c r="A6329" s="8">
        <v>6327</v>
      </c>
      <c r="B6329" s="8" t="s">
        <v>9478</v>
      </c>
      <c r="C6329" s="8" t="s">
        <v>12763</v>
      </c>
      <c r="D6329" s="8" t="s">
        <v>12764</v>
      </c>
      <c r="E6329" s="13">
        <v>0</v>
      </c>
      <c r="F6329" s="14">
        <v>0</v>
      </c>
    </row>
    <row r="6330" spans="1:6" x14ac:dyDescent="0.3">
      <c r="A6330" s="8">
        <v>6328</v>
      </c>
      <c r="B6330" s="8" t="s">
        <v>9478</v>
      </c>
      <c r="C6330" s="8" t="s">
        <v>12765</v>
      </c>
      <c r="D6330" s="8" t="s">
        <v>118</v>
      </c>
      <c r="E6330" s="13">
        <v>480000</v>
      </c>
      <c r="F6330" s="14">
        <v>960185</v>
      </c>
    </row>
    <row r="6331" spans="1:6" x14ac:dyDescent="0.3">
      <c r="A6331" s="8">
        <v>6329</v>
      </c>
      <c r="B6331" s="8" t="s">
        <v>9478</v>
      </c>
      <c r="C6331" s="8" t="s">
        <v>12766</v>
      </c>
      <c r="D6331" s="8" t="s">
        <v>12767</v>
      </c>
      <c r="E6331" s="13">
        <v>0</v>
      </c>
      <c r="F6331" s="14">
        <v>0</v>
      </c>
    </row>
    <row r="6332" spans="1:6" x14ac:dyDescent="0.3">
      <c r="A6332" s="8">
        <v>6330</v>
      </c>
      <c r="B6332" s="8" t="s">
        <v>9478</v>
      </c>
      <c r="C6332" s="8" t="s">
        <v>12768</v>
      </c>
      <c r="D6332" s="8" t="s">
        <v>12769</v>
      </c>
      <c r="E6332" s="13">
        <v>0</v>
      </c>
      <c r="F6332" s="14">
        <v>0</v>
      </c>
    </row>
    <row r="6333" spans="1:6" x14ac:dyDescent="0.3">
      <c r="A6333" s="8">
        <v>6331</v>
      </c>
      <c r="B6333" s="8" t="s">
        <v>9478</v>
      </c>
      <c r="C6333" s="8" t="s">
        <v>12770</v>
      </c>
      <c r="D6333" s="8" t="s">
        <v>12771</v>
      </c>
      <c r="E6333" s="13">
        <v>0</v>
      </c>
      <c r="F6333" s="14">
        <v>0</v>
      </c>
    </row>
    <row r="6334" spans="1:6" x14ac:dyDescent="0.3">
      <c r="A6334" s="8">
        <v>6332</v>
      </c>
      <c r="B6334" s="8" t="s">
        <v>9478</v>
      </c>
      <c r="C6334" s="8" t="s">
        <v>12772</v>
      </c>
      <c r="D6334" s="8" t="s">
        <v>103</v>
      </c>
      <c r="E6334" s="13">
        <v>0</v>
      </c>
      <c r="F6334" s="14">
        <v>336111</v>
      </c>
    </row>
    <row r="6335" spans="1:6" x14ac:dyDescent="0.3">
      <c r="A6335" s="8">
        <v>6333</v>
      </c>
      <c r="B6335" s="8" t="s">
        <v>9478</v>
      </c>
      <c r="C6335" s="8" t="s">
        <v>12773</v>
      </c>
      <c r="D6335" s="8" t="s">
        <v>12774</v>
      </c>
      <c r="E6335" s="13">
        <v>0</v>
      </c>
      <c r="F6335" s="14">
        <v>0</v>
      </c>
    </row>
    <row r="6336" spans="1:6" x14ac:dyDescent="0.3">
      <c r="A6336" s="8">
        <v>6334</v>
      </c>
      <c r="B6336" s="8" t="s">
        <v>9478</v>
      </c>
      <c r="C6336" s="8" t="s">
        <v>12775</v>
      </c>
      <c r="D6336" s="8" t="s">
        <v>12776</v>
      </c>
      <c r="E6336" s="13">
        <v>0</v>
      </c>
      <c r="F6336" s="14">
        <v>0</v>
      </c>
    </row>
    <row r="6337" spans="1:6" x14ac:dyDescent="0.3">
      <c r="A6337" s="8">
        <v>6335</v>
      </c>
      <c r="B6337" s="8" t="s">
        <v>9478</v>
      </c>
      <c r="C6337" s="8" t="s">
        <v>12777</v>
      </c>
      <c r="D6337" s="8" t="s">
        <v>12778</v>
      </c>
      <c r="E6337" s="13">
        <v>0</v>
      </c>
      <c r="F6337" s="14">
        <v>0</v>
      </c>
    </row>
    <row r="6338" spans="1:6" x14ac:dyDescent="0.3">
      <c r="A6338" s="8">
        <v>6336</v>
      </c>
      <c r="B6338" s="8" t="s">
        <v>9478</v>
      </c>
      <c r="C6338" s="8" t="s">
        <v>12779</v>
      </c>
      <c r="D6338" s="8" t="s">
        <v>12780</v>
      </c>
      <c r="E6338" s="13">
        <v>0</v>
      </c>
      <c r="F6338" s="14">
        <v>0</v>
      </c>
    </row>
    <row r="6339" spans="1:6" x14ac:dyDescent="0.3">
      <c r="A6339" s="8">
        <v>6337</v>
      </c>
      <c r="B6339" s="8" t="s">
        <v>9478</v>
      </c>
      <c r="C6339" s="8" t="s">
        <v>12781</v>
      </c>
      <c r="D6339" s="8" t="s">
        <v>12782</v>
      </c>
      <c r="E6339" s="13">
        <v>0</v>
      </c>
      <c r="F6339" s="14">
        <v>0</v>
      </c>
    </row>
    <row r="6340" spans="1:6" x14ac:dyDescent="0.3">
      <c r="A6340" s="8">
        <v>6338</v>
      </c>
      <c r="B6340" s="8" t="s">
        <v>10667</v>
      </c>
      <c r="C6340" s="8" t="s">
        <v>12783</v>
      </c>
      <c r="D6340" s="8" t="s">
        <v>12784</v>
      </c>
      <c r="E6340" s="13">
        <v>0</v>
      </c>
      <c r="F6340" s="14">
        <v>0</v>
      </c>
    </row>
    <row r="6341" spans="1:6" x14ac:dyDescent="0.3">
      <c r="A6341" s="8">
        <v>6339</v>
      </c>
      <c r="B6341" s="8" t="s">
        <v>10667</v>
      </c>
      <c r="C6341" s="8" t="s">
        <v>12785</v>
      </c>
      <c r="D6341" s="8" t="s">
        <v>12786</v>
      </c>
      <c r="E6341" s="13">
        <v>0</v>
      </c>
      <c r="F6341" s="14">
        <v>0</v>
      </c>
    </row>
    <row r="6342" spans="1:6" x14ac:dyDescent="0.3">
      <c r="A6342" s="8">
        <v>6340</v>
      </c>
      <c r="B6342" s="8" t="s">
        <v>10667</v>
      </c>
      <c r="C6342" s="8" t="s">
        <v>12787</v>
      </c>
      <c r="D6342" s="8" t="s">
        <v>12788</v>
      </c>
      <c r="E6342" s="13">
        <v>0</v>
      </c>
      <c r="F6342" s="14">
        <v>0</v>
      </c>
    </row>
    <row r="6343" spans="1:6" x14ac:dyDescent="0.3">
      <c r="A6343" s="8">
        <v>6341</v>
      </c>
      <c r="B6343" s="8" t="s">
        <v>10667</v>
      </c>
      <c r="C6343" s="8" t="s">
        <v>12789</v>
      </c>
      <c r="D6343" s="8" t="s">
        <v>12790</v>
      </c>
      <c r="E6343" s="13">
        <v>0</v>
      </c>
      <c r="F6343" s="14">
        <v>0</v>
      </c>
    </row>
    <row r="6344" spans="1:6" x14ac:dyDescent="0.3">
      <c r="A6344" s="8">
        <v>6342</v>
      </c>
      <c r="B6344" s="8" t="s">
        <v>10667</v>
      </c>
      <c r="C6344" s="8" t="s">
        <v>12791</v>
      </c>
      <c r="D6344" s="8" t="s">
        <v>12792</v>
      </c>
      <c r="E6344" s="13">
        <v>0</v>
      </c>
      <c r="F6344" s="14">
        <v>0</v>
      </c>
    </row>
    <row r="6345" spans="1:6" x14ac:dyDescent="0.3">
      <c r="A6345" s="8">
        <v>6343</v>
      </c>
      <c r="B6345" s="8" t="s">
        <v>10667</v>
      </c>
      <c r="C6345" s="8" t="s">
        <v>12793</v>
      </c>
      <c r="D6345" s="8" t="s">
        <v>12794</v>
      </c>
      <c r="E6345" s="13">
        <v>0</v>
      </c>
      <c r="F6345" s="14">
        <v>0</v>
      </c>
    </row>
    <row r="6346" spans="1:6" x14ac:dyDescent="0.3">
      <c r="A6346" s="8">
        <v>6344</v>
      </c>
      <c r="B6346" s="8" t="s">
        <v>10667</v>
      </c>
      <c r="C6346" s="8" t="s">
        <v>12795</v>
      </c>
      <c r="D6346" s="8" t="s">
        <v>12796</v>
      </c>
      <c r="E6346" s="13">
        <v>0</v>
      </c>
      <c r="F6346" s="14">
        <v>0</v>
      </c>
    </row>
    <row r="6347" spans="1:6" x14ac:dyDescent="0.3">
      <c r="A6347" s="8">
        <v>6345</v>
      </c>
      <c r="B6347" s="8" t="s">
        <v>10667</v>
      </c>
      <c r="C6347" s="8" t="s">
        <v>12797</v>
      </c>
      <c r="D6347" s="8" t="s">
        <v>12798</v>
      </c>
      <c r="E6347" s="13">
        <v>0</v>
      </c>
      <c r="F6347" s="14">
        <v>0</v>
      </c>
    </row>
    <row r="6348" spans="1:6" x14ac:dyDescent="0.3">
      <c r="A6348" s="8">
        <v>6346</v>
      </c>
      <c r="B6348" s="8" t="s">
        <v>10684</v>
      </c>
      <c r="C6348" s="8" t="s">
        <v>12799</v>
      </c>
      <c r="D6348" s="8" t="s">
        <v>12800</v>
      </c>
      <c r="E6348" s="13">
        <v>0</v>
      </c>
      <c r="F6348" s="14">
        <v>0</v>
      </c>
    </row>
    <row r="6349" spans="1:6" x14ac:dyDescent="0.3">
      <c r="A6349" s="8">
        <v>6347</v>
      </c>
      <c r="B6349" s="8" t="s">
        <v>9478</v>
      </c>
      <c r="C6349" s="8" t="s">
        <v>12801</v>
      </c>
      <c r="D6349" s="8" t="s">
        <v>12802</v>
      </c>
      <c r="E6349" s="13">
        <v>0</v>
      </c>
      <c r="F6349" s="14">
        <v>0</v>
      </c>
    </row>
    <row r="6350" spans="1:6" x14ac:dyDescent="0.3">
      <c r="A6350" s="8">
        <v>6348</v>
      </c>
      <c r="B6350" s="8" t="s">
        <v>9478</v>
      </c>
      <c r="C6350" s="8" t="s">
        <v>12803</v>
      </c>
      <c r="D6350" s="8" t="s">
        <v>12804</v>
      </c>
      <c r="E6350" s="13">
        <v>0</v>
      </c>
      <c r="F6350" s="14">
        <v>0</v>
      </c>
    </row>
    <row r="6351" spans="1:6" x14ac:dyDescent="0.3">
      <c r="A6351" s="8">
        <v>6349</v>
      </c>
      <c r="B6351" s="8" t="s">
        <v>9478</v>
      </c>
      <c r="C6351" s="8" t="s">
        <v>12805</v>
      </c>
      <c r="D6351" s="8" t="s">
        <v>76</v>
      </c>
      <c r="E6351" s="13">
        <v>125000</v>
      </c>
      <c r="F6351" s="14">
        <v>250000</v>
      </c>
    </row>
    <row r="6352" spans="1:6" x14ac:dyDescent="0.3">
      <c r="A6352" s="8">
        <v>6350</v>
      </c>
      <c r="B6352" s="8" t="s">
        <v>9478</v>
      </c>
      <c r="C6352" s="8" t="s">
        <v>12806</v>
      </c>
      <c r="D6352" s="8" t="s">
        <v>12807</v>
      </c>
      <c r="E6352" s="13">
        <v>0</v>
      </c>
      <c r="F6352" s="14">
        <v>0</v>
      </c>
    </row>
    <row r="6353" spans="1:6" x14ac:dyDescent="0.3">
      <c r="A6353" s="8">
        <v>6351</v>
      </c>
      <c r="B6353" s="8" t="s">
        <v>9478</v>
      </c>
      <c r="C6353" s="8" t="s">
        <v>12808</v>
      </c>
      <c r="D6353" s="8" t="s">
        <v>12809</v>
      </c>
      <c r="E6353" s="13">
        <v>0</v>
      </c>
      <c r="F6353" s="14">
        <v>0</v>
      </c>
    </row>
    <row r="6354" spans="1:6" x14ac:dyDescent="0.3">
      <c r="A6354" s="8">
        <v>6352</v>
      </c>
      <c r="B6354" s="8" t="s">
        <v>9478</v>
      </c>
      <c r="C6354" s="8" t="s">
        <v>12810</v>
      </c>
      <c r="D6354" s="8" t="s">
        <v>90</v>
      </c>
      <c r="E6354" s="13">
        <v>130000</v>
      </c>
      <c r="F6354" s="14">
        <v>260185</v>
      </c>
    </row>
    <row r="6355" spans="1:6" x14ac:dyDescent="0.3">
      <c r="A6355" s="8">
        <v>6353</v>
      </c>
      <c r="B6355" s="8" t="s">
        <v>9478</v>
      </c>
      <c r="C6355" s="8" t="s">
        <v>12811</v>
      </c>
      <c r="D6355" s="8" t="s">
        <v>12812</v>
      </c>
      <c r="E6355" s="13">
        <v>0</v>
      </c>
      <c r="F6355" s="14">
        <v>0</v>
      </c>
    </row>
    <row r="6356" spans="1:6" x14ac:dyDescent="0.3">
      <c r="A6356" s="8">
        <v>6354</v>
      </c>
      <c r="B6356" s="8" t="s">
        <v>9478</v>
      </c>
      <c r="C6356" s="8" t="s">
        <v>12813</v>
      </c>
      <c r="D6356" s="8" t="s">
        <v>12814</v>
      </c>
      <c r="E6356" s="13">
        <v>0</v>
      </c>
      <c r="F6356" s="14">
        <v>0</v>
      </c>
    </row>
    <row r="6357" spans="1:6" x14ac:dyDescent="0.3">
      <c r="A6357" s="8">
        <v>6355</v>
      </c>
      <c r="B6357" s="8" t="s">
        <v>9478</v>
      </c>
      <c r="C6357" s="8" t="s">
        <v>12815</v>
      </c>
      <c r="D6357" s="8" t="s">
        <v>12816</v>
      </c>
      <c r="E6357" s="13">
        <v>0</v>
      </c>
      <c r="F6357" s="14">
        <v>0</v>
      </c>
    </row>
    <row r="6358" spans="1:6" x14ac:dyDescent="0.3">
      <c r="A6358" s="8">
        <v>6356</v>
      </c>
      <c r="B6358" s="8" t="s">
        <v>9478</v>
      </c>
      <c r="C6358" s="8" t="s">
        <v>12817</v>
      </c>
      <c r="D6358" s="8" t="s">
        <v>12818</v>
      </c>
      <c r="E6358" s="13">
        <v>0</v>
      </c>
      <c r="F6358" s="14">
        <v>0</v>
      </c>
    </row>
    <row r="6359" spans="1:6" x14ac:dyDescent="0.3">
      <c r="A6359" s="8">
        <v>6357</v>
      </c>
      <c r="B6359" s="8" t="s">
        <v>9478</v>
      </c>
      <c r="C6359" s="8" t="s">
        <v>12819</v>
      </c>
      <c r="D6359" s="8" t="s">
        <v>43</v>
      </c>
      <c r="E6359" s="13">
        <v>205000</v>
      </c>
      <c r="F6359" s="14">
        <v>410185</v>
      </c>
    </row>
    <row r="6360" spans="1:6" x14ac:dyDescent="0.3">
      <c r="A6360" s="8">
        <v>6358</v>
      </c>
      <c r="B6360" s="8" t="s">
        <v>9478</v>
      </c>
      <c r="C6360" s="8" t="s">
        <v>12820</v>
      </c>
      <c r="D6360" s="8" t="s">
        <v>12821</v>
      </c>
      <c r="E6360" s="13">
        <v>0</v>
      </c>
      <c r="F6360" s="14">
        <v>0</v>
      </c>
    </row>
    <row r="6361" spans="1:6" x14ac:dyDescent="0.3">
      <c r="A6361" s="8">
        <v>6359</v>
      </c>
      <c r="B6361" s="8" t="s">
        <v>9478</v>
      </c>
      <c r="C6361" s="8" t="s">
        <v>12822</v>
      </c>
      <c r="D6361" s="8" t="s">
        <v>12823</v>
      </c>
      <c r="E6361" s="13">
        <v>0</v>
      </c>
      <c r="F6361" s="14">
        <v>0</v>
      </c>
    </row>
    <row r="6362" spans="1:6" x14ac:dyDescent="0.3">
      <c r="A6362" s="8">
        <v>6360</v>
      </c>
      <c r="B6362" s="8" t="s">
        <v>9478</v>
      </c>
      <c r="C6362" s="8" t="s">
        <v>12824</v>
      </c>
      <c r="D6362" s="8" t="s">
        <v>12825</v>
      </c>
      <c r="E6362" s="13">
        <v>139000</v>
      </c>
      <c r="F6362" s="14">
        <v>278182</v>
      </c>
    </row>
    <row r="6363" spans="1:6" x14ac:dyDescent="0.3">
      <c r="A6363" s="8">
        <v>6361</v>
      </c>
      <c r="B6363" s="8" t="s">
        <v>9478</v>
      </c>
      <c r="C6363" s="8" t="s">
        <v>12826</v>
      </c>
      <c r="D6363" s="8" t="s">
        <v>12827</v>
      </c>
      <c r="E6363" s="13">
        <v>0</v>
      </c>
      <c r="F6363" s="14">
        <v>0</v>
      </c>
    </row>
    <row r="6364" spans="1:6" x14ac:dyDescent="0.3">
      <c r="A6364" s="8">
        <v>6362</v>
      </c>
      <c r="B6364" s="8" t="s">
        <v>10667</v>
      </c>
      <c r="C6364" s="8" t="s">
        <v>12828</v>
      </c>
      <c r="D6364" s="8" t="s">
        <v>12829</v>
      </c>
      <c r="E6364" s="13">
        <v>0</v>
      </c>
      <c r="F6364" s="14">
        <v>0</v>
      </c>
    </row>
    <row r="6365" spans="1:6" x14ac:dyDescent="0.3">
      <c r="A6365" s="8">
        <v>6363</v>
      </c>
      <c r="B6365" s="8" t="s">
        <v>10667</v>
      </c>
      <c r="C6365" s="8" t="s">
        <v>12830</v>
      </c>
      <c r="D6365" s="8" t="s">
        <v>12831</v>
      </c>
      <c r="E6365" s="13">
        <v>0</v>
      </c>
      <c r="F6365" s="14">
        <v>0</v>
      </c>
    </row>
    <row r="6366" spans="1:6" x14ac:dyDescent="0.3">
      <c r="A6366" s="8">
        <v>6364</v>
      </c>
      <c r="B6366" s="8" t="s">
        <v>10667</v>
      </c>
      <c r="C6366" s="8" t="s">
        <v>12832</v>
      </c>
      <c r="D6366" s="8" t="s">
        <v>12833</v>
      </c>
      <c r="E6366" s="13">
        <v>0</v>
      </c>
      <c r="F6366" s="14">
        <v>0</v>
      </c>
    </row>
    <row r="6367" spans="1:6" x14ac:dyDescent="0.3">
      <c r="A6367" s="8">
        <v>6365</v>
      </c>
      <c r="B6367" s="8" t="s">
        <v>10667</v>
      </c>
      <c r="C6367" s="8" t="s">
        <v>12834</v>
      </c>
      <c r="D6367" s="8" t="s">
        <v>12835</v>
      </c>
      <c r="E6367" s="13">
        <v>0</v>
      </c>
      <c r="F6367" s="14">
        <v>0</v>
      </c>
    </row>
    <row r="6368" spans="1:6" x14ac:dyDescent="0.3">
      <c r="A6368" s="8">
        <v>6366</v>
      </c>
      <c r="B6368" s="8" t="s">
        <v>10667</v>
      </c>
      <c r="C6368" s="8" t="s">
        <v>12836</v>
      </c>
      <c r="D6368" s="8" t="s">
        <v>12837</v>
      </c>
      <c r="E6368" s="13">
        <v>0</v>
      </c>
      <c r="F6368" s="14">
        <v>0</v>
      </c>
    </row>
    <row r="6369" spans="1:6" x14ac:dyDescent="0.3">
      <c r="A6369" s="8">
        <v>6367</v>
      </c>
      <c r="B6369" s="8" t="s">
        <v>10667</v>
      </c>
      <c r="C6369" s="8" t="s">
        <v>12838</v>
      </c>
      <c r="D6369" s="8" t="s">
        <v>12839</v>
      </c>
      <c r="E6369" s="13">
        <v>0</v>
      </c>
      <c r="F6369" s="14">
        <v>0</v>
      </c>
    </row>
    <row r="6370" spans="1:6" x14ac:dyDescent="0.3">
      <c r="A6370" s="8">
        <v>6368</v>
      </c>
      <c r="B6370" s="8" t="s">
        <v>10667</v>
      </c>
      <c r="C6370" s="8" t="s">
        <v>12840</v>
      </c>
      <c r="D6370" s="8" t="s">
        <v>12841</v>
      </c>
      <c r="E6370" s="13">
        <v>0</v>
      </c>
      <c r="F6370" s="14">
        <v>0</v>
      </c>
    </row>
    <row r="6371" spans="1:6" x14ac:dyDescent="0.3">
      <c r="A6371" s="8">
        <v>6369</v>
      </c>
      <c r="B6371" s="8" t="s">
        <v>10667</v>
      </c>
      <c r="C6371" s="8" t="s">
        <v>12842</v>
      </c>
      <c r="D6371" s="8" t="s">
        <v>12843</v>
      </c>
      <c r="E6371" s="13">
        <v>0</v>
      </c>
      <c r="F6371" s="14">
        <v>0</v>
      </c>
    </row>
    <row r="6372" spans="1:6" x14ac:dyDescent="0.3">
      <c r="A6372" s="8">
        <v>6370</v>
      </c>
      <c r="B6372" s="8" t="s">
        <v>10684</v>
      </c>
      <c r="C6372" s="8" t="s">
        <v>12844</v>
      </c>
      <c r="D6372" s="8" t="s">
        <v>7</v>
      </c>
      <c r="E6372" s="13">
        <v>45400</v>
      </c>
      <c r="F6372" s="14">
        <v>90833</v>
      </c>
    </row>
    <row r="6373" spans="1:6" x14ac:dyDescent="0.3">
      <c r="A6373" s="8">
        <v>6371</v>
      </c>
      <c r="B6373" s="8" t="s">
        <v>10684</v>
      </c>
      <c r="C6373" s="8" t="s">
        <v>12845</v>
      </c>
      <c r="D6373" s="8" t="s">
        <v>12846</v>
      </c>
      <c r="E6373" s="13">
        <v>0</v>
      </c>
      <c r="F6373" s="14">
        <v>0</v>
      </c>
    </row>
    <row r="6374" spans="1:6" x14ac:dyDescent="0.3">
      <c r="A6374" s="8">
        <v>6372</v>
      </c>
      <c r="B6374" s="8" t="s">
        <v>10684</v>
      </c>
      <c r="C6374" s="8" t="s">
        <v>12847</v>
      </c>
      <c r="D6374" s="8" t="s">
        <v>12848</v>
      </c>
      <c r="E6374" s="13">
        <v>0</v>
      </c>
      <c r="F6374" s="14">
        <v>0</v>
      </c>
    </row>
    <row r="6375" spans="1:6" x14ac:dyDescent="0.3">
      <c r="A6375" s="8">
        <v>6373</v>
      </c>
      <c r="B6375" s="8" t="s">
        <v>10684</v>
      </c>
      <c r="C6375" s="8" t="s">
        <v>12849</v>
      </c>
      <c r="D6375" s="8" t="s">
        <v>12850</v>
      </c>
      <c r="E6375" s="13">
        <v>0</v>
      </c>
      <c r="F6375" s="14">
        <v>0</v>
      </c>
    </row>
    <row r="6376" spans="1:6" x14ac:dyDescent="0.3">
      <c r="A6376" s="8">
        <v>6374</v>
      </c>
      <c r="B6376" s="8" t="s">
        <v>10684</v>
      </c>
      <c r="C6376" s="8" t="s">
        <v>12851</v>
      </c>
      <c r="D6376" s="8" t="s">
        <v>12852</v>
      </c>
      <c r="E6376" s="13">
        <v>0</v>
      </c>
      <c r="F6376" s="14">
        <v>0</v>
      </c>
    </row>
    <row r="6377" spans="1:6" x14ac:dyDescent="0.3">
      <c r="A6377" s="8">
        <v>6375</v>
      </c>
      <c r="B6377" s="8" t="s">
        <v>10684</v>
      </c>
      <c r="C6377" s="8" t="s">
        <v>12853</v>
      </c>
      <c r="D6377" s="8" t="s">
        <v>12854</v>
      </c>
      <c r="E6377" s="13">
        <v>0</v>
      </c>
      <c r="F6377" s="14">
        <v>0</v>
      </c>
    </row>
    <row r="6378" spans="1:6" x14ac:dyDescent="0.3">
      <c r="A6378" s="8">
        <v>6376</v>
      </c>
      <c r="B6378" s="8" t="s">
        <v>10684</v>
      </c>
      <c r="C6378" s="8" t="s">
        <v>12855</v>
      </c>
      <c r="D6378" s="8" t="s">
        <v>12856</v>
      </c>
      <c r="E6378" s="13">
        <v>0</v>
      </c>
      <c r="F6378" s="14">
        <v>0</v>
      </c>
    </row>
    <row r="6379" spans="1:6" x14ac:dyDescent="0.3">
      <c r="A6379" s="8">
        <v>6377</v>
      </c>
      <c r="B6379" s="8" t="s">
        <v>10684</v>
      </c>
      <c r="C6379" s="8" t="s">
        <v>12857</v>
      </c>
      <c r="D6379" s="8" t="s">
        <v>12858</v>
      </c>
      <c r="E6379" s="13">
        <v>0</v>
      </c>
      <c r="F6379" s="14">
        <v>0</v>
      </c>
    </row>
    <row r="6380" spans="1:6" x14ac:dyDescent="0.3">
      <c r="A6380" s="8">
        <v>6378</v>
      </c>
      <c r="B6380" s="8" t="s">
        <v>10697</v>
      </c>
      <c r="C6380" s="8" t="s">
        <v>12859</v>
      </c>
      <c r="D6380" s="8" t="s">
        <v>12860</v>
      </c>
      <c r="E6380" s="13">
        <v>190000</v>
      </c>
      <c r="F6380" s="14">
        <v>379630</v>
      </c>
    </row>
    <row r="6381" spans="1:6" x14ac:dyDescent="0.3">
      <c r="A6381" s="8">
        <v>6379</v>
      </c>
      <c r="B6381" s="8" t="s">
        <v>10697</v>
      </c>
      <c r="C6381" s="8" t="s">
        <v>12861</v>
      </c>
      <c r="D6381" s="8" t="s">
        <v>12862</v>
      </c>
      <c r="E6381" s="13">
        <v>130000</v>
      </c>
      <c r="F6381" s="14">
        <v>130000</v>
      </c>
    </row>
    <row r="6382" spans="1:6" x14ac:dyDescent="0.3">
      <c r="A6382" s="8">
        <v>6380</v>
      </c>
      <c r="B6382" s="8" t="s">
        <v>10697</v>
      </c>
      <c r="C6382" s="8" t="s">
        <v>12863</v>
      </c>
      <c r="D6382" s="8" t="s">
        <v>12864</v>
      </c>
      <c r="E6382" s="13">
        <v>0</v>
      </c>
      <c r="F6382" s="14">
        <v>0</v>
      </c>
    </row>
    <row r="6383" spans="1:6" x14ac:dyDescent="0.3">
      <c r="A6383" s="8">
        <v>6381</v>
      </c>
      <c r="B6383" s="8" t="s">
        <v>10697</v>
      </c>
      <c r="C6383" s="8" t="s">
        <v>12865</v>
      </c>
      <c r="D6383" s="8" t="s">
        <v>12866</v>
      </c>
      <c r="E6383" s="13">
        <v>20000</v>
      </c>
      <c r="F6383" s="14">
        <v>40000</v>
      </c>
    </row>
    <row r="6384" spans="1:6" x14ac:dyDescent="0.3">
      <c r="A6384" s="8">
        <v>6382</v>
      </c>
      <c r="B6384" s="8" t="s">
        <v>10697</v>
      </c>
      <c r="C6384" s="8" t="s">
        <v>12867</v>
      </c>
      <c r="D6384" s="8" t="s">
        <v>12868</v>
      </c>
      <c r="E6384" s="13">
        <v>0</v>
      </c>
      <c r="F6384" s="14">
        <v>0</v>
      </c>
    </row>
    <row r="6385" spans="1:6" x14ac:dyDescent="0.3">
      <c r="A6385" s="8">
        <v>6383</v>
      </c>
      <c r="B6385" s="8" t="s">
        <v>10697</v>
      </c>
      <c r="C6385" s="8" t="s">
        <v>12869</v>
      </c>
      <c r="D6385" s="8" t="s">
        <v>12870</v>
      </c>
      <c r="E6385" s="13">
        <v>53800</v>
      </c>
      <c r="F6385" s="14">
        <v>107407</v>
      </c>
    </row>
    <row r="6386" spans="1:6" x14ac:dyDescent="0.3">
      <c r="A6386" s="8">
        <v>6384</v>
      </c>
      <c r="B6386" s="8" t="s">
        <v>10697</v>
      </c>
      <c r="C6386" s="8" t="s">
        <v>12871</v>
      </c>
      <c r="D6386" s="8" t="s">
        <v>12872</v>
      </c>
      <c r="E6386" s="13">
        <v>0</v>
      </c>
      <c r="F6386" s="14">
        <v>0</v>
      </c>
    </row>
    <row r="6387" spans="1:6" x14ac:dyDescent="0.3">
      <c r="A6387" s="8">
        <v>6385</v>
      </c>
      <c r="B6387" s="8" t="s">
        <v>10697</v>
      </c>
      <c r="C6387" s="8" t="s">
        <v>12873</v>
      </c>
      <c r="D6387" s="8" t="s">
        <v>12874</v>
      </c>
      <c r="E6387" s="13">
        <v>0</v>
      </c>
      <c r="F6387" s="14">
        <v>0</v>
      </c>
    </row>
    <row r="6388" spans="1:6" x14ac:dyDescent="0.3">
      <c r="A6388" s="8">
        <v>6386</v>
      </c>
      <c r="B6388" s="8" t="s">
        <v>10697</v>
      </c>
      <c r="C6388" s="8" t="s">
        <v>12875</v>
      </c>
      <c r="D6388" s="8" t="s">
        <v>12876</v>
      </c>
      <c r="E6388" s="13">
        <v>0</v>
      </c>
      <c r="F6388" s="14">
        <v>0</v>
      </c>
    </row>
    <row r="6389" spans="1:6" x14ac:dyDescent="0.3">
      <c r="A6389" s="8">
        <v>6387</v>
      </c>
      <c r="B6389" s="8" t="s">
        <v>10697</v>
      </c>
      <c r="C6389" s="8" t="s">
        <v>12877</v>
      </c>
      <c r="D6389" s="8" t="s">
        <v>12878</v>
      </c>
      <c r="E6389" s="13">
        <v>0</v>
      </c>
      <c r="F6389" s="14">
        <v>0</v>
      </c>
    </row>
    <row r="6390" spans="1:6" x14ac:dyDescent="0.3">
      <c r="A6390" s="8">
        <v>6388</v>
      </c>
      <c r="B6390" s="8" t="s">
        <v>10697</v>
      </c>
      <c r="C6390" s="8" t="s">
        <v>12879</v>
      </c>
      <c r="D6390" s="8" t="s">
        <v>12880</v>
      </c>
      <c r="E6390" s="13">
        <v>36300</v>
      </c>
      <c r="F6390" s="14">
        <v>73148</v>
      </c>
    </row>
    <row r="6391" spans="1:6" x14ac:dyDescent="0.3">
      <c r="A6391" s="8">
        <v>6389</v>
      </c>
      <c r="B6391" s="8" t="s">
        <v>10697</v>
      </c>
      <c r="C6391" s="8" t="s">
        <v>12881</v>
      </c>
      <c r="D6391" s="8" t="s">
        <v>12882</v>
      </c>
      <c r="E6391" s="13">
        <v>31500</v>
      </c>
      <c r="F6391" s="14">
        <v>62963</v>
      </c>
    </row>
    <row r="6392" spans="1:6" x14ac:dyDescent="0.3">
      <c r="A6392" s="8">
        <v>6390</v>
      </c>
      <c r="B6392" s="8" t="s">
        <v>10697</v>
      </c>
      <c r="C6392" s="8" t="s">
        <v>12883</v>
      </c>
      <c r="D6392" s="8" t="s">
        <v>12884</v>
      </c>
      <c r="E6392" s="13">
        <v>0</v>
      </c>
      <c r="F6392" s="14">
        <v>0</v>
      </c>
    </row>
    <row r="6393" spans="1:6" x14ac:dyDescent="0.3">
      <c r="A6393" s="8">
        <v>6391</v>
      </c>
      <c r="B6393" s="8" t="s">
        <v>10697</v>
      </c>
      <c r="C6393" s="8" t="s">
        <v>12885</v>
      </c>
      <c r="D6393" s="8" t="s">
        <v>12886</v>
      </c>
      <c r="E6393" s="13">
        <v>0</v>
      </c>
      <c r="F6393" s="14">
        <v>0</v>
      </c>
    </row>
    <row r="6394" spans="1:6" x14ac:dyDescent="0.3">
      <c r="A6394" s="8">
        <v>6392</v>
      </c>
      <c r="B6394" s="8" t="s">
        <v>10697</v>
      </c>
      <c r="C6394" s="8" t="s">
        <v>12887</v>
      </c>
      <c r="D6394" s="8" t="s">
        <v>12888</v>
      </c>
      <c r="E6394" s="13">
        <v>95000</v>
      </c>
      <c r="F6394" s="14">
        <v>190000</v>
      </c>
    </row>
    <row r="6395" spans="1:6" x14ac:dyDescent="0.3">
      <c r="A6395" s="8">
        <v>6393</v>
      </c>
      <c r="B6395" s="8" t="s">
        <v>10697</v>
      </c>
      <c r="C6395" s="8" t="s">
        <v>12889</v>
      </c>
      <c r="D6395" s="8" t="s">
        <v>12890</v>
      </c>
      <c r="E6395" s="13">
        <v>0</v>
      </c>
      <c r="F6395" s="14">
        <v>0</v>
      </c>
    </row>
    <row r="6396" spans="1:6" x14ac:dyDescent="0.3">
      <c r="A6396" s="8">
        <v>6394</v>
      </c>
      <c r="B6396" s="8" t="s">
        <v>10697</v>
      </c>
      <c r="C6396" s="8" t="s">
        <v>12891</v>
      </c>
      <c r="D6396" s="8" t="s">
        <v>12892</v>
      </c>
      <c r="E6396" s="13">
        <v>0</v>
      </c>
      <c r="F6396" s="14">
        <v>0</v>
      </c>
    </row>
    <row r="6397" spans="1:6" x14ac:dyDescent="0.3">
      <c r="A6397" s="8">
        <v>6395</v>
      </c>
      <c r="B6397" s="8" t="s">
        <v>10697</v>
      </c>
      <c r="C6397" s="8" t="s">
        <v>12893</v>
      </c>
      <c r="D6397" s="8" t="s">
        <v>12894</v>
      </c>
      <c r="E6397" s="13">
        <v>0</v>
      </c>
      <c r="F6397" s="14">
        <v>0</v>
      </c>
    </row>
    <row r="6398" spans="1:6" x14ac:dyDescent="0.3">
      <c r="A6398" s="8">
        <v>6396</v>
      </c>
      <c r="B6398" s="8" t="s">
        <v>10697</v>
      </c>
      <c r="C6398" s="8" t="s">
        <v>12895</v>
      </c>
      <c r="D6398" s="8" t="s">
        <v>12896</v>
      </c>
      <c r="E6398" s="13">
        <v>0</v>
      </c>
      <c r="F6398" s="14">
        <v>0</v>
      </c>
    </row>
    <row r="6399" spans="1:6" x14ac:dyDescent="0.3">
      <c r="A6399" s="8">
        <v>6397</v>
      </c>
      <c r="B6399" s="8" t="s">
        <v>10697</v>
      </c>
      <c r="C6399" s="8" t="s">
        <v>12897</v>
      </c>
      <c r="D6399" s="8" t="s">
        <v>12898</v>
      </c>
      <c r="E6399" s="13">
        <v>0</v>
      </c>
      <c r="F6399" s="14">
        <v>0</v>
      </c>
    </row>
    <row r="6400" spans="1:6" x14ac:dyDescent="0.3">
      <c r="A6400" s="8">
        <v>6398</v>
      </c>
      <c r="B6400" s="8" t="s">
        <v>10697</v>
      </c>
      <c r="C6400" s="8" t="s">
        <v>12899</v>
      </c>
      <c r="D6400" s="8" t="s">
        <v>12900</v>
      </c>
      <c r="E6400" s="13">
        <v>0</v>
      </c>
      <c r="F6400" s="14">
        <v>0</v>
      </c>
    </row>
    <row r="6401" spans="1:6" x14ac:dyDescent="0.3">
      <c r="A6401" s="8">
        <v>6399</v>
      </c>
      <c r="B6401" s="8" t="s">
        <v>4148</v>
      </c>
      <c r="C6401" s="8" t="s">
        <v>12901</v>
      </c>
      <c r="D6401" s="8" t="s">
        <v>12902</v>
      </c>
      <c r="E6401" s="13">
        <v>0</v>
      </c>
      <c r="F6401" s="14">
        <v>0</v>
      </c>
    </row>
    <row r="6402" spans="1:6" x14ac:dyDescent="0.3">
      <c r="A6402" s="8">
        <v>6400</v>
      </c>
      <c r="B6402" s="8" t="s">
        <v>4148</v>
      </c>
      <c r="C6402" s="8" t="s">
        <v>12903</v>
      </c>
      <c r="D6402" s="8" t="s">
        <v>12904</v>
      </c>
      <c r="E6402" s="13">
        <v>0</v>
      </c>
      <c r="F6402" s="14">
        <v>0</v>
      </c>
    </row>
    <row r="6403" spans="1:6" x14ac:dyDescent="0.3">
      <c r="A6403" s="8">
        <v>6401</v>
      </c>
      <c r="B6403" s="8" t="s">
        <v>4148</v>
      </c>
      <c r="C6403" s="8" t="s">
        <v>12905</v>
      </c>
      <c r="D6403" s="8" t="s">
        <v>12906</v>
      </c>
      <c r="E6403" s="13">
        <v>0</v>
      </c>
      <c r="F6403" s="14">
        <v>0</v>
      </c>
    </row>
    <row r="6404" spans="1:6" x14ac:dyDescent="0.3">
      <c r="A6404" s="8">
        <v>6402</v>
      </c>
      <c r="B6404" s="8" t="s">
        <v>4148</v>
      </c>
      <c r="C6404" s="8" t="s">
        <v>12907</v>
      </c>
      <c r="D6404" s="8" t="s">
        <v>12908</v>
      </c>
      <c r="E6404" s="13">
        <v>0</v>
      </c>
      <c r="F6404" s="14">
        <v>0</v>
      </c>
    </row>
    <row r="6405" spans="1:6" x14ac:dyDescent="0.3">
      <c r="A6405" s="8">
        <v>6403</v>
      </c>
      <c r="B6405" s="8" t="s">
        <v>4148</v>
      </c>
      <c r="C6405" s="8" t="s">
        <v>12909</v>
      </c>
      <c r="D6405" s="8" t="s">
        <v>12910</v>
      </c>
      <c r="E6405" s="13">
        <v>0</v>
      </c>
      <c r="F6405" s="14">
        <v>0</v>
      </c>
    </row>
    <row r="6406" spans="1:6" x14ac:dyDescent="0.3">
      <c r="A6406" s="8">
        <v>6404</v>
      </c>
      <c r="B6406" s="8" t="s">
        <v>4148</v>
      </c>
      <c r="C6406" s="8" t="s">
        <v>12911</v>
      </c>
      <c r="D6406" s="8" t="s">
        <v>12912</v>
      </c>
      <c r="E6406" s="13">
        <v>70100</v>
      </c>
      <c r="F6406" s="14">
        <v>139815</v>
      </c>
    </row>
    <row r="6407" spans="1:6" x14ac:dyDescent="0.3">
      <c r="A6407" s="8">
        <v>6405</v>
      </c>
      <c r="B6407" s="8" t="s">
        <v>4148</v>
      </c>
      <c r="C6407" s="8" t="s">
        <v>12913</v>
      </c>
      <c r="D6407" s="8" t="s">
        <v>12914</v>
      </c>
      <c r="E6407" s="13">
        <v>0</v>
      </c>
      <c r="F6407" s="14">
        <v>0</v>
      </c>
    </row>
    <row r="6408" spans="1:6" x14ac:dyDescent="0.3">
      <c r="A6408" s="8">
        <v>6406</v>
      </c>
      <c r="B6408" s="8" t="s">
        <v>4148</v>
      </c>
      <c r="C6408" s="8" t="s">
        <v>12915</v>
      </c>
      <c r="D6408" s="8" t="s">
        <v>12916</v>
      </c>
      <c r="E6408" s="13">
        <v>0</v>
      </c>
      <c r="F6408" s="14">
        <v>0</v>
      </c>
    </row>
    <row r="6409" spans="1:6" x14ac:dyDescent="0.3">
      <c r="A6409" s="8">
        <v>6407</v>
      </c>
      <c r="B6409" s="8" t="s">
        <v>4148</v>
      </c>
      <c r="C6409" s="8" t="s">
        <v>12917</v>
      </c>
      <c r="D6409" s="8" t="s">
        <v>12918</v>
      </c>
      <c r="E6409" s="13">
        <v>0</v>
      </c>
      <c r="F6409" s="14">
        <v>0</v>
      </c>
    </row>
    <row r="6410" spans="1:6" x14ac:dyDescent="0.3">
      <c r="A6410" s="8">
        <v>6408</v>
      </c>
      <c r="B6410" s="8" t="s">
        <v>4148</v>
      </c>
      <c r="C6410" s="8" t="s">
        <v>12919</v>
      </c>
      <c r="D6410" s="8" t="s">
        <v>12920</v>
      </c>
      <c r="E6410" s="13">
        <v>0</v>
      </c>
      <c r="F6410" s="14">
        <v>0</v>
      </c>
    </row>
    <row r="6411" spans="1:6" x14ac:dyDescent="0.3">
      <c r="A6411" s="8">
        <v>6409</v>
      </c>
      <c r="B6411" s="8" t="s">
        <v>4148</v>
      </c>
      <c r="C6411" s="8" t="s">
        <v>12921</v>
      </c>
      <c r="D6411" s="8" t="s">
        <v>12922</v>
      </c>
      <c r="E6411" s="13">
        <v>0</v>
      </c>
      <c r="F6411" s="14">
        <v>209259</v>
      </c>
    </row>
    <row r="6412" spans="1:6" x14ac:dyDescent="0.3">
      <c r="A6412" s="8">
        <v>6410</v>
      </c>
      <c r="B6412" s="8" t="s">
        <v>6022</v>
      </c>
      <c r="C6412" s="8" t="s">
        <v>12923</v>
      </c>
      <c r="D6412" s="8" t="s">
        <v>12924</v>
      </c>
      <c r="E6412" s="13">
        <v>0</v>
      </c>
      <c r="F6412" s="14">
        <v>0</v>
      </c>
    </row>
    <row r="6413" spans="1:6" x14ac:dyDescent="0.3">
      <c r="A6413" s="8">
        <v>6411</v>
      </c>
      <c r="B6413" s="8" t="s">
        <v>6022</v>
      </c>
      <c r="C6413" s="8" t="s">
        <v>12925</v>
      </c>
      <c r="D6413" s="8" t="s">
        <v>12926</v>
      </c>
      <c r="E6413" s="13">
        <v>165000</v>
      </c>
      <c r="F6413" s="14">
        <v>329630</v>
      </c>
    </row>
    <row r="6414" spans="1:6" x14ac:dyDescent="0.3">
      <c r="A6414" s="8">
        <v>6412</v>
      </c>
      <c r="B6414" s="8" t="s">
        <v>6022</v>
      </c>
      <c r="C6414" s="8" t="s">
        <v>12927</v>
      </c>
      <c r="D6414" s="8" t="s">
        <v>12928</v>
      </c>
      <c r="E6414" s="13">
        <v>0</v>
      </c>
      <c r="F6414" s="14">
        <v>287000</v>
      </c>
    </row>
    <row r="6415" spans="1:6" x14ac:dyDescent="0.3">
      <c r="A6415" s="8">
        <v>6413</v>
      </c>
      <c r="B6415" s="8" t="s">
        <v>6022</v>
      </c>
      <c r="C6415" s="8" t="s">
        <v>12929</v>
      </c>
      <c r="D6415" s="8" t="s">
        <v>12930</v>
      </c>
      <c r="E6415" s="13">
        <v>225000</v>
      </c>
      <c r="F6415" s="14">
        <v>450000</v>
      </c>
    </row>
    <row r="6416" spans="1:6" x14ac:dyDescent="0.3">
      <c r="A6416" s="8">
        <v>6414</v>
      </c>
      <c r="B6416" s="8" t="s">
        <v>6029</v>
      </c>
      <c r="C6416" s="8" t="s">
        <v>12931</v>
      </c>
      <c r="D6416" s="8" t="s">
        <v>12932</v>
      </c>
      <c r="E6416" s="13">
        <v>142000</v>
      </c>
      <c r="F6416" s="14">
        <v>284259</v>
      </c>
    </row>
    <row r="6417" spans="1:6" x14ac:dyDescent="0.3">
      <c r="A6417" s="8">
        <v>6415</v>
      </c>
      <c r="B6417" s="8" t="s">
        <v>6022</v>
      </c>
      <c r="C6417" s="8" t="s">
        <v>12933</v>
      </c>
      <c r="D6417" s="8" t="s">
        <v>12934</v>
      </c>
      <c r="E6417" s="13">
        <v>220000</v>
      </c>
      <c r="F6417" s="14">
        <v>439815</v>
      </c>
    </row>
    <row r="6418" spans="1:6" x14ac:dyDescent="0.3">
      <c r="A6418" s="8">
        <v>6416</v>
      </c>
      <c r="B6418" s="8" t="s">
        <v>6029</v>
      </c>
      <c r="C6418" s="8" t="s">
        <v>12935</v>
      </c>
      <c r="D6418" s="8" t="s">
        <v>12936</v>
      </c>
      <c r="E6418" s="13">
        <v>0</v>
      </c>
      <c r="F6418" s="14">
        <v>0</v>
      </c>
    </row>
    <row r="6419" spans="1:6" x14ac:dyDescent="0.3">
      <c r="A6419" s="8">
        <v>6417</v>
      </c>
      <c r="B6419" s="8" t="s">
        <v>6029</v>
      </c>
      <c r="C6419" s="8" t="s">
        <v>12937</v>
      </c>
      <c r="D6419" s="8" t="s">
        <v>12938</v>
      </c>
      <c r="E6419" s="13">
        <v>178000</v>
      </c>
      <c r="F6419" s="14">
        <v>355556</v>
      </c>
    </row>
    <row r="6420" spans="1:6" x14ac:dyDescent="0.3">
      <c r="A6420" s="8">
        <v>6418</v>
      </c>
      <c r="B6420" s="8" t="s">
        <v>6029</v>
      </c>
      <c r="C6420" s="8" t="s">
        <v>12939</v>
      </c>
      <c r="D6420" s="8" t="s">
        <v>12940</v>
      </c>
      <c r="E6420" s="13">
        <v>121000</v>
      </c>
      <c r="F6420" s="14">
        <v>241667</v>
      </c>
    </row>
    <row r="6421" spans="1:6" x14ac:dyDescent="0.3">
      <c r="A6421" s="8">
        <v>6419</v>
      </c>
      <c r="B6421" s="8" t="s">
        <v>6029</v>
      </c>
      <c r="C6421" s="8" t="s">
        <v>12941</v>
      </c>
      <c r="D6421" s="8" t="s">
        <v>12942</v>
      </c>
      <c r="E6421" s="13">
        <v>170000</v>
      </c>
      <c r="F6421" s="14">
        <v>339815</v>
      </c>
    </row>
    <row r="6422" spans="1:6" x14ac:dyDescent="0.3">
      <c r="A6422" s="8">
        <v>6420</v>
      </c>
      <c r="B6422" s="8" t="s">
        <v>6029</v>
      </c>
      <c r="C6422" s="8" t="s">
        <v>12943</v>
      </c>
      <c r="D6422" s="8" t="s">
        <v>12944</v>
      </c>
      <c r="E6422" s="13">
        <v>121000</v>
      </c>
      <c r="F6422" s="14">
        <v>241667</v>
      </c>
    </row>
    <row r="6423" spans="1:6" x14ac:dyDescent="0.3">
      <c r="A6423" s="8">
        <v>6421</v>
      </c>
      <c r="B6423" s="8" t="s">
        <v>6022</v>
      </c>
      <c r="C6423" s="8" t="s">
        <v>12945</v>
      </c>
      <c r="D6423" s="8" t="s">
        <v>12946</v>
      </c>
      <c r="E6423" s="13">
        <v>0</v>
      </c>
      <c r="F6423" s="14">
        <v>0</v>
      </c>
    </row>
    <row r="6424" spans="1:6" x14ac:dyDescent="0.3">
      <c r="A6424" s="8">
        <v>6422</v>
      </c>
      <c r="B6424" s="8" t="s">
        <v>7694</v>
      </c>
      <c r="C6424" s="8" t="s">
        <v>12947</v>
      </c>
      <c r="D6424" s="8" t="s">
        <v>12948</v>
      </c>
      <c r="E6424" s="13">
        <v>0</v>
      </c>
      <c r="F6424" s="14">
        <v>0</v>
      </c>
    </row>
    <row r="6425" spans="1:6" x14ac:dyDescent="0.3">
      <c r="A6425" s="8">
        <v>6423</v>
      </c>
      <c r="B6425" s="8" t="s">
        <v>7694</v>
      </c>
      <c r="C6425" s="8" t="s">
        <v>12949</v>
      </c>
      <c r="D6425" s="8" t="s">
        <v>12950</v>
      </c>
      <c r="E6425" s="13">
        <v>0</v>
      </c>
      <c r="F6425" s="14">
        <v>0</v>
      </c>
    </row>
    <row r="6426" spans="1:6" x14ac:dyDescent="0.3">
      <c r="A6426" s="8">
        <v>6424</v>
      </c>
      <c r="B6426" s="8" t="s">
        <v>7694</v>
      </c>
      <c r="C6426" s="8" t="s">
        <v>12951</v>
      </c>
      <c r="D6426" s="8" t="s">
        <v>12952</v>
      </c>
      <c r="E6426" s="13">
        <v>0</v>
      </c>
      <c r="F6426" s="14">
        <v>1000000</v>
      </c>
    </row>
    <row r="6427" spans="1:6" x14ac:dyDescent="0.3">
      <c r="A6427" s="8">
        <v>6425</v>
      </c>
      <c r="B6427" s="8" t="s">
        <v>7694</v>
      </c>
      <c r="C6427" s="8" t="s">
        <v>12953</v>
      </c>
      <c r="D6427" s="8" t="s">
        <v>12954</v>
      </c>
      <c r="E6427" s="13">
        <v>0</v>
      </c>
      <c r="F6427" s="14">
        <v>0</v>
      </c>
    </row>
    <row r="6428" spans="1:6" x14ac:dyDescent="0.3">
      <c r="A6428" s="8">
        <v>6426</v>
      </c>
      <c r="B6428" s="8" t="s">
        <v>7694</v>
      </c>
      <c r="C6428" s="8" t="s">
        <v>12955</v>
      </c>
      <c r="D6428" s="8" t="s">
        <v>12956</v>
      </c>
      <c r="E6428" s="13">
        <v>0</v>
      </c>
      <c r="F6428" s="14">
        <v>0</v>
      </c>
    </row>
    <row r="6429" spans="1:6" x14ac:dyDescent="0.3">
      <c r="A6429" s="8">
        <v>6427</v>
      </c>
      <c r="B6429" s="8" t="s">
        <v>7694</v>
      </c>
      <c r="C6429" s="8" t="s">
        <v>12957</v>
      </c>
      <c r="D6429" s="8" t="s">
        <v>12958</v>
      </c>
      <c r="E6429" s="13">
        <v>0</v>
      </c>
      <c r="F6429" s="14">
        <v>0</v>
      </c>
    </row>
    <row r="6430" spans="1:6" x14ac:dyDescent="0.3">
      <c r="A6430" s="8">
        <v>6428</v>
      </c>
      <c r="B6430" s="8" t="s">
        <v>7694</v>
      </c>
      <c r="C6430" s="8" t="s">
        <v>12959</v>
      </c>
      <c r="D6430" s="8" t="s">
        <v>12960</v>
      </c>
      <c r="E6430" s="13">
        <v>0</v>
      </c>
      <c r="F6430" s="14">
        <v>0</v>
      </c>
    </row>
    <row r="6431" spans="1:6" x14ac:dyDescent="0.3">
      <c r="A6431" s="8">
        <v>6429</v>
      </c>
      <c r="B6431" s="8" t="s">
        <v>7694</v>
      </c>
      <c r="C6431" s="8" t="s">
        <v>12961</v>
      </c>
      <c r="D6431" s="8" t="s">
        <v>12962</v>
      </c>
      <c r="E6431" s="13">
        <v>0</v>
      </c>
      <c r="F6431" s="14">
        <v>0</v>
      </c>
    </row>
    <row r="6432" spans="1:6" x14ac:dyDescent="0.3">
      <c r="A6432" s="8">
        <v>6430</v>
      </c>
      <c r="B6432" s="8" t="s">
        <v>7694</v>
      </c>
      <c r="C6432" s="8" t="s">
        <v>12963</v>
      </c>
      <c r="D6432" s="8" t="s">
        <v>12964</v>
      </c>
      <c r="E6432" s="13">
        <v>0</v>
      </c>
      <c r="F6432" s="14">
        <v>0</v>
      </c>
    </row>
    <row r="6433" spans="1:6" x14ac:dyDescent="0.3">
      <c r="A6433" s="8">
        <v>6431</v>
      </c>
      <c r="B6433" s="8" t="s">
        <v>7694</v>
      </c>
      <c r="C6433" s="8" t="s">
        <v>12965</v>
      </c>
      <c r="D6433" s="8" t="s">
        <v>12966</v>
      </c>
      <c r="E6433" s="13">
        <v>0</v>
      </c>
      <c r="F6433" s="14">
        <v>0</v>
      </c>
    </row>
    <row r="6434" spans="1:6" x14ac:dyDescent="0.3">
      <c r="A6434" s="8">
        <v>6432</v>
      </c>
      <c r="B6434" s="8" t="s">
        <v>7694</v>
      </c>
      <c r="C6434" s="8" t="s">
        <v>12967</v>
      </c>
      <c r="D6434" s="8" t="s">
        <v>12968</v>
      </c>
      <c r="E6434" s="13">
        <v>0</v>
      </c>
      <c r="F6434" s="14">
        <v>778182</v>
      </c>
    </row>
    <row r="6435" spans="1:6" x14ac:dyDescent="0.3">
      <c r="A6435" s="8">
        <v>6433</v>
      </c>
      <c r="B6435" s="8" t="s">
        <v>7694</v>
      </c>
      <c r="C6435" s="8" t="s">
        <v>12969</v>
      </c>
      <c r="D6435" s="8" t="s">
        <v>12970</v>
      </c>
      <c r="E6435" s="13">
        <v>0</v>
      </c>
      <c r="F6435" s="14">
        <v>0</v>
      </c>
    </row>
    <row r="6436" spans="1:6" x14ac:dyDescent="0.3">
      <c r="A6436" s="8">
        <v>6434</v>
      </c>
      <c r="B6436" s="8" t="s">
        <v>7694</v>
      </c>
      <c r="C6436" s="8" t="s">
        <v>12971</v>
      </c>
      <c r="D6436" s="8" t="s">
        <v>12972</v>
      </c>
      <c r="E6436" s="13">
        <v>0</v>
      </c>
      <c r="F6436" s="14">
        <v>0</v>
      </c>
    </row>
    <row r="6437" spans="1:6" x14ac:dyDescent="0.3">
      <c r="A6437" s="8">
        <v>6435</v>
      </c>
      <c r="B6437" s="8" t="s">
        <v>7694</v>
      </c>
      <c r="C6437" s="8" t="s">
        <v>12973</v>
      </c>
      <c r="D6437" s="8" t="s">
        <v>12974</v>
      </c>
      <c r="E6437" s="13">
        <v>342600</v>
      </c>
      <c r="F6437" s="14">
        <v>685455</v>
      </c>
    </row>
    <row r="6438" spans="1:6" x14ac:dyDescent="0.3">
      <c r="A6438" s="8">
        <v>6436</v>
      </c>
      <c r="B6438" s="8" t="s">
        <v>7694</v>
      </c>
      <c r="C6438" s="8" t="s">
        <v>12975</v>
      </c>
      <c r="D6438" s="8" t="s">
        <v>12976</v>
      </c>
      <c r="E6438" s="13">
        <v>0</v>
      </c>
      <c r="F6438" s="14">
        <v>0</v>
      </c>
    </row>
    <row r="6439" spans="1:6" x14ac:dyDescent="0.3">
      <c r="A6439" s="8">
        <v>6437</v>
      </c>
      <c r="B6439" s="8" t="s">
        <v>7694</v>
      </c>
      <c r="C6439" s="8" t="s">
        <v>12977</v>
      </c>
      <c r="D6439" s="8" t="s">
        <v>12978</v>
      </c>
      <c r="E6439" s="13">
        <v>0</v>
      </c>
      <c r="F6439" s="14">
        <v>426364</v>
      </c>
    </row>
    <row r="6440" spans="1:6" x14ac:dyDescent="0.3">
      <c r="A6440" s="8">
        <v>6438</v>
      </c>
      <c r="B6440" s="8" t="s">
        <v>7694</v>
      </c>
      <c r="C6440" s="8" t="s">
        <v>12979</v>
      </c>
      <c r="D6440" s="8" t="s">
        <v>12980</v>
      </c>
      <c r="E6440" s="13">
        <v>0</v>
      </c>
      <c r="F6440" s="14">
        <v>0</v>
      </c>
    </row>
    <row r="6441" spans="1:6" x14ac:dyDescent="0.3">
      <c r="A6441" s="8">
        <v>6439</v>
      </c>
      <c r="B6441" s="8" t="s">
        <v>7694</v>
      </c>
      <c r="C6441" s="8" t="s">
        <v>12981</v>
      </c>
      <c r="D6441" s="8" t="s">
        <v>12982</v>
      </c>
      <c r="E6441" s="13">
        <v>0</v>
      </c>
      <c r="F6441" s="14">
        <v>0</v>
      </c>
    </row>
    <row r="6442" spans="1:6" x14ac:dyDescent="0.3">
      <c r="A6442" s="8">
        <v>6440</v>
      </c>
      <c r="B6442" s="8" t="s">
        <v>7694</v>
      </c>
      <c r="C6442" s="8" t="s">
        <v>12983</v>
      </c>
      <c r="D6442" s="8" t="s">
        <v>12984</v>
      </c>
      <c r="E6442" s="13">
        <v>2200000</v>
      </c>
      <c r="F6442" s="14">
        <v>4400000</v>
      </c>
    </row>
    <row r="6443" spans="1:6" x14ac:dyDescent="0.3">
      <c r="A6443" s="8">
        <v>6441</v>
      </c>
      <c r="B6443" s="8" t="s">
        <v>7694</v>
      </c>
      <c r="C6443" s="8" t="s">
        <v>12985</v>
      </c>
      <c r="D6443" s="8" t="s">
        <v>12986</v>
      </c>
      <c r="E6443" s="13">
        <v>0</v>
      </c>
      <c r="F6443" s="14">
        <v>0</v>
      </c>
    </row>
    <row r="6444" spans="1:6" x14ac:dyDescent="0.3">
      <c r="A6444" s="8">
        <v>6442</v>
      </c>
      <c r="B6444" s="8" t="s">
        <v>7694</v>
      </c>
      <c r="C6444" s="8" t="s">
        <v>12987</v>
      </c>
      <c r="D6444" s="8" t="s">
        <v>12988</v>
      </c>
      <c r="E6444" s="13">
        <v>0</v>
      </c>
      <c r="F6444" s="14">
        <v>0</v>
      </c>
    </row>
    <row r="6445" spans="1:6" x14ac:dyDescent="0.3">
      <c r="A6445" s="8">
        <v>6443</v>
      </c>
      <c r="B6445" s="8" t="s">
        <v>7694</v>
      </c>
      <c r="C6445" s="8" t="s">
        <v>12989</v>
      </c>
      <c r="D6445" s="8" t="s">
        <v>12990</v>
      </c>
      <c r="E6445" s="13">
        <v>0</v>
      </c>
      <c r="F6445" s="14">
        <v>0</v>
      </c>
    </row>
    <row r="6446" spans="1:6" x14ac:dyDescent="0.3">
      <c r="A6446" s="8">
        <v>6444</v>
      </c>
      <c r="B6446" s="8" t="s">
        <v>7694</v>
      </c>
      <c r="C6446" s="8" t="s">
        <v>12991</v>
      </c>
      <c r="D6446" s="8" t="s">
        <v>12992</v>
      </c>
      <c r="E6446" s="13">
        <v>0</v>
      </c>
      <c r="F6446" s="14">
        <v>72600000</v>
      </c>
    </row>
    <row r="6447" spans="1:6" x14ac:dyDescent="0.3">
      <c r="A6447" s="8">
        <v>6445</v>
      </c>
      <c r="B6447" s="8" t="s">
        <v>7694</v>
      </c>
      <c r="C6447" s="8" t="s">
        <v>12993</v>
      </c>
      <c r="D6447" s="8" t="s">
        <v>12994</v>
      </c>
      <c r="E6447" s="13">
        <v>0</v>
      </c>
      <c r="F6447" s="14">
        <v>0</v>
      </c>
    </row>
    <row r="6448" spans="1:6" x14ac:dyDescent="0.3">
      <c r="A6448" s="8">
        <v>6446</v>
      </c>
      <c r="B6448" s="8" t="s">
        <v>10667</v>
      </c>
      <c r="C6448" s="8" t="s">
        <v>12995</v>
      </c>
      <c r="D6448" s="8" t="s">
        <v>12996</v>
      </c>
      <c r="E6448" s="13">
        <v>0</v>
      </c>
      <c r="F6448" s="14">
        <v>0</v>
      </c>
    </row>
    <row r="6449" spans="1:6" x14ac:dyDescent="0.3">
      <c r="A6449" s="8">
        <v>6447</v>
      </c>
      <c r="B6449" s="8" t="s">
        <v>10667</v>
      </c>
      <c r="C6449" s="8" t="s">
        <v>12997</v>
      </c>
      <c r="D6449" s="8" t="s">
        <v>12998</v>
      </c>
      <c r="E6449" s="13">
        <v>0</v>
      </c>
      <c r="F6449" s="14">
        <v>0</v>
      </c>
    </row>
    <row r="6450" spans="1:6" x14ac:dyDescent="0.3">
      <c r="A6450" s="8">
        <v>6448</v>
      </c>
      <c r="B6450" s="8" t="s">
        <v>10667</v>
      </c>
      <c r="C6450" s="8" t="s">
        <v>12999</v>
      </c>
      <c r="D6450" s="8" t="s">
        <v>13000</v>
      </c>
      <c r="E6450" s="13">
        <v>0</v>
      </c>
      <c r="F6450" s="14">
        <v>0</v>
      </c>
    </row>
    <row r="6451" spans="1:6" x14ac:dyDescent="0.3">
      <c r="A6451" s="8">
        <v>6449</v>
      </c>
      <c r="B6451" s="8" t="s">
        <v>10667</v>
      </c>
      <c r="C6451" s="8" t="s">
        <v>13001</v>
      </c>
      <c r="D6451" s="8" t="s">
        <v>13002</v>
      </c>
      <c r="E6451" s="13">
        <v>0</v>
      </c>
      <c r="F6451" s="14">
        <v>0</v>
      </c>
    </row>
    <row r="6452" spans="1:6" x14ac:dyDescent="0.3">
      <c r="A6452" s="8">
        <v>6450</v>
      </c>
      <c r="B6452" s="8" t="s">
        <v>10667</v>
      </c>
      <c r="C6452" s="8" t="s">
        <v>13003</v>
      </c>
      <c r="D6452" s="8" t="s">
        <v>13004</v>
      </c>
      <c r="E6452" s="13">
        <v>0</v>
      </c>
      <c r="F6452" s="14">
        <v>0</v>
      </c>
    </row>
    <row r="6453" spans="1:6" x14ac:dyDescent="0.3">
      <c r="A6453" s="8">
        <v>6451</v>
      </c>
      <c r="B6453" s="8" t="s">
        <v>10667</v>
      </c>
      <c r="C6453" s="8" t="s">
        <v>13005</v>
      </c>
      <c r="D6453" s="8" t="s">
        <v>13006</v>
      </c>
      <c r="E6453" s="13">
        <v>0</v>
      </c>
      <c r="F6453" s="14">
        <v>0</v>
      </c>
    </row>
    <row r="6454" spans="1:6" x14ac:dyDescent="0.3">
      <c r="A6454" s="8">
        <v>6452</v>
      </c>
      <c r="B6454" s="8" t="s">
        <v>10667</v>
      </c>
      <c r="C6454" s="8" t="s">
        <v>13007</v>
      </c>
      <c r="D6454" s="8" t="s">
        <v>13008</v>
      </c>
      <c r="E6454" s="13">
        <v>0</v>
      </c>
      <c r="F6454" s="14">
        <v>0</v>
      </c>
    </row>
    <row r="6455" spans="1:6" x14ac:dyDescent="0.3">
      <c r="A6455" s="8">
        <v>6453</v>
      </c>
      <c r="B6455" s="8" t="s">
        <v>10684</v>
      </c>
      <c r="C6455" s="8" t="s">
        <v>13009</v>
      </c>
      <c r="D6455" s="8" t="s">
        <v>10</v>
      </c>
      <c r="E6455" s="13">
        <v>68600</v>
      </c>
      <c r="F6455" s="14">
        <v>137037</v>
      </c>
    </row>
    <row r="6456" spans="1:6" x14ac:dyDescent="0.3">
      <c r="A6456" s="8">
        <v>6454</v>
      </c>
      <c r="B6456" s="8" t="s">
        <v>10684</v>
      </c>
      <c r="C6456" s="8" t="s">
        <v>13010</v>
      </c>
      <c r="D6456" s="8" t="s">
        <v>13011</v>
      </c>
      <c r="E6456" s="13">
        <v>0</v>
      </c>
      <c r="F6456" s="14">
        <v>0</v>
      </c>
    </row>
    <row r="6457" spans="1:6" x14ac:dyDescent="0.3">
      <c r="A6457" s="8">
        <v>6455</v>
      </c>
      <c r="B6457" s="8" t="s">
        <v>10684</v>
      </c>
      <c r="C6457" s="8" t="s">
        <v>13012</v>
      </c>
      <c r="D6457" s="8" t="s">
        <v>13013</v>
      </c>
      <c r="E6457" s="13">
        <v>0</v>
      </c>
      <c r="F6457" s="14">
        <v>0</v>
      </c>
    </row>
    <row r="6458" spans="1:6" x14ac:dyDescent="0.3">
      <c r="A6458" s="8">
        <v>6456</v>
      </c>
      <c r="B6458" s="8" t="s">
        <v>10684</v>
      </c>
      <c r="C6458" s="8" t="s">
        <v>13014</v>
      </c>
      <c r="D6458" s="8" t="s">
        <v>13015</v>
      </c>
      <c r="E6458" s="13">
        <v>0</v>
      </c>
      <c r="F6458" s="14">
        <v>0</v>
      </c>
    </row>
    <row r="6459" spans="1:6" x14ac:dyDescent="0.3">
      <c r="A6459" s="8">
        <v>6457</v>
      </c>
      <c r="B6459" s="8" t="s">
        <v>10684</v>
      </c>
      <c r="C6459" s="8" t="s">
        <v>13016</v>
      </c>
      <c r="D6459" s="8" t="s">
        <v>13017</v>
      </c>
      <c r="E6459" s="13">
        <v>0</v>
      </c>
      <c r="F6459" s="14">
        <v>0</v>
      </c>
    </row>
    <row r="6460" spans="1:6" x14ac:dyDescent="0.3">
      <c r="A6460" s="8">
        <v>6458</v>
      </c>
      <c r="B6460" s="8" t="s">
        <v>10684</v>
      </c>
      <c r="C6460" s="8" t="s">
        <v>13018</v>
      </c>
      <c r="D6460" s="8" t="s">
        <v>13019</v>
      </c>
      <c r="E6460" s="13">
        <v>0</v>
      </c>
      <c r="F6460" s="14">
        <v>0</v>
      </c>
    </row>
    <row r="6461" spans="1:6" x14ac:dyDescent="0.3">
      <c r="A6461" s="8">
        <v>6459</v>
      </c>
      <c r="B6461" s="8" t="s">
        <v>10684</v>
      </c>
      <c r="C6461" s="8" t="s">
        <v>13020</v>
      </c>
      <c r="D6461" s="8" t="s">
        <v>13021</v>
      </c>
      <c r="E6461" s="13">
        <v>0</v>
      </c>
      <c r="F6461" s="14">
        <v>0</v>
      </c>
    </row>
    <row r="6462" spans="1:6" x14ac:dyDescent="0.3">
      <c r="A6462" s="8">
        <v>6460</v>
      </c>
      <c r="B6462" s="8" t="s">
        <v>10684</v>
      </c>
      <c r="C6462" s="8" t="s">
        <v>13022</v>
      </c>
      <c r="D6462" s="8" t="s">
        <v>13023</v>
      </c>
      <c r="E6462" s="13">
        <v>0</v>
      </c>
      <c r="F6462" s="14">
        <v>0</v>
      </c>
    </row>
    <row r="6463" spans="1:6" x14ac:dyDescent="0.3">
      <c r="A6463" s="8">
        <v>6461</v>
      </c>
      <c r="B6463" s="8" t="s">
        <v>10684</v>
      </c>
      <c r="C6463" s="8" t="s">
        <v>13024</v>
      </c>
      <c r="D6463" s="8" t="s">
        <v>13025</v>
      </c>
      <c r="E6463" s="13">
        <v>0</v>
      </c>
      <c r="F6463" s="14">
        <v>0</v>
      </c>
    </row>
    <row r="6464" spans="1:6" x14ac:dyDescent="0.3">
      <c r="A6464" s="8">
        <v>6462</v>
      </c>
      <c r="B6464" s="8" t="s">
        <v>10684</v>
      </c>
      <c r="C6464" s="8" t="s">
        <v>13026</v>
      </c>
      <c r="D6464" s="8" t="s">
        <v>13027</v>
      </c>
      <c r="E6464" s="13">
        <v>0</v>
      </c>
      <c r="F6464" s="14">
        <v>0</v>
      </c>
    </row>
    <row r="6465" spans="1:6" x14ac:dyDescent="0.3">
      <c r="A6465" s="8">
        <v>6463</v>
      </c>
      <c r="B6465" s="8" t="s">
        <v>10684</v>
      </c>
      <c r="C6465" s="8" t="s">
        <v>13028</v>
      </c>
      <c r="D6465" s="8" t="s">
        <v>13029</v>
      </c>
      <c r="E6465" s="13">
        <v>0</v>
      </c>
      <c r="F6465" s="14">
        <v>0</v>
      </c>
    </row>
    <row r="6466" spans="1:6" x14ac:dyDescent="0.3">
      <c r="A6466" s="8">
        <v>6464</v>
      </c>
      <c r="B6466" s="8" t="s">
        <v>10684</v>
      </c>
      <c r="C6466" s="8" t="s">
        <v>13030</v>
      </c>
      <c r="D6466" s="8" t="s">
        <v>13031</v>
      </c>
      <c r="E6466" s="13">
        <v>0</v>
      </c>
      <c r="F6466" s="14">
        <v>0</v>
      </c>
    </row>
    <row r="6467" spans="1:6" x14ac:dyDescent="0.3">
      <c r="A6467" s="8">
        <v>6465</v>
      </c>
      <c r="B6467" s="8" t="s">
        <v>10697</v>
      </c>
      <c r="C6467" s="8" t="s">
        <v>13032</v>
      </c>
      <c r="D6467" s="8" t="s">
        <v>13033</v>
      </c>
      <c r="E6467" s="13">
        <v>0</v>
      </c>
      <c r="F6467" s="14">
        <v>0</v>
      </c>
    </row>
    <row r="6468" spans="1:6" x14ac:dyDescent="0.3">
      <c r="A6468" s="8">
        <v>6466</v>
      </c>
      <c r="B6468" s="8" t="s">
        <v>10697</v>
      </c>
      <c r="C6468" s="8" t="s">
        <v>13034</v>
      </c>
      <c r="D6468" s="8" t="s">
        <v>13035</v>
      </c>
      <c r="E6468" s="13">
        <v>0</v>
      </c>
      <c r="F6468" s="14">
        <v>0</v>
      </c>
    </row>
    <row r="6469" spans="1:6" x14ac:dyDescent="0.3">
      <c r="A6469" s="8">
        <v>6467</v>
      </c>
      <c r="B6469" s="8" t="s">
        <v>10697</v>
      </c>
      <c r="C6469" s="8" t="s">
        <v>13036</v>
      </c>
      <c r="D6469" s="8" t="s">
        <v>13037</v>
      </c>
      <c r="E6469" s="13">
        <v>30800</v>
      </c>
      <c r="F6469" s="14">
        <v>62037</v>
      </c>
    </row>
    <row r="6470" spans="1:6" x14ac:dyDescent="0.3">
      <c r="A6470" s="8">
        <v>6468</v>
      </c>
      <c r="B6470" s="8" t="s">
        <v>10697</v>
      </c>
      <c r="C6470" s="8" t="s">
        <v>13038</v>
      </c>
      <c r="D6470" s="8" t="s">
        <v>13039</v>
      </c>
      <c r="E6470" s="13">
        <v>0</v>
      </c>
      <c r="F6470" s="14">
        <v>0</v>
      </c>
    </row>
    <row r="6471" spans="1:6" x14ac:dyDescent="0.3">
      <c r="A6471" s="8">
        <v>6469</v>
      </c>
      <c r="B6471" s="8" t="s">
        <v>10697</v>
      </c>
      <c r="C6471" s="8" t="s">
        <v>13040</v>
      </c>
      <c r="D6471" s="8" t="s">
        <v>13041</v>
      </c>
      <c r="E6471" s="13">
        <v>0</v>
      </c>
      <c r="F6471" s="14">
        <v>0</v>
      </c>
    </row>
    <row r="6472" spans="1:6" x14ac:dyDescent="0.3">
      <c r="A6472" s="8">
        <v>6470</v>
      </c>
      <c r="B6472" s="8" t="s">
        <v>10697</v>
      </c>
      <c r="C6472" s="8" t="s">
        <v>13042</v>
      </c>
      <c r="D6472" s="8" t="s">
        <v>13043</v>
      </c>
      <c r="E6472" s="13">
        <v>0</v>
      </c>
      <c r="F6472" s="14">
        <v>0</v>
      </c>
    </row>
    <row r="6473" spans="1:6" x14ac:dyDescent="0.3">
      <c r="A6473" s="8">
        <v>6471</v>
      </c>
      <c r="B6473" s="8" t="s">
        <v>10697</v>
      </c>
      <c r="C6473" s="8" t="s">
        <v>13044</v>
      </c>
      <c r="D6473" s="8" t="s">
        <v>13045</v>
      </c>
      <c r="E6473" s="13">
        <v>0</v>
      </c>
      <c r="F6473" s="14">
        <v>0</v>
      </c>
    </row>
    <row r="6474" spans="1:6" x14ac:dyDescent="0.3">
      <c r="A6474" s="8">
        <v>6472</v>
      </c>
      <c r="B6474" s="8" t="s">
        <v>10697</v>
      </c>
      <c r="C6474" s="8" t="s">
        <v>13046</v>
      </c>
      <c r="D6474" s="8" t="s">
        <v>13047</v>
      </c>
      <c r="E6474" s="13">
        <v>0</v>
      </c>
      <c r="F6474" s="14">
        <v>0</v>
      </c>
    </row>
    <row r="6475" spans="1:6" x14ac:dyDescent="0.3">
      <c r="A6475" s="8">
        <v>6473</v>
      </c>
      <c r="B6475" s="8" t="s">
        <v>10697</v>
      </c>
      <c r="C6475" s="8" t="s">
        <v>13048</v>
      </c>
      <c r="D6475" s="8" t="s">
        <v>13049</v>
      </c>
      <c r="E6475" s="13">
        <v>0</v>
      </c>
      <c r="F6475" s="14">
        <v>0</v>
      </c>
    </row>
    <row r="6476" spans="1:6" x14ac:dyDescent="0.3">
      <c r="A6476" s="8">
        <v>6474</v>
      </c>
      <c r="B6476" s="8" t="s">
        <v>10697</v>
      </c>
      <c r="C6476" s="8" t="s">
        <v>13050</v>
      </c>
      <c r="D6476" s="8" t="s">
        <v>13051</v>
      </c>
      <c r="E6476" s="13">
        <v>0</v>
      </c>
      <c r="F6476" s="14">
        <v>0</v>
      </c>
    </row>
    <row r="6477" spans="1:6" x14ac:dyDescent="0.3">
      <c r="A6477" s="8">
        <v>6475</v>
      </c>
      <c r="B6477" s="8" t="s">
        <v>9478</v>
      </c>
      <c r="C6477" s="8" t="s">
        <v>13052</v>
      </c>
      <c r="D6477" s="8" t="s">
        <v>13053</v>
      </c>
      <c r="E6477" s="13">
        <v>106000</v>
      </c>
      <c r="F6477" s="14">
        <v>212037</v>
      </c>
    </row>
    <row r="6478" spans="1:6" x14ac:dyDescent="0.3">
      <c r="A6478" s="8">
        <v>6476</v>
      </c>
      <c r="B6478" s="8" t="s">
        <v>9478</v>
      </c>
      <c r="C6478" s="8" t="s">
        <v>13054</v>
      </c>
      <c r="D6478" s="8" t="s">
        <v>13055</v>
      </c>
      <c r="E6478" s="13">
        <v>0</v>
      </c>
      <c r="F6478" s="14">
        <v>0</v>
      </c>
    </row>
    <row r="6479" spans="1:6" x14ac:dyDescent="0.3">
      <c r="A6479" s="8">
        <v>6477</v>
      </c>
      <c r="B6479" s="8" t="s">
        <v>9478</v>
      </c>
      <c r="C6479" s="8" t="s">
        <v>13056</v>
      </c>
      <c r="D6479" s="8" t="s">
        <v>30</v>
      </c>
      <c r="E6479" s="13">
        <v>60300</v>
      </c>
      <c r="F6479" s="14">
        <v>120370</v>
      </c>
    </row>
    <row r="6480" spans="1:6" x14ac:dyDescent="0.3">
      <c r="A6480" s="8">
        <v>6478</v>
      </c>
      <c r="B6480" s="8" t="s">
        <v>9478</v>
      </c>
      <c r="C6480" s="8" t="s">
        <v>13057</v>
      </c>
      <c r="D6480" s="8" t="s">
        <v>13058</v>
      </c>
      <c r="E6480" s="13">
        <v>80000</v>
      </c>
      <c r="F6480" s="14">
        <v>175926</v>
      </c>
    </row>
    <row r="6481" spans="1:6" x14ac:dyDescent="0.3">
      <c r="A6481" s="8">
        <v>6479</v>
      </c>
      <c r="B6481" s="8" t="s">
        <v>9478</v>
      </c>
      <c r="C6481" s="8" t="s">
        <v>13059</v>
      </c>
      <c r="D6481" s="8" t="s">
        <v>65</v>
      </c>
      <c r="E6481" s="13">
        <v>80000</v>
      </c>
      <c r="F6481" s="14">
        <v>175926</v>
      </c>
    </row>
    <row r="6482" spans="1:6" x14ac:dyDescent="0.3">
      <c r="A6482" s="8">
        <v>6480</v>
      </c>
      <c r="B6482" s="8" t="s">
        <v>9478</v>
      </c>
      <c r="C6482" s="8" t="s">
        <v>13060</v>
      </c>
      <c r="D6482" s="8" t="s">
        <v>13061</v>
      </c>
      <c r="E6482" s="13">
        <v>0</v>
      </c>
      <c r="F6482" s="14">
        <v>0</v>
      </c>
    </row>
    <row r="6483" spans="1:6" x14ac:dyDescent="0.3">
      <c r="A6483" s="8">
        <v>6481</v>
      </c>
      <c r="B6483" s="8" t="s">
        <v>9478</v>
      </c>
      <c r="C6483" s="8" t="s">
        <v>13062</v>
      </c>
      <c r="D6483" s="8" t="s">
        <v>13063</v>
      </c>
      <c r="E6483" s="13">
        <v>0</v>
      </c>
      <c r="F6483" s="14">
        <v>0</v>
      </c>
    </row>
    <row r="6484" spans="1:6" x14ac:dyDescent="0.3">
      <c r="A6484" s="8">
        <v>6482</v>
      </c>
      <c r="B6484" s="8" t="s">
        <v>9478</v>
      </c>
      <c r="C6484" s="8" t="s">
        <v>13064</v>
      </c>
      <c r="D6484" s="8" t="s">
        <v>13065</v>
      </c>
      <c r="E6484" s="13">
        <v>0</v>
      </c>
      <c r="F6484" s="14">
        <v>0</v>
      </c>
    </row>
    <row r="6485" spans="1:6" x14ac:dyDescent="0.3">
      <c r="A6485" s="8">
        <v>6483</v>
      </c>
      <c r="B6485" s="8" t="s">
        <v>9478</v>
      </c>
      <c r="C6485" s="8" t="s">
        <v>13066</v>
      </c>
      <c r="D6485" s="8" t="s">
        <v>13067</v>
      </c>
      <c r="E6485" s="13">
        <v>0</v>
      </c>
      <c r="F6485" s="14">
        <v>0</v>
      </c>
    </row>
    <row r="6486" spans="1:6" x14ac:dyDescent="0.3">
      <c r="A6486" s="8">
        <v>6484</v>
      </c>
      <c r="B6486" s="8" t="s">
        <v>9478</v>
      </c>
      <c r="C6486" s="8" t="s">
        <v>13068</v>
      </c>
      <c r="D6486" s="8" t="s">
        <v>13069</v>
      </c>
      <c r="E6486" s="13">
        <v>0</v>
      </c>
      <c r="F6486" s="14">
        <v>0</v>
      </c>
    </row>
    <row r="6487" spans="1:6" x14ac:dyDescent="0.3">
      <c r="A6487" s="8">
        <v>6485</v>
      </c>
      <c r="B6487" s="8" t="s">
        <v>9478</v>
      </c>
      <c r="C6487" s="8" t="s">
        <v>13070</v>
      </c>
      <c r="D6487" s="8" t="s">
        <v>13071</v>
      </c>
      <c r="E6487" s="13">
        <v>0</v>
      </c>
      <c r="F6487" s="14">
        <v>0</v>
      </c>
    </row>
    <row r="6488" spans="1:6" x14ac:dyDescent="0.3">
      <c r="A6488" s="8">
        <v>6486</v>
      </c>
      <c r="B6488" s="8" t="s">
        <v>9478</v>
      </c>
      <c r="C6488" s="8" t="s">
        <v>13072</v>
      </c>
      <c r="D6488" s="8" t="s">
        <v>13073</v>
      </c>
      <c r="E6488" s="13">
        <v>0</v>
      </c>
      <c r="F6488" s="14">
        <v>0</v>
      </c>
    </row>
    <row r="6489" spans="1:6" x14ac:dyDescent="0.3">
      <c r="A6489" s="8">
        <v>6487</v>
      </c>
      <c r="B6489" s="8" t="s">
        <v>9478</v>
      </c>
      <c r="C6489" s="8" t="s">
        <v>13074</v>
      </c>
      <c r="D6489" s="8" t="s">
        <v>13075</v>
      </c>
      <c r="E6489" s="13">
        <v>0</v>
      </c>
      <c r="F6489" s="14">
        <v>0</v>
      </c>
    </row>
    <row r="6490" spans="1:6" x14ac:dyDescent="0.3">
      <c r="A6490" s="8">
        <v>6488</v>
      </c>
      <c r="B6490" s="8" t="s">
        <v>9478</v>
      </c>
      <c r="C6490" s="8" t="s">
        <v>13076</v>
      </c>
      <c r="D6490" s="8" t="s">
        <v>13077</v>
      </c>
      <c r="E6490" s="13">
        <v>0</v>
      </c>
      <c r="F6490" s="14">
        <v>0</v>
      </c>
    </row>
    <row r="6491" spans="1:6" x14ac:dyDescent="0.3">
      <c r="A6491" s="8">
        <v>6489</v>
      </c>
      <c r="B6491" s="8" t="s">
        <v>9478</v>
      </c>
      <c r="C6491" s="8" t="s">
        <v>13078</v>
      </c>
      <c r="D6491" s="8" t="s">
        <v>13079</v>
      </c>
      <c r="E6491" s="13">
        <v>0</v>
      </c>
      <c r="F6491" s="14">
        <v>0</v>
      </c>
    </row>
    <row r="6492" spans="1:6" x14ac:dyDescent="0.3">
      <c r="A6492" s="8">
        <v>6490</v>
      </c>
      <c r="B6492" s="8" t="s">
        <v>9478</v>
      </c>
      <c r="C6492" s="8" t="s">
        <v>13080</v>
      </c>
      <c r="D6492" s="8" t="s">
        <v>13081</v>
      </c>
      <c r="E6492" s="13">
        <v>82000</v>
      </c>
      <c r="F6492" s="14">
        <v>163889</v>
      </c>
    </row>
    <row r="6493" spans="1:6" x14ac:dyDescent="0.3">
      <c r="A6493" s="8">
        <v>6491</v>
      </c>
      <c r="B6493" s="8" t="s">
        <v>9478</v>
      </c>
      <c r="C6493" s="8" t="s">
        <v>13082</v>
      </c>
      <c r="D6493" s="8" t="s">
        <v>13083</v>
      </c>
      <c r="E6493" s="13">
        <v>0</v>
      </c>
      <c r="F6493" s="14">
        <v>0</v>
      </c>
    </row>
    <row r="6494" spans="1:6" x14ac:dyDescent="0.3">
      <c r="A6494" s="8">
        <v>6492</v>
      </c>
      <c r="B6494" s="8" t="s">
        <v>9478</v>
      </c>
      <c r="C6494" s="8" t="s">
        <v>13084</v>
      </c>
      <c r="D6494" s="8" t="s">
        <v>13085</v>
      </c>
      <c r="E6494" s="13">
        <v>0</v>
      </c>
      <c r="F6494" s="14">
        <v>0</v>
      </c>
    </row>
    <row r="6495" spans="1:6" x14ac:dyDescent="0.3">
      <c r="A6495" s="8">
        <v>6493</v>
      </c>
      <c r="B6495" s="8" t="s">
        <v>9478</v>
      </c>
      <c r="C6495" s="8" t="s">
        <v>13086</v>
      </c>
      <c r="D6495" s="8" t="s">
        <v>13087</v>
      </c>
      <c r="E6495" s="13">
        <v>0</v>
      </c>
      <c r="F6495" s="14">
        <v>0</v>
      </c>
    </row>
    <row r="6496" spans="1:6" x14ac:dyDescent="0.3">
      <c r="A6496" s="8">
        <v>6494</v>
      </c>
      <c r="B6496" s="8" t="s">
        <v>9478</v>
      </c>
      <c r="C6496" s="8" t="s">
        <v>13088</v>
      </c>
      <c r="D6496" s="8" t="s">
        <v>13089</v>
      </c>
      <c r="E6496" s="13">
        <v>0</v>
      </c>
      <c r="F6496" s="14">
        <v>0</v>
      </c>
    </row>
    <row r="6497" spans="1:6" x14ac:dyDescent="0.3">
      <c r="A6497" s="8">
        <v>6495</v>
      </c>
      <c r="B6497" s="8" t="s">
        <v>9478</v>
      </c>
      <c r="C6497" s="8" t="s">
        <v>13090</v>
      </c>
      <c r="D6497" s="8" t="s">
        <v>100</v>
      </c>
      <c r="E6497" s="13">
        <v>241000</v>
      </c>
      <c r="F6497" s="14">
        <v>482407</v>
      </c>
    </row>
    <row r="6498" spans="1:6" x14ac:dyDescent="0.3">
      <c r="A6498" s="8">
        <v>6496</v>
      </c>
      <c r="B6498" s="8" t="s">
        <v>9478</v>
      </c>
      <c r="C6498" s="8" t="s">
        <v>13091</v>
      </c>
      <c r="D6498" s="8" t="s">
        <v>13092</v>
      </c>
      <c r="E6498" s="13">
        <v>0</v>
      </c>
      <c r="F6498" s="14">
        <v>0</v>
      </c>
    </row>
    <row r="6499" spans="1:6" x14ac:dyDescent="0.3">
      <c r="A6499" s="8">
        <v>6497</v>
      </c>
      <c r="B6499" s="8" t="s">
        <v>9478</v>
      </c>
      <c r="C6499" s="8" t="s">
        <v>13093</v>
      </c>
      <c r="D6499" s="8" t="s">
        <v>13094</v>
      </c>
      <c r="E6499" s="13">
        <v>0</v>
      </c>
      <c r="F6499" s="14">
        <v>0</v>
      </c>
    </row>
    <row r="6500" spans="1:6" x14ac:dyDescent="0.3">
      <c r="A6500" s="8">
        <v>6498</v>
      </c>
      <c r="B6500" s="8" t="s">
        <v>9478</v>
      </c>
      <c r="C6500" s="8" t="s">
        <v>13095</v>
      </c>
      <c r="D6500" s="8" t="s">
        <v>13096</v>
      </c>
      <c r="E6500" s="13">
        <v>0</v>
      </c>
      <c r="F6500" s="14">
        <v>0</v>
      </c>
    </row>
    <row r="6501" spans="1:6" x14ac:dyDescent="0.3">
      <c r="A6501" s="8">
        <v>6499</v>
      </c>
      <c r="B6501" s="8" t="s">
        <v>9478</v>
      </c>
      <c r="C6501" s="8" t="s">
        <v>13097</v>
      </c>
      <c r="D6501" s="8" t="s">
        <v>107</v>
      </c>
      <c r="E6501" s="13">
        <v>53100</v>
      </c>
      <c r="F6501" s="14">
        <v>106481</v>
      </c>
    </row>
    <row r="6502" spans="1:6" x14ac:dyDescent="0.3">
      <c r="A6502" s="8">
        <v>6500</v>
      </c>
      <c r="B6502" s="8" t="s">
        <v>9478</v>
      </c>
      <c r="C6502" s="8" t="s">
        <v>13098</v>
      </c>
      <c r="D6502" s="8" t="s">
        <v>13099</v>
      </c>
      <c r="E6502" s="13">
        <v>0</v>
      </c>
      <c r="F6502" s="14">
        <v>0</v>
      </c>
    </row>
    <row r="6503" spans="1:6" x14ac:dyDescent="0.3">
      <c r="A6503" s="8">
        <v>6501</v>
      </c>
      <c r="B6503" s="8" t="s">
        <v>9478</v>
      </c>
      <c r="C6503" s="8" t="s">
        <v>13100</v>
      </c>
      <c r="D6503" s="8" t="s">
        <v>13101</v>
      </c>
      <c r="E6503" s="13">
        <v>0</v>
      </c>
      <c r="F6503" s="14">
        <v>0</v>
      </c>
    </row>
    <row r="6504" spans="1:6" x14ac:dyDescent="0.3">
      <c r="A6504" s="8">
        <v>6502</v>
      </c>
      <c r="B6504" s="8" t="s">
        <v>10667</v>
      </c>
      <c r="C6504" s="8" t="s">
        <v>13102</v>
      </c>
      <c r="D6504" s="8" t="s">
        <v>13103</v>
      </c>
      <c r="E6504" s="13">
        <v>0</v>
      </c>
      <c r="F6504" s="14">
        <v>0</v>
      </c>
    </row>
    <row r="6505" spans="1:6" x14ac:dyDescent="0.3">
      <c r="A6505" s="8">
        <v>6503</v>
      </c>
      <c r="B6505" s="8" t="s">
        <v>10667</v>
      </c>
      <c r="C6505" s="8" t="s">
        <v>13104</v>
      </c>
      <c r="D6505" s="8" t="s">
        <v>13105</v>
      </c>
      <c r="E6505" s="13">
        <v>0</v>
      </c>
      <c r="F6505" s="14">
        <v>0</v>
      </c>
    </row>
    <row r="6506" spans="1:6" x14ac:dyDescent="0.3">
      <c r="A6506" s="8">
        <v>6504</v>
      </c>
      <c r="B6506" s="8" t="s">
        <v>9478</v>
      </c>
      <c r="C6506" s="8" t="s">
        <v>13106</v>
      </c>
      <c r="D6506" s="8" t="s">
        <v>13107</v>
      </c>
      <c r="E6506" s="13">
        <v>0</v>
      </c>
      <c r="F6506" s="14">
        <v>0</v>
      </c>
    </row>
    <row r="6507" spans="1:6" x14ac:dyDescent="0.3">
      <c r="A6507" s="8">
        <v>6505</v>
      </c>
      <c r="B6507" s="8" t="s">
        <v>9478</v>
      </c>
      <c r="C6507" s="8" t="s">
        <v>13108</v>
      </c>
      <c r="D6507" s="8" t="s">
        <v>13109</v>
      </c>
      <c r="E6507" s="13">
        <v>0</v>
      </c>
      <c r="F6507" s="14">
        <v>0</v>
      </c>
    </row>
    <row r="6508" spans="1:6" x14ac:dyDescent="0.3">
      <c r="A6508" s="8">
        <v>6506</v>
      </c>
      <c r="B6508" s="8" t="s">
        <v>9478</v>
      </c>
      <c r="C6508" s="8" t="s">
        <v>13110</v>
      </c>
      <c r="D6508" s="8" t="s">
        <v>13111</v>
      </c>
      <c r="E6508" s="13">
        <v>0</v>
      </c>
      <c r="F6508" s="14">
        <v>0</v>
      </c>
    </row>
    <row r="6509" spans="1:6" x14ac:dyDescent="0.3">
      <c r="A6509" s="8">
        <v>6507</v>
      </c>
      <c r="B6509" s="8" t="s">
        <v>9478</v>
      </c>
      <c r="C6509" s="8" t="s">
        <v>13112</v>
      </c>
      <c r="D6509" s="8" t="s">
        <v>13113</v>
      </c>
      <c r="E6509" s="13">
        <v>0</v>
      </c>
      <c r="F6509" s="14">
        <v>0</v>
      </c>
    </row>
    <row r="6510" spans="1:6" x14ac:dyDescent="0.3">
      <c r="A6510" s="8">
        <v>6508</v>
      </c>
      <c r="B6510" s="8" t="s">
        <v>9478</v>
      </c>
      <c r="C6510" s="8" t="s">
        <v>13114</v>
      </c>
      <c r="D6510" s="8" t="s">
        <v>13115</v>
      </c>
      <c r="E6510" s="13">
        <v>0</v>
      </c>
      <c r="F6510" s="14">
        <v>0</v>
      </c>
    </row>
    <row r="6511" spans="1:6" x14ac:dyDescent="0.3">
      <c r="A6511" s="8">
        <v>6509</v>
      </c>
      <c r="B6511" s="8" t="s">
        <v>9478</v>
      </c>
      <c r="C6511" s="8" t="s">
        <v>13116</v>
      </c>
      <c r="D6511" s="8" t="s">
        <v>13117</v>
      </c>
      <c r="E6511" s="13">
        <v>0</v>
      </c>
      <c r="F6511" s="14">
        <v>336364</v>
      </c>
    </row>
    <row r="6512" spans="1:6" x14ac:dyDescent="0.3">
      <c r="A6512" s="8">
        <v>6510</v>
      </c>
      <c r="B6512" s="8" t="s">
        <v>9478</v>
      </c>
      <c r="C6512" s="8" t="s">
        <v>13118</v>
      </c>
      <c r="D6512" s="8" t="s">
        <v>13119</v>
      </c>
      <c r="E6512" s="13">
        <v>190000</v>
      </c>
      <c r="F6512" s="14">
        <v>380000</v>
      </c>
    </row>
    <row r="6513" spans="1:6" x14ac:dyDescent="0.3">
      <c r="A6513" s="8">
        <v>6511</v>
      </c>
      <c r="B6513" s="8" t="s">
        <v>9478</v>
      </c>
      <c r="C6513" s="8" t="s">
        <v>13120</v>
      </c>
      <c r="D6513" s="8" t="s">
        <v>13121</v>
      </c>
      <c r="E6513" s="13">
        <v>0</v>
      </c>
      <c r="F6513" s="14">
        <v>0</v>
      </c>
    </row>
    <row r="6514" spans="1:6" x14ac:dyDescent="0.3">
      <c r="A6514" s="8">
        <v>6512</v>
      </c>
      <c r="B6514" s="8" t="s">
        <v>10667</v>
      </c>
      <c r="C6514" s="8" t="s">
        <v>13122</v>
      </c>
      <c r="D6514" s="8" t="s">
        <v>13123</v>
      </c>
      <c r="E6514" s="13">
        <v>0</v>
      </c>
      <c r="F6514" s="14">
        <v>0</v>
      </c>
    </row>
    <row r="6515" spans="1:6" x14ac:dyDescent="0.3">
      <c r="A6515" s="8">
        <v>6513</v>
      </c>
      <c r="B6515" s="8" t="s">
        <v>10667</v>
      </c>
      <c r="C6515" s="8" t="s">
        <v>13124</v>
      </c>
      <c r="D6515" s="8" t="s">
        <v>13125</v>
      </c>
      <c r="E6515" s="13">
        <v>0</v>
      </c>
      <c r="F6515" s="14">
        <v>0</v>
      </c>
    </row>
    <row r="6516" spans="1:6" x14ac:dyDescent="0.3">
      <c r="A6516" s="8">
        <v>6514</v>
      </c>
      <c r="B6516" s="8" t="s">
        <v>10667</v>
      </c>
      <c r="C6516" s="8" t="s">
        <v>13126</v>
      </c>
      <c r="D6516" s="8" t="s">
        <v>13127</v>
      </c>
      <c r="E6516" s="13">
        <v>0</v>
      </c>
      <c r="F6516" s="14">
        <v>0</v>
      </c>
    </row>
    <row r="6517" spans="1:6" x14ac:dyDescent="0.3">
      <c r="A6517" s="8">
        <v>6515</v>
      </c>
      <c r="B6517" s="8" t="s">
        <v>10667</v>
      </c>
      <c r="C6517" s="8" t="s">
        <v>13128</v>
      </c>
      <c r="D6517" s="8" t="s">
        <v>13129</v>
      </c>
      <c r="E6517" s="13">
        <v>0</v>
      </c>
      <c r="F6517" s="14">
        <v>0</v>
      </c>
    </row>
    <row r="6518" spans="1:6" x14ac:dyDescent="0.3">
      <c r="A6518" s="8">
        <v>6516</v>
      </c>
      <c r="B6518" s="8" t="s">
        <v>10667</v>
      </c>
      <c r="C6518" s="8" t="s">
        <v>13130</v>
      </c>
      <c r="D6518" s="8" t="s">
        <v>13131</v>
      </c>
      <c r="E6518" s="13">
        <v>0</v>
      </c>
      <c r="F6518" s="14">
        <v>0</v>
      </c>
    </row>
    <row r="6519" spans="1:6" x14ac:dyDescent="0.3">
      <c r="A6519" s="8">
        <v>6517</v>
      </c>
      <c r="B6519" s="8" t="s">
        <v>10667</v>
      </c>
      <c r="C6519" s="8" t="s">
        <v>13132</v>
      </c>
      <c r="D6519" s="8" t="s">
        <v>13133</v>
      </c>
      <c r="E6519" s="13">
        <v>0</v>
      </c>
      <c r="F6519" s="14">
        <v>0</v>
      </c>
    </row>
    <row r="6520" spans="1:6" x14ac:dyDescent="0.3">
      <c r="A6520" s="8">
        <v>6518</v>
      </c>
      <c r="B6520" s="8" t="s">
        <v>10667</v>
      </c>
      <c r="C6520" s="8" t="s">
        <v>13134</v>
      </c>
      <c r="D6520" s="8" t="s">
        <v>13135</v>
      </c>
      <c r="E6520" s="13">
        <v>0</v>
      </c>
      <c r="F6520" s="14">
        <v>0</v>
      </c>
    </row>
    <row r="6521" spans="1:6" x14ac:dyDescent="0.3">
      <c r="A6521" s="8">
        <v>6519</v>
      </c>
      <c r="B6521" s="8" t="s">
        <v>10667</v>
      </c>
      <c r="C6521" s="8" t="s">
        <v>13136</v>
      </c>
      <c r="D6521" s="8" t="s">
        <v>13137</v>
      </c>
      <c r="E6521" s="13">
        <v>0</v>
      </c>
      <c r="F6521" s="14">
        <v>0</v>
      </c>
    </row>
    <row r="6522" spans="1:6" x14ac:dyDescent="0.3">
      <c r="A6522" s="8">
        <v>6520</v>
      </c>
      <c r="B6522" s="8" t="s">
        <v>10684</v>
      </c>
      <c r="C6522" s="8" t="s">
        <v>13138</v>
      </c>
      <c r="D6522" s="8" t="s">
        <v>13139</v>
      </c>
      <c r="E6522" s="13">
        <v>31660</v>
      </c>
      <c r="F6522" s="14">
        <v>0</v>
      </c>
    </row>
    <row r="6523" spans="1:6" x14ac:dyDescent="0.3">
      <c r="A6523" s="8">
        <v>6521</v>
      </c>
      <c r="B6523" s="8" t="s">
        <v>10684</v>
      </c>
      <c r="C6523" s="8" t="s">
        <v>13140</v>
      </c>
      <c r="D6523" s="8" t="s">
        <v>13141</v>
      </c>
      <c r="E6523" s="13">
        <v>0</v>
      </c>
      <c r="F6523" s="14">
        <v>0</v>
      </c>
    </row>
    <row r="6524" spans="1:6" x14ac:dyDescent="0.3">
      <c r="A6524" s="8">
        <v>6522</v>
      </c>
      <c r="B6524" s="8" t="s">
        <v>10684</v>
      </c>
      <c r="C6524" s="8" t="s">
        <v>13142</v>
      </c>
      <c r="D6524" s="8" t="s">
        <v>13143</v>
      </c>
      <c r="E6524" s="13">
        <v>0</v>
      </c>
      <c r="F6524" s="14">
        <v>0</v>
      </c>
    </row>
    <row r="6525" spans="1:6" x14ac:dyDescent="0.3">
      <c r="A6525" s="8">
        <v>6523</v>
      </c>
      <c r="B6525" s="8" t="s">
        <v>10684</v>
      </c>
      <c r="C6525" s="8" t="s">
        <v>13144</v>
      </c>
      <c r="D6525" s="8" t="s">
        <v>20</v>
      </c>
      <c r="E6525" s="13">
        <v>39900</v>
      </c>
      <c r="F6525" s="14">
        <v>79815</v>
      </c>
    </row>
    <row r="6526" spans="1:6" x14ac:dyDescent="0.3">
      <c r="A6526" s="8">
        <v>6524</v>
      </c>
      <c r="B6526" s="8" t="s">
        <v>10684</v>
      </c>
      <c r="C6526" s="8" t="s">
        <v>13145</v>
      </c>
      <c r="D6526" s="8" t="s">
        <v>13146</v>
      </c>
      <c r="E6526" s="13">
        <v>0</v>
      </c>
      <c r="F6526" s="14">
        <v>0</v>
      </c>
    </row>
    <row r="6527" spans="1:6" x14ac:dyDescent="0.3">
      <c r="A6527" s="8">
        <v>6525</v>
      </c>
      <c r="B6527" s="8" t="s">
        <v>10684</v>
      </c>
      <c r="C6527" s="8" t="s">
        <v>13147</v>
      </c>
      <c r="D6527" s="8" t="s">
        <v>25</v>
      </c>
      <c r="E6527" s="13">
        <v>68600</v>
      </c>
      <c r="F6527" s="14">
        <v>137037</v>
      </c>
    </row>
    <row r="6528" spans="1:6" x14ac:dyDescent="0.3">
      <c r="A6528" s="8">
        <v>6526</v>
      </c>
      <c r="B6528" s="8" t="s">
        <v>10684</v>
      </c>
      <c r="C6528" s="8" t="s">
        <v>13148</v>
      </c>
      <c r="D6528" s="8" t="s">
        <v>13149</v>
      </c>
      <c r="E6528" s="13">
        <v>0</v>
      </c>
      <c r="F6528" s="14">
        <v>0</v>
      </c>
    </row>
    <row r="6529" spans="1:6" x14ac:dyDescent="0.3">
      <c r="A6529" s="8">
        <v>6527</v>
      </c>
      <c r="B6529" s="8" t="s">
        <v>10684</v>
      </c>
      <c r="C6529" s="8" t="s">
        <v>13150</v>
      </c>
      <c r="D6529" s="8" t="s">
        <v>13151</v>
      </c>
      <c r="E6529" s="13">
        <v>0</v>
      </c>
      <c r="F6529" s="14">
        <v>0</v>
      </c>
    </row>
    <row r="6530" spans="1:6" x14ac:dyDescent="0.3">
      <c r="A6530" s="8">
        <v>6528</v>
      </c>
      <c r="B6530" s="8" t="s">
        <v>10684</v>
      </c>
      <c r="C6530" s="8" t="s">
        <v>13152</v>
      </c>
      <c r="D6530" s="8" t="s">
        <v>13153</v>
      </c>
      <c r="E6530" s="13">
        <v>0</v>
      </c>
      <c r="F6530" s="14">
        <v>0</v>
      </c>
    </row>
    <row r="6531" spans="1:6" x14ac:dyDescent="0.3">
      <c r="A6531" s="8">
        <v>6529</v>
      </c>
      <c r="B6531" s="8" t="s">
        <v>10684</v>
      </c>
      <c r="C6531" s="8" t="s">
        <v>13154</v>
      </c>
      <c r="D6531" s="8" t="s">
        <v>13155</v>
      </c>
      <c r="E6531" s="13">
        <v>0</v>
      </c>
      <c r="F6531" s="14">
        <v>0</v>
      </c>
    </row>
    <row r="6532" spans="1:6" x14ac:dyDescent="0.3">
      <c r="A6532" s="8">
        <v>6530</v>
      </c>
      <c r="B6532" s="8" t="s">
        <v>10697</v>
      </c>
      <c r="C6532" s="8" t="s">
        <v>13156</v>
      </c>
      <c r="D6532" s="8" t="s">
        <v>13157</v>
      </c>
      <c r="E6532" s="13">
        <v>0</v>
      </c>
      <c r="F6532" s="14">
        <v>0</v>
      </c>
    </row>
    <row r="6533" spans="1:6" x14ac:dyDescent="0.3">
      <c r="A6533" s="8">
        <v>6531</v>
      </c>
      <c r="B6533" s="8" t="s">
        <v>10697</v>
      </c>
      <c r="C6533" s="8" t="s">
        <v>13158</v>
      </c>
      <c r="D6533" s="8" t="s">
        <v>13159</v>
      </c>
      <c r="E6533" s="13">
        <v>0</v>
      </c>
      <c r="F6533" s="14">
        <v>0</v>
      </c>
    </row>
    <row r="6534" spans="1:6" x14ac:dyDescent="0.3">
      <c r="A6534" s="8">
        <v>6532</v>
      </c>
      <c r="B6534" s="8" t="s">
        <v>10697</v>
      </c>
      <c r="C6534" s="8" t="s">
        <v>13160</v>
      </c>
      <c r="D6534" s="8" t="s">
        <v>13161</v>
      </c>
      <c r="E6534" s="13">
        <v>20000</v>
      </c>
      <c r="F6534" s="14">
        <v>40000</v>
      </c>
    </row>
    <row r="6535" spans="1:6" x14ac:dyDescent="0.3">
      <c r="A6535" s="8">
        <v>6533</v>
      </c>
      <c r="B6535" s="8" t="s">
        <v>10697</v>
      </c>
      <c r="C6535" s="8" t="s">
        <v>13162</v>
      </c>
      <c r="D6535" s="8" t="s">
        <v>13163</v>
      </c>
      <c r="E6535" s="13">
        <v>0</v>
      </c>
      <c r="F6535" s="14">
        <v>0</v>
      </c>
    </row>
    <row r="6536" spans="1:6" x14ac:dyDescent="0.3">
      <c r="A6536" s="8">
        <v>6534</v>
      </c>
      <c r="B6536" s="8" t="s">
        <v>9478</v>
      </c>
      <c r="C6536" s="8" t="s">
        <v>13164</v>
      </c>
      <c r="D6536" s="8" t="s">
        <v>13165</v>
      </c>
      <c r="E6536" s="13">
        <v>0</v>
      </c>
      <c r="F6536" s="14">
        <v>0</v>
      </c>
    </row>
    <row r="6537" spans="1:6" x14ac:dyDescent="0.3">
      <c r="A6537" s="8">
        <v>6535</v>
      </c>
      <c r="B6537" s="8" t="s">
        <v>9478</v>
      </c>
      <c r="C6537" s="8" t="s">
        <v>13166</v>
      </c>
      <c r="D6537" s="8" t="s">
        <v>13167</v>
      </c>
      <c r="E6537" s="13">
        <v>0</v>
      </c>
      <c r="F6537" s="14">
        <v>0</v>
      </c>
    </row>
    <row r="6538" spans="1:6" x14ac:dyDescent="0.3">
      <c r="A6538" s="8">
        <v>6536</v>
      </c>
      <c r="B6538" s="8" t="s">
        <v>9478</v>
      </c>
      <c r="C6538" s="8" t="s">
        <v>13168</v>
      </c>
      <c r="D6538" s="8" t="s">
        <v>13169</v>
      </c>
      <c r="E6538" s="13">
        <v>0</v>
      </c>
      <c r="F6538" s="14">
        <v>0</v>
      </c>
    </row>
    <row r="6539" spans="1:6" x14ac:dyDescent="0.3">
      <c r="A6539" s="8">
        <v>6537</v>
      </c>
      <c r="B6539" s="8" t="s">
        <v>9478</v>
      </c>
      <c r="C6539" s="8" t="s">
        <v>13170</v>
      </c>
      <c r="D6539" s="8" t="s">
        <v>13171</v>
      </c>
      <c r="E6539" s="13">
        <v>0</v>
      </c>
      <c r="F6539" s="14">
        <v>0</v>
      </c>
    </row>
    <row r="6540" spans="1:6" x14ac:dyDescent="0.3">
      <c r="A6540" s="8">
        <v>6538</v>
      </c>
      <c r="B6540" s="8" t="s">
        <v>9478</v>
      </c>
      <c r="C6540" s="8" t="s">
        <v>13172</v>
      </c>
      <c r="D6540" s="8" t="s">
        <v>13173</v>
      </c>
      <c r="E6540" s="13">
        <v>0</v>
      </c>
      <c r="F6540" s="14">
        <v>0</v>
      </c>
    </row>
    <row r="6541" spans="1:6" x14ac:dyDescent="0.3">
      <c r="A6541" s="8">
        <v>6539</v>
      </c>
      <c r="B6541" s="8" t="s">
        <v>9478</v>
      </c>
      <c r="C6541" s="8" t="s">
        <v>13174</v>
      </c>
      <c r="D6541" s="8" t="s">
        <v>13175</v>
      </c>
      <c r="E6541" s="13">
        <v>0</v>
      </c>
      <c r="F6541" s="14">
        <v>0</v>
      </c>
    </row>
    <row r="6542" spans="1:6" x14ac:dyDescent="0.3">
      <c r="A6542" s="8">
        <v>6540</v>
      </c>
      <c r="B6542" s="8" t="s">
        <v>9478</v>
      </c>
      <c r="C6542" s="8" t="s">
        <v>13176</v>
      </c>
      <c r="D6542" s="8" t="s">
        <v>13177</v>
      </c>
      <c r="E6542" s="13">
        <v>0</v>
      </c>
      <c r="F6542" s="14">
        <v>0</v>
      </c>
    </row>
    <row r="6543" spans="1:6" x14ac:dyDescent="0.3">
      <c r="A6543" s="8">
        <v>6541</v>
      </c>
      <c r="B6543" s="8" t="s">
        <v>9478</v>
      </c>
      <c r="C6543" s="8" t="s">
        <v>13178</v>
      </c>
      <c r="D6543" s="8" t="s">
        <v>13179</v>
      </c>
      <c r="E6543" s="13">
        <v>0</v>
      </c>
      <c r="F6543" s="14">
        <v>0</v>
      </c>
    </row>
    <row r="6544" spans="1:6" x14ac:dyDescent="0.3">
      <c r="A6544" s="8">
        <v>6542</v>
      </c>
      <c r="B6544" s="8" t="s">
        <v>9478</v>
      </c>
      <c r="C6544" s="8" t="s">
        <v>13180</v>
      </c>
      <c r="D6544" s="8" t="s">
        <v>13181</v>
      </c>
      <c r="E6544" s="13">
        <v>0</v>
      </c>
      <c r="F6544" s="14">
        <v>0</v>
      </c>
    </row>
    <row r="6545" spans="1:6" x14ac:dyDescent="0.3">
      <c r="A6545" s="8">
        <v>6543</v>
      </c>
      <c r="B6545" s="8" t="s">
        <v>9478</v>
      </c>
      <c r="C6545" s="8" t="s">
        <v>13182</v>
      </c>
      <c r="D6545" s="8" t="s">
        <v>60</v>
      </c>
      <c r="E6545" s="13">
        <v>315000</v>
      </c>
      <c r="F6545" s="14">
        <v>629630</v>
      </c>
    </row>
    <row r="6546" spans="1:6" x14ac:dyDescent="0.3">
      <c r="A6546" s="8">
        <v>6544</v>
      </c>
      <c r="B6546" s="8" t="s">
        <v>9478</v>
      </c>
      <c r="C6546" s="8" t="s">
        <v>13183</v>
      </c>
      <c r="D6546" s="8" t="s">
        <v>13184</v>
      </c>
      <c r="E6546" s="13">
        <v>0</v>
      </c>
      <c r="F6546" s="14">
        <v>0</v>
      </c>
    </row>
    <row r="6547" spans="1:6" x14ac:dyDescent="0.3">
      <c r="A6547" s="8">
        <v>6545</v>
      </c>
      <c r="B6547" s="8" t="s">
        <v>9478</v>
      </c>
      <c r="C6547" s="8" t="s">
        <v>13185</v>
      </c>
      <c r="D6547" s="8" t="s">
        <v>13186</v>
      </c>
      <c r="E6547" s="13">
        <v>0</v>
      </c>
      <c r="F6547" s="14">
        <v>0</v>
      </c>
    </row>
    <row r="6548" spans="1:6" x14ac:dyDescent="0.3">
      <c r="A6548" s="8">
        <v>6546</v>
      </c>
      <c r="B6548" s="8" t="s">
        <v>9478</v>
      </c>
      <c r="C6548" s="8" t="s">
        <v>13187</v>
      </c>
      <c r="D6548" s="8" t="s">
        <v>13188</v>
      </c>
      <c r="E6548" s="13">
        <v>0</v>
      </c>
      <c r="F6548" s="14">
        <v>0</v>
      </c>
    </row>
    <row r="6549" spans="1:6" x14ac:dyDescent="0.3">
      <c r="A6549" s="8">
        <v>6547</v>
      </c>
      <c r="B6549" s="8" t="s">
        <v>9478</v>
      </c>
      <c r="C6549" s="8" t="s">
        <v>13189</v>
      </c>
      <c r="D6549" s="8" t="s">
        <v>13190</v>
      </c>
      <c r="E6549" s="13">
        <v>0</v>
      </c>
      <c r="F6549" s="14">
        <v>0</v>
      </c>
    </row>
    <row r="6550" spans="1:6" x14ac:dyDescent="0.3">
      <c r="A6550" s="8">
        <v>6548</v>
      </c>
      <c r="B6550" s="8" t="s">
        <v>9478</v>
      </c>
      <c r="C6550" s="8" t="s">
        <v>13191</v>
      </c>
      <c r="D6550" s="8" t="s">
        <v>13192</v>
      </c>
      <c r="E6550" s="13">
        <v>0</v>
      </c>
      <c r="F6550" s="14">
        <v>0</v>
      </c>
    </row>
    <row r="6551" spans="1:6" x14ac:dyDescent="0.3">
      <c r="A6551" s="8">
        <v>6549</v>
      </c>
      <c r="B6551" s="8" t="s">
        <v>9478</v>
      </c>
      <c r="C6551" s="8" t="s">
        <v>13193</v>
      </c>
      <c r="D6551" s="8" t="s">
        <v>114</v>
      </c>
      <c r="E6551" s="13">
        <v>180000</v>
      </c>
      <c r="F6551" s="14">
        <v>360185</v>
      </c>
    </row>
    <row r="6552" spans="1:6" x14ac:dyDescent="0.3">
      <c r="A6552" s="8">
        <v>6550</v>
      </c>
      <c r="B6552" s="8" t="s">
        <v>9478</v>
      </c>
      <c r="C6552" s="8" t="s">
        <v>13194</v>
      </c>
      <c r="D6552" s="8" t="s">
        <v>13195</v>
      </c>
      <c r="E6552" s="13">
        <v>0</v>
      </c>
      <c r="F6552" s="14">
        <v>0</v>
      </c>
    </row>
    <row r="6553" spans="1:6" x14ac:dyDescent="0.3">
      <c r="A6553" s="8">
        <v>6551</v>
      </c>
      <c r="B6553" s="8" t="s">
        <v>9478</v>
      </c>
      <c r="C6553" s="8" t="s">
        <v>13196</v>
      </c>
      <c r="D6553" s="8" t="s">
        <v>13197</v>
      </c>
      <c r="E6553" s="13">
        <v>0</v>
      </c>
      <c r="F6553" s="14">
        <v>0</v>
      </c>
    </row>
    <row r="6554" spans="1:6" x14ac:dyDescent="0.3">
      <c r="A6554" s="8">
        <v>6552</v>
      </c>
      <c r="B6554" s="8" t="s">
        <v>9478</v>
      </c>
      <c r="C6554" s="8" t="s">
        <v>13198</v>
      </c>
      <c r="D6554" s="8" t="s">
        <v>120</v>
      </c>
      <c r="E6554" s="13">
        <v>220000</v>
      </c>
      <c r="F6554" s="14">
        <v>439815</v>
      </c>
    </row>
    <row r="6555" spans="1:6" x14ac:dyDescent="0.3">
      <c r="A6555" s="8">
        <v>6553</v>
      </c>
      <c r="B6555" s="8" t="s">
        <v>9478</v>
      </c>
      <c r="C6555" s="8" t="s">
        <v>13199</v>
      </c>
      <c r="D6555" s="8" t="s">
        <v>13200</v>
      </c>
      <c r="E6555" s="13">
        <v>0</v>
      </c>
      <c r="F6555" s="14">
        <v>0</v>
      </c>
    </row>
    <row r="6556" spans="1:6" x14ac:dyDescent="0.3">
      <c r="A6556" s="8">
        <v>6554</v>
      </c>
      <c r="B6556" s="8" t="s">
        <v>9478</v>
      </c>
      <c r="C6556" s="8" t="s">
        <v>13201</v>
      </c>
      <c r="D6556" s="8" t="s">
        <v>13202</v>
      </c>
      <c r="E6556" s="13">
        <v>173000</v>
      </c>
      <c r="F6556" s="14">
        <v>346364</v>
      </c>
    </row>
    <row r="6557" spans="1:6" x14ac:dyDescent="0.3">
      <c r="A6557" s="8">
        <v>6555</v>
      </c>
      <c r="B6557" s="8" t="s">
        <v>9478</v>
      </c>
      <c r="C6557" s="8" t="s">
        <v>13203</v>
      </c>
      <c r="D6557" s="8" t="s">
        <v>13204</v>
      </c>
      <c r="E6557" s="13">
        <v>0</v>
      </c>
      <c r="F6557" s="14">
        <v>0</v>
      </c>
    </row>
    <row r="6558" spans="1:6" x14ac:dyDescent="0.3">
      <c r="A6558" s="8">
        <v>6556</v>
      </c>
      <c r="B6558" s="8" t="s">
        <v>9478</v>
      </c>
      <c r="C6558" s="8" t="s">
        <v>13205</v>
      </c>
      <c r="D6558" s="8" t="s">
        <v>13206</v>
      </c>
      <c r="E6558" s="13">
        <v>0</v>
      </c>
      <c r="F6558" s="14">
        <v>0</v>
      </c>
    </row>
    <row r="6559" spans="1:6" x14ac:dyDescent="0.3">
      <c r="A6559" s="8">
        <v>6557</v>
      </c>
      <c r="B6559" s="8" t="s">
        <v>10667</v>
      </c>
      <c r="C6559" s="8" t="s">
        <v>13207</v>
      </c>
      <c r="D6559" s="8" t="s">
        <v>13208</v>
      </c>
      <c r="E6559" s="13">
        <v>0</v>
      </c>
      <c r="F6559" s="14">
        <v>0</v>
      </c>
    </row>
    <row r="6560" spans="1:6" x14ac:dyDescent="0.3">
      <c r="A6560" s="8">
        <v>6558</v>
      </c>
      <c r="B6560" s="8" t="s">
        <v>10667</v>
      </c>
      <c r="C6560" s="8" t="s">
        <v>13209</v>
      </c>
      <c r="D6560" s="8" t="s">
        <v>13210</v>
      </c>
      <c r="E6560" s="13">
        <v>0</v>
      </c>
      <c r="F6560" s="14">
        <v>0</v>
      </c>
    </row>
    <row r="6561" spans="1:6" x14ac:dyDescent="0.3">
      <c r="A6561" s="8">
        <v>6559</v>
      </c>
      <c r="B6561" s="8" t="s">
        <v>10667</v>
      </c>
      <c r="C6561" s="8" t="s">
        <v>13211</v>
      </c>
      <c r="D6561" s="8" t="s">
        <v>13212</v>
      </c>
      <c r="E6561" s="13">
        <v>0</v>
      </c>
      <c r="F6561" s="14">
        <v>0</v>
      </c>
    </row>
    <row r="6562" spans="1:6" x14ac:dyDescent="0.3">
      <c r="A6562" s="8">
        <v>6560</v>
      </c>
      <c r="B6562" s="8" t="s">
        <v>10667</v>
      </c>
      <c r="C6562" s="8" t="s">
        <v>13213</v>
      </c>
      <c r="D6562" s="8" t="s">
        <v>13214</v>
      </c>
      <c r="E6562" s="13">
        <v>0</v>
      </c>
      <c r="F6562" s="14">
        <v>0</v>
      </c>
    </row>
    <row r="6563" spans="1:6" x14ac:dyDescent="0.3">
      <c r="A6563" s="8">
        <v>6561</v>
      </c>
      <c r="B6563" s="8" t="s">
        <v>10667</v>
      </c>
      <c r="C6563" s="8" t="s">
        <v>13215</v>
      </c>
      <c r="D6563" s="8" t="s">
        <v>13216</v>
      </c>
      <c r="E6563" s="13">
        <v>0</v>
      </c>
      <c r="F6563" s="14">
        <v>0</v>
      </c>
    </row>
    <row r="6564" spans="1:6" x14ac:dyDescent="0.3">
      <c r="A6564" s="8">
        <v>6562</v>
      </c>
      <c r="B6564" s="8" t="s">
        <v>10667</v>
      </c>
      <c r="C6564" s="8" t="s">
        <v>13217</v>
      </c>
      <c r="D6564" s="8" t="s">
        <v>13218</v>
      </c>
      <c r="E6564" s="13">
        <v>0</v>
      </c>
      <c r="F6564" s="14">
        <v>0</v>
      </c>
    </row>
    <row r="6565" spans="1:6" x14ac:dyDescent="0.3">
      <c r="A6565" s="8">
        <v>6563</v>
      </c>
      <c r="B6565" s="8" t="s">
        <v>10667</v>
      </c>
      <c r="C6565" s="8" t="s">
        <v>13219</v>
      </c>
      <c r="D6565" s="8" t="s">
        <v>13220</v>
      </c>
      <c r="E6565" s="13">
        <v>0</v>
      </c>
      <c r="F6565" s="14">
        <v>0</v>
      </c>
    </row>
    <row r="6566" spans="1:6" x14ac:dyDescent="0.3">
      <c r="A6566" s="8">
        <v>6564</v>
      </c>
      <c r="B6566" s="8" t="s">
        <v>10684</v>
      </c>
      <c r="C6566" s="8" t="s">
        <v>13221</v>
      </c>
      <c r="D6566" s="8" t="s">
        <v>13222</v>
      </c>
      <c r="E6566" s="13">
        <v>0</v>
      </c>
      <c r="F6566" s="14">
        <v>0</v>
      </c>
    </row>
    <row r="6567" spans="1:6" x14ac:dyDescent="0.3">
      <c r="A6567" s="8">
        <v>6565</v>
      </c>
      <c r="B6567" s="8" t="s">
        <v>7694</v>
      </c>
      <c r="C6567" s="8" t="s">
        <v>13223</v>
      </c>
      <c r="D6567" s="8" t="s">
        <v>13224</v>
      </c>
      <c r="E6567" s="13">
        <v>0</v>
      </c>
      <c r="F6567" s="14">
        <v>148500000</v>
      </c>
    </row>
    <row r="6568" spans="1:6" x14ac:dyDescent="0.3">
      <c r="A6568" s="8">
        <v>6566</v>
      </c>
      <c r="B6568" s="8" t="s">
        <v>7694</v>
      </c>
      <c r="C6568" s="8" t="s">
        <v>13225</v>
      </c>
      <c r="D6568" s="8" t="s">
        <v>13226</v>
      </c>
      <c r="E6568" s="13">
        <v>0</v>
      </c>
      <c r="F6568" s="14">
        <v>0</v>
      </c>
    </row>
    <row r="6569" spans="1:6" x14ac:dyDescent="0.3">
      <c r="A6569" s="8">
        <v>6567</v>
      </c>
      <c r="B6569" s="8" t="s">
        <v>9463</v>
      </c>
      <c r="C6569" s="8" t="s">
        <v>13227</v>
      </c>
      <c r="D6569" s="8" t="s">
        <v>13228</v>
      </c>
      <c r="E6569" s="13">
        <v>9700</v>
      </c>
      <c r="F6569" s="14">
        <v>16667</v>
      </c>
    </row>
    <row r="6570" spans="1:6" x14ac:dyDescent="0.3">
      <c r="A6570" s="8">
        <v>6568</v>
      </c>
      <c r="B6570" s="8" t="s">
        <v>9463</v>
      </c>
      <c r="C6570" s="8" t="s">
        <v>13229</v>
      </c>
      <c r="D6570" s="8" t="s">
        <v>13230</v>
      </c>
      <c r="E6570" s="13">
        <v>90000</v>
      </c>
      <c r="F6570" s="14">
        <v>179630</v>
      </c>
    </row>
    <row r="6571" spans="1:6" x14ac:dyDescent="0.3">
      <c r="A6571" s="8">
        <v>6569</v>
      </c>
      <c r="B6571" s="8" t="s">
        <v>9463</v>
      </c>
      <c r="C6571" s="8" t="s">
        <v>13231</v>
      </c>
      <c r="D6571" s="8" t="s">
        <v>13232</v>
      </c>
      <c r="E6571" s="13">
        <v>105000</v>
      </c>
      <c r="F6571" s="14">
        <v>210185</v>
      </c>
    </row>
    <row r="6572" spans="1:6" x14ac:dyDescent="0.3">
      <c r="A6572" s="8">
        <v>6570</v>
      </c>
      <c r="B6572" s="8" t="s">
        <v>9463</v>
      </c>
      <c r="C6572" s="8" t="s">
        <v>13233</v>
      </c>
      <c r="D6572" s="8" t="s">
        <v>13234</v>
      </c>
      <c r="E6572" s="13">
        <v>0</v>
      </c>
      <c r="F6572" s="14">
        <v>0</v>
      </c>
    </row>
    <row r="6573" spans="1:6" x14ac:dyDescent="0.3">
      <c r="A6573" s="8">
        <v>6571</v>
      </c>
      <c r="B6573" s="8" t="s">
        <v>9463</v>
      </c>
      <c r="C6573" s="8" t="s">
        <v>13235</v>
      </c>
      <c r="D6573" s="8" t="s">
        <v>13236</v>
      </c>
      <c r="E6573" s="13">
        <v>0</v>
      </c>
      <c r="F6573" s="14">
        <v>0</v>
      </c>
    </row>
    <row r="6574" spans="1:6" x14ac:dyDescent="0.3">
      <c r="A6574" s="8">
        <v>6572</v>
      </c>
      <c r="B6574" s="8" t="s">
        <v>9463</v>
      </c>
      <c r="C6574" s="8" t="s">
        <v>13237</v>
      </c>
      <c r="D6574" s="8" t="s">
        <v>13238</v>
      </c>
      <c r="E6574" s="13">
        <v>0</v>
      </c>
      <c r="F6574" s="14">
        <v>0</v>
      </c>
    </row>
    <row r="6575" spans="1:6" x14ac:dyDescent="0.3">
      <c r="A6575" s="8">
        <v>6573</v>
      </c>
      <c r="B6575" s="8" t="s">
        <v>9463</v>
      </c>
      <c r="C6575" s="8" t="s">
        <v>13239</v>
      </c>
      <c r="D6575" s="8" t="s">
        <v>13240</v>
      </c>
      <c r="E6575" s="13">
        <v>103704</v>
      </c>
      <c r="F6575" s="14">
        <v>207407</v>
      </c>
    </row>
    <row r="6576" spans="1:6" x14ac:dyDescent="0.3">
      <c r="A6576" s="8">
        <v>6574</v>
      </c>
      <c r="B6576" s="8" t="s">
        <v>9478</v>
      </c>
      <c r="C6576" s="8" t="s">
        <v>13241</v>
      </c>
      <c r="D6576" s="8" t="s">
        <v>63</v>
      </c>
      <c r="E6576" s="13">
        <v>170000</v>
      </c>
      <c r="F6576" s="14">
        <v>339815</v>
      </c>
    </row>
    <row r="6577" spans="1:6" x14ac:dyDescent="0.3">
      <c r="A6577" s="8">
        <v>6575</v>
      </c>
      <c r="B6577" s="8" t="s">
        <v>9478</v>
      </c>
      <c r="C6577" s="8" t="s">
        <v>13242</v>
      </c>
      <c r="D6577" s="8" t="s">
        <v>13243</v>
      </c>
      <c r="E6577" s="13">
        <v>0</v>
      </c>
      <c r="F6577" s="14">
        <v>0</v>
      </c>
    </row>
    <row r="6578" spans="1:6" x14ac:dyDescent="0.3">
      <c r="A6578" s="8">
        <v>6576</v>
      </c>
      <c r="B6578" s="8" t="s">
        <v>9478</v>
      </c>
      <c r="C6578" s="8" t="s">
        <v>13244</v>
      </c>
      <c r="D6578" s="8" t="s">
        <v>49</v>
      </c>
      <c r="E6578" s="13">
        <v>88900</v>
      </c>
      <c r="F6578" s="14">
        <v>177778</v>
      </c>
    </row>
    <row r="6579" spans="1:6" x14ac:dyDescent="0.3">
      <c r="A6579" s="8">
        <v>6577</v>
      </c>
      <c r="B6579" s="8" t="s">
        <v>9478</v>
      </c>
      <c r="C6579" s="8" t="s">
        <v>13245</v>
      </c>
      <c r="D6579" s="8" t="s">
        <v>13246</v>
      </c>
      <c r="E6579" s="13">
        <v>0</v>
      </c>
      <c r="F6579" s="14">
        <v>0</v>
      </c>
    </row>
    <row r="6580" spans="1:6" x14ac:dyDescent="0.3">
      <c r="A6580" s="8">
        <v>6578</v>
      </c>
      <c r="B6580" s="8" t="s">
        <v>9478</v>
      </c>
      <c r="C6580" s="8" t="s">
        <v>13247</v>
      </c>
      <c r="D6580" s="8" t="s">
        <v>13248</v>
      </c>
      <c r="E6580" s="13">
        <v>0</v>
      </c>
      <c r="F6580" s="14">
        <v>0</v>
      </c>
    </row>
    <row r="6581" spans="1:6" x14ac:dyDescent="0.3">
      <c r="A6581" s="8">
        <v>6579</v>
      </c>
      <c r="B6581" s="8" t="s">
        <v>9478</v>
      </c>
      <c r="C6581" s="8" t="s">
        <v>13249</v>
      </c>
      <c r="D6581" s="8" t="s">
        <v>13250</v>
      </c>
      <c r="E6581" s="13">
        <v>80000</v>
      </c>
      <c r="F6581" s="14">
        <v>175926</v>
      </c>
    </row>
    <row r="6582" spans="1:6" x14ac:dyDescent="0.3">
      <c r="A6582" s="8">
        <v>6580</v>
      </c>
      <c r="B6582" s="8" t="s">
        <v>9478</v>
      </c>
      <c r="C6582" s="8" t="s">
        <v>13251</v>
      </c>
      <c r="D6582" s="8" t="s">
        <v>37</v>
      </c>
      <c r="E6582" s="13">
        <v>80000</v>
      </c>
      <c r="F6582" s="14">
        <v>160185</v>
      </c>
    </row>
    <row r="6583" spans="1:6" x14ac:dyDescent="0.3">
      <c r="A6583" s="8">
        <v>6581</v>
      </c>
      <c r="B6583" s="8" t="s">
        <v>9478</v>
      </c>
      <c r="C6583" s="8" t="s">
        <v>13252</v>
      </c>
      <c r="D6583" s="8" t="s">
        <v>13253</v>
      </c>
      <c r="E6583" s="13">
        <v>0</v>
      </c>
      <c r="F6583" s="14">
        <v>0</v>
      </c>
    </row>
    <row r="6584" spans="1:6" x14ac:dyDescent="0.3">
      <c r="A6584" s="8">
        <v>6582</v>
      </c>
      <c r="B6584" s="8" t="s">
        <v>9478</v>
      </c>
      <c r="C6584" s="8" t="s">
        <v>13254</v>
      </c>
      <c r="D6584" s="8" t="s">
        <v>13255</v>
      </c>
      <c r="E6584" s="13">
        <v>0</v>
      </c>
      <c r="F6584" s="14">
        <v>0</v>
      </c>
    </row>
    <row r="6585" spans="1:6" x14ac:dyDescent="0.3">
      <c r="A6585" s="8">
        <v>6583</v>
      </c>
      <c r="B6585" s="8" t="s">
        <v>9478</v>
      </c>
      <c r="C6585" s="8" t="s">
        <v>13256</v>
      </c>
      <c r="D6585" s="8" t="s">
        <v>13257</v>
      </c>
      <c r="E6585" s="13">
        <v>0</v>
      </c>
      <c r="F6585" s="14">
        <v>0</v>
      </c>
    </row>
    <row r="6586" spans="1:6" x14ac:dyDescent="0.3">
      <c r="A6586" s="8">
        <v>6584</v>
      </c>
      <c r="B6586" s="8" t="s">
        <v>9478</v>
      </c>
      <c r="C6586" s="8" t="s">
        <v>13258</v>
      </c>
      <c r="D6586" s="8" t="s">
        <v>86</v>
      </c>
      <c r="E6586" s="13">
        <v>62700</v>
      </c>
      <c r="F6586" s="14">
        <v>125000</v>
      </c>
    </row>
    <row r="6587" spans="1:6" x14ac:dyDescent="0.3">
      <c r="A6587" s="8">
        <v>6585</v>
      </c>
      <c r="B6587" s="8" t="s">
        <v>9478</v>
      </c>
      <c r="C6587" s="8" t="s">
        <v>13259</v>
      </c>
      <c r="D6587" s="8" t="s">
        <v>13260</v>
      </c>
      <c r="E6587" s="13">
        <v>0</v>
      </c>
      <c r="F6587" s="14">
        <v>0</v>
      </c>
    </row>
    <row r="6588" spans="1:6" x14ac:dyDescent="0.3">
      <c r="A6588" s="8">
        <v>6586</v>
      </c>
      <c r="B6588" s="8" t="s">
        <v>9478</v>
      </c>
      <c r="C6588" s="8" t="s">
        <v>13261</v>
      </c>
      <c r="D6588" s="8" t="s">
        <v>13262</v>
      </c>
      <c r="E6588" s="13">
        <v>0</v>
      </c>
      <c r="F6588" s="14">
        <v>0</v>
      </c>
    </row>
    <row r="6589" spans="1:6" x14ac:dyDescent="0.3">
      <c r="A6589" s="8">
        <v>6587</v>
      </c>
      <c r="B6589" s="8" t="s">
        <v>9478</v>
      </c>
      <c r="C6589" s="8" t="s">
        <v>13263</v>
      </c>
      <c r="D6589" s="8" t="s">
        <v>13264</v>
      </c>
      <c r="E6589" s="13">
        <v>0</v>
      </c>
      <c r="F6589" s="14">
        <v>0</v>
      </c>
    </row>
    <row r="6590" spans="1:6" x14ac:dyDescent="0.3">
      <c r="A6590" s="8">
        <v>6588</v>
      </c>
      <c r="B6590" s="8" t="s">
        <v>9478</v>
      </c>
      <c r="C6590" s="8" t="s">
        <v>13265</v>
      </c>
      <c r="D6590" s="8" t="s">
        <v>13266</v>
      </c>
      <c r="E6590" s="13">
        <v>0</v>
      </c>
      <c r="F6590" s="14">
        <v>0</v>
      </c>
    </row>
    <row r="6591" spans="1:6" x14ac:dyDescent="0.3">
      <c r="A6591" s="8">
        <v>6589</v>
      </c>
      <c r="B6591" s="8" t="s">
        <v>9478</v>
      </c>
      <c r="C6591" s="8" t="s">
        <v>13267</v>
      </c>
      <c r="D6591" s="8" t="s">
        <v>87</v>
      </c>
      <c r="E6591" s="13">
        <v>65600</v>
      </c>
      <c r="F6591" s="14">
        <v>131481</v>
      </c>
    </row>
    <row r="6592" spans="1:6" x14ac:dyDescent="0.3">
      <c r="A6592" s="8">
        <v>6590</v>
      </c>
      <c r="B6592" s="8" t="s">
        <v>9478</v>
      </c>
      <c r="C6592" s="8" t="s">
        <v>13268</v>
      </c>
      <c r="D6592" s="8" t="s">
        <v>13269</v>
      </c>
      <c r="E6592" s="13">
        <v>0</v>
      </c>
      <c r="F6592" s="14">
        <v>0</v>
      </c>
    </row>
    <row r="6593" spans="1:6" x14ac:dyDescent="0.3">
      <c r="A6593" s="8">
        <v>6591</v>
      </c>
      <c r="B6593" s="8" t="s">
        <v>10684</v>
      </c>
      <c r="C6593" s="8" t="s">
        <v>13270</v>
      </c>
      <c r="D6593" s="8" t="s">
        <v>13271</v>
      </c>
      <c r="E6593" s="13">
        <v>0</v>
      </c>
      <c r="F6593" s="14">
        <v>0</v>
      </c>
    </row>
    <row r="6594" spans="1:6" x14ac:dyDescent="0.3">
      <c r="A6594" s="8">
        <v>6592</v>
      </c>
      <c r="B6594" s="8" t="s">
        <v>10684</v>
      </c>
      <c r="C6594" s="8" t="s">
        <v>13272</v>
      </c>
      <c r="D6594" s="8" t="s">
        <v>13273</v>
      </c>
      <c r="E6594" s="13">
        <v>0</v>
      </c>
      <c r="F6594" s="14">
        <v>0</v>
      </c>
    </row>
    <row r="6595" spans="1:6" x14ac:dyDescent="0.3">
      <c r="A6595" s="8">
        <v>6593</v>
      </c>
      <c r="B6595" s="8" t="s">
        <v>10684</v>
      </c>
      <c r="C6595" s="8" t="s">
        <v>13274</v>
      </c>
      <c r="D6595" s="8" t="s">
        <v>13275</v>
      </c>
      <c r="E6595" s="13">
        <v>0</v>
      </c>
      <c r="F6595" s="14">
        <v>0</v>
      </c>
    </row>
    <row r="6596" spans="1:6" x14ac:dyDescent="0.3">
      <c r="A6596" s="8">
        <v>6594</v>
      </c>
      <c r="B6596" s="8" t="s">
        <v>10697</v>
      </c>
      <c r="C6596" s="8" t="s">
        <v>13276</v>
      </c>
      <c r="D6596" s="8" t="s">
        <v>13277</v>
      </c>
      <c r="E6596" s="13">
        <v>0</v>
      </c>
      <c r="F6596" s="14">
        <v>0</v>
      </c>
    </row>
    <row r="6597" spans="1:6" x14ac:dyDescent="0.3">
      <c r="A6597" s="8">
        <v>6595</v>
      </c>
      <c r="B6597" s="8" t="s">
        <v>10697</v>
      </c>
      <c r="C6597" s="8" t="s">
        <v>13278</v>
      </c>
      <c r="D6597" s="8" t="s">
        <v>13279</v>
      </c>
      <c r="E6597" s="13">
        <v>0</v>
      </c>
      <c r="F6597" s="14">
        <v>0</v>
      </c>
    </row>
    <row r="6598" spans="1:6" x14ac:dyDescent="0.3">
      <c r="A6598" s="8">
        <v>6596</v>
      </c>
      <c r="B6598" s="8" t="s">
        <v>10697</v>
      </c>
      <c r="C6598" s="8" t="s">
        <v>13280</v>
      </c>
      <c r="D6598" s="8" t="s">
        <v>13281</v>
      </c>
      <c r="E6598" s="13">
        <v>0</v>
      </c>
      <c r="F6598" s="14">
        <v>0</v>
      </c>
    </row>
    <row r="6599" spans="1:6" x14ac:dyDescent="0.3">
      <c r="A6599" s="8">
        <v>6597</v>
      </c>
      <c r="B6599" s="8" t="s">
        <v>10697</v>
      </c>
      <c r="C6599" s="8" t="s">
        <v>13282</v>
      </c>
      <c r="D6599" s="8" t="s">
        <v>13283</v>
      </c>
      <c r="E6599" s="13">
        <v>388900</v>
      </c>
      <c r="F6599" s="14">
        <v>777778</v>
      </c>
    </row>
    <row r="6600" spans="1:6" x14ac:dyDescent="0.3">
      <c r="A6600" s="8">
        <v>6598</v>
      </c>
      <c r="B6600" s="8" t="s">
        <v>10697</v>
      </c>
      <c r="C6600" s="8" t="s">
        <v>13284</v>
      </c>
      <c r="D6600" s="8" t="s">
        <v>13285</v>
      </c>
      <c r="E6600" s="13">
        <v>541500</v>
      </c>
      <c r="F6600" s="14">
        <v>933000</v>
      </c>
    </row>
    <row r="6601" spans="1:6" x14ac:dyDescent="0.3">
      <c r="A6601" s="8">
        <v>6599</v>
      </c>
      <c r="B6601" s="8" t="s">
        <v>10697</v>
      </c>
      <c r="C6601" s="8" t="s">
        <v>13286</v>
      </c>
      <c r="D6601" s="8" t="s">
        <v>13287</v>
      </c>
      <c r="E6601" s="13">
        <v>0</v>
      </c>
      <c r="F6601" s="14">
        <v>0</v>
      </c>
    </row>
    <row r="6602" spans="1:6" x14ac:dyDescent="0.3">
      <c r="A6602" s="8">
        <v>6600</v>
      </c>
      <c r="B6602" s="8" t="s">
        <v>10697</v>
      </c>
      <c r="C6602" s="8" t="s">
        <v>13288</v>
      </c>
      <c r="D6602" s="8" t="s">
        <v>13289</v>
      </c>
      <c r="E6602" s="13">
        <v>0</v>
      </c>
      <c r="F6602" s="14">
        <v>0</v>
      </c>
    </row>
    <row r="6603" spans="1:6" x14ac:dyDescent="0.3">
      <c r="A6603" s="8">
        <v>6601</v>
      </c>
      <c r="B6603" s="8" t="s">
        <v>10697</v>
      </c>
      <c r="C6603" s="8" t="s">
        <v>13290</v>
      </c>
      <c r="D6603" s="8" t="s">
        <v>13291</v>
      </c>
      <c r="E6603" s="13">
        <v>22000</v>
      </c>
      <c r="F6603" s="14">
        <v>43519</v>
      </c>
    </row>
    <row r="6604" spans="1:6" x14ac:dyDescent="0.3">
      <c r="A6604" s="8">
        <v>6602</v>
      </c>
      <c r="B6604" s="8" t="s">
        <v>10697</v>
      </c>
      <c r="C6604" s="8" t="s">
        <v>13292</v>
      </c>
      <c r="D6604" s="8" t="s">
        <v>13293</v>
      </c>
      <c r="E6604" s="13">
        <v>33000</v>
      </c>
      <c r="F6604" s="14">
        <v>66667</v>
      </c>
    </row>
    <row r="6605" spans="1:6" x14ac:dyDescent="0.3">
      <c r="A6605" s="8">
        <v>6603</v>
      </c>
      <c r="B6605" s="8" t="s">
        <v>10697</v>
      </c>
      <c r="C6605" s="8" t="s">
        <v>13294</v>
      </c>
      <c r="D6605" s="8" t="s">
        <v>13295</v>
      </c>
      <c r="E6605" s="13">
        <v>0</v>
      </c>
      <c r="F6605" s="14">
        <v>0</v>
      </c>
    </row>
    <row r="6606" spans="1:6" x14ac:dyDescent="0.3">
      <c r="A6606" s="8">
        <v>6604</v>
      </c>
      <c r="B6606" s="8" t="s">
        <v>10697</v>
      </c>
      <c r="C6606" s="8" t="s">
        <v>13296</v>
      </c>
      <c r="D6606" s="8" t="s">
        <v>13297</v>
      </c>
      <c r="E6606" s="13">
        <v>0</v>
      </c>
      <c r="F6606" s="14">
        <v>0</v>
      </c>
    </row>
    <row r="6607" spans="1:6" x14ac:dyDescent="0.3">
      <c r="A6607" s="8">
        <v>6605</v>
      </c>
      <c r="B6607" s="8" t="s">
        <v>10697</v>
      </c>
      <c r="C6607" s="8" t="s">
        <v>13298</v>
      </c>
      <c r="D6607" s="8" t="s">
        <v>13299</v>
      </c>
      <c r="E6607" s="13">
        <v>77000</v>
      </c>
      <c r="F6607" s="14">
        <v>153636</v>
      </c>
    </row>
    <row r="6608" spans="1:6" x14ac:dyDescent="0.3">
      <c r="A6608" s="8">
        <v>6606</v>
      </c>
      <c r="B6608" s="8" t="s">
        <v>10697</v>
      </c>
      <c r="C6608" s="8" t="s">
        <v>13300</v>
      </c>
      <c r="D6608" s="8" t="s">
        <v>13301</v>
      </c>
      <c r="E6608" s="13">
        <v>0</v>
      </c>
      <c r="F6608" s="14">
        <v>0</v>
      </c>
    </row>
    <row r="6609" spans="1:6" x14ac:dyDescent="0.3">
      <c r="A6609" s="8">
        <v>6607</v>
      </c>
      <c r="B6609" s="8" t="s">
        <v>10697</v>
      </c>
      <c r="C6609" s="8" t="s">
        <v>13302</v>
      </c>
      <c r="D6609" s="8" t="s">
        <v>13303</v>
      </c>
      <c r="E6609" s="13">
        <v>0</v>
      </c>
      <c r="F6609" s="14">
        <v>0</v>
      </c>
    </row>
    <row r="6610" spans="1:6" x14ac:dyDescent="0.3">
      <c r="A6610" s="8">
        <v>6608</v>
      </c>
      <c r="B6610" s="8" t="s">
        <v>10697</v>
      </c>
      <c r="C6610" s="8" t="s">
        <v>13304</v>
      </c>
      <c r="D6610" s="8" t="s">
        <v>13305</v>
      </c>
      <c r="E6610" s="13">
        <v>0</v>
      </c>
      <c r="F6610" s="14">
        <v>0</v>
      </c>
    </row>
    <row r="6611" spans="1:6" x14ac:dyDescent="0.3">
      <c r="A6611" s="8">
        <v>6609</v>
      </c>
      <c r="B6611" s="8" t="s">
        <v>10697</v>
      </c>
      <c r="C6611" s="8" t="s">
        <v>13306</v>
      </c>
      <c r="D6611" s="8" t="s">
        <v>13307</v>
      </c>
      <c r="E6611" s="13">
        <v>0</v>
      </c>
      <c r="F6611" s="14">
        <v>0</v>
      </c>
    </row>
    <row r="6612" spans="1:6" x14ac:dyDescent="0.3">
      <c r="A6612" s="8">
        <v>6610</v>
      </c>
      <c r="B6612" s="8" t="s">
        <v>10697</v>
      </c>
      <c r="C6612" s="8" t="s">
        <v>13308</v>
      </c>
      <c r="D6612" s="8" t="s">
        <v>13309</v>
      </c>
      <c r="E6612" s="13">
        <v>20000</v>
      </c>
      <c r="F6612" s="14">
        <v>39815</v>
      </c>
    </row>
    <row r="6613" spans="1:6" x14ac:dyDescent="0.3">
      <c r="A6613" s="8">
        <v>6611</v>
      </c>
      <c r="B6613" s="8" t="s">
        <v>10697</v>
      </c>
      <c r="C6613" s="8" t="s">
        <v>13310</v>
      </c>
      <c r="D6613" s="8" t="s">
        <v>13311</v>
      </c>
      <c r="E6613" s="13">
        <v>22000</v>
      </c>
      <c r="F6613" s="14">
        <v>43519</v>
      </c>
    </row>
    <row r="6614" spans="1:6" x14ac:dyDescent="0.3">
      <c r="A6614" s="8">
        <v>6612</v>
      </c>
      <c r="B6614" s="8" t="s">
        <v>10697</v>
      </c>
      <c r="C6614" s="8" t="s">
        <v>13312</v>
      </c>
      <c r="D6614" s="8" t="s">
        <v>13313</v>
      </c>
      <c r="E6614" s="13">
        <v>20000</v>
      </c>
      <c r="F6614" s="14">
        <v>39815</v>
      </c>
    </row>
    <row r="6615" spans="1:6" x14ac:dyDescent="0.3">
      <c r="A6615" s="8">
        <v>6613</v>
      </c>
      <c r="B6615" s="8" t="s">
        <v>10697</v>
      </c>
      <c r="C6615" s="8" t="s">
        <v>13314</v>
      </c>
      <c r="D6615" s="8" t="s">
        <v>13315</v>
      </c>
      <c r="E6615" s="13">
        <v>18700</v>
      </c>
      <c r="F6615" s="14">
        <v>37037</v>
      </c>
    </row>
    <row r="6616" spans="1:6" x14ac:dyDescent="0.3">
      <c r="A6616" s="8">
        <v>6614</v>
      </c>
      <c r="B6616" s="8" t="s">
        <v>10697</v>
      </c>
      <c r="C6616" s="8" t="s">
        <v>13316</v>
      </c>
      <c r="D6616" s="8" t="s">
        <v>13317</v>
      </c>
      <c r="E6616" s="13">
        <v>0</v>
      </c>
      <c r="F6616" s="14">
        <v>0</v>
      </c>
    </row>
    <row r="6617" spans="1:6" x14ac:dyDescent="0.3">
      <c r="A6617" s="8">
        <v>6615</v>
      </c>
      <c r="B6617" s="8" t="s">
        <v>10697</v>
      </c>
      <c r="C6617" s="8" t="s">
        <v>13318</v>
      </c>
      <c r="D6617" s="8" t="s">
        <v>13319</v>
      </c>
      <c r="E6617" s="13">
        <v>268519</v>
      </c>
      <c r="F6617" s="14">
        <v>537037</v>
      </c>
    </row>
    <row r="6618" spans="1:6" x14ac:dyDescent="0.3">
      <c r="A6618" s="8">
        <v>6616</v>
      </c>
      <c r="B6618" s="8" t="s">
        <v>10697</v>
      </c>
      <c r="C6618" s="8" t="s">
        <v>13320</v>
      </c>
      <c r="D6618" s="8" t="s">
        <v>13321</v>
      </c>
      <c r="E6618" s="13">
        <v>0</v>
      </c>
      <c r="F6618" s="14">
        <v>0</v>
      </c>
    </row>
    <row r="6619" spans="1:6" x14ac:dyDescent="0.3">
      <c r="A6619" s="8">
        <v>6617</v>
      </c>
      <c r="B6619" s="8" t="s">
        <v>4148</v>
      </c>
      <c r="C6619" s="8" t="s">
        <v>13322</v>
      </c>
      <c r="D6619" s="8" t="s">
        <v>13323</v>
      </c>
      <c r="E6619" s="13">
        <v>0</v>
      </c>
      <c r="F6619" s="14">
        <v>0</v>
      </c>
    </row>
    <row r="6620" spans="1:6" x14ac:dyDescent="0.3">
      <c r="A6620" s="8">
        <v>6618</v>
      </c>
      <c r="B6620" s="8" t="s">
        <v>4148</v>
      </c>
      <c r="C6620" s="8" t="s">
        <v>13324</v>
      </c>
      <c r="D6620" s="8" t="s">
        <v>13325</v>
      </c>
      <c r="E6620" s="13">
        <v>0</v>
      </c>
      <c r="F6620" s="14">
        <v>0</v>
      </c>
    </row>
    <row r="6621" spans="1:6" x14ac:dyDescent="0.3">
      <c r="A6621" s="8">
        <v>6619</v>
      </c>
      <c r="B6621" s="8" t="s">
        <v>4148</v>
      </c>
      <c r="C6621" s="8" t="s">
        <v>13326</v>
      </c>
      <c r="D6621" s="8" t="s">
        <v>13327</v>
      </c>
      <c r="E6621" s="13">
        <v>0</v>
      </c>
      <c r="F6621" s="14">
        <v>0</v>
      </c>
    </row>
    <row r="6622" spans="1:6" x14ac:dyDescent="0.3">
      <c r="A6622" s="8">
        <v>6620</v>
      </c>
      <c r="B6622" s="8" t="s">
        <v>4148</v>
      </c>
      <c r="C6622" s="8" t="s">
        <v>13328</v>
      </c>
      <c r="D6622" s="8" t="s">
        <v>13329</v>
      </c>
      <c r="E6622" s="13">
        <v>0</v>
      </c>
      <c r="F6622" s="14">
        <v>0</v>
      </c>
    </row>
    <row r="6623" spans="1:6" x14ac:dyDescent="0.3">
      <c r="A6623" s="8">
        <v>6621</v>
      </c>
      <c r="B6623" s="8" t="s">
        <v>4148</v>
      </c>
      <c r="C6623" s="8" t="s">
        <v>13330</v>
      </c>
      <c r="D6623" s="8" t="s">
        <v>13331</v>
      </c>
      <c r="E6623" s="13">
        <v>0</v>
      </c>
      <c r="F6623" s="14">
        <v>0</v>
      </c>
    </row>
    <row r="6624" spans="1:6" x14ac:dyDescent="0.3">
      <c r="A6624" s="8">
        <v>6622</v>
      </c>
      <c r="B6624" s="8" t="s">
        <v>4148</v>
      </c>
      <c r="C6624" s="8" t="s">
        <v>13332</v>
      </c>
      <c r="D6624" s="8" t="s">
        <v>13333</v>
      </c>
      <c r="E6624" s="13">
        <v>70100</v>
      </c>
      <c r="F6624" s="14">
        <v>139815</v>
      </c>
    </row>
    <row r="6625" spans="1:6" x14ac:dyDescent="0.3">
      <c r="A6625" s="8">
        <v>6623</v>
      </c>
      <c r="B6625" s="8" t="s">
        <v>4148</v>
      </c>
      <c r="C6625" s="8" t="s">
        <v>13334</v>
      </c>
      <c r="D6625" s="8" t="s">
        <v>13335</v>
      </c>
      <c r="E6625" s="13">
        <v>0</v>
      </c>
      <c r="F6625" s="14">
        <v>0</v>
      </c>
    </row>
    <row r="6626" spans="1:6" x14ac:dyDescent="0.3">
      <c r="A6626" s="8">
        <v>6624</v>
      </c>
      <c r="B6626" s="8" t="s">
        <v>4148</v>
      </c>
      <c r="C6626" s="8" t="s">
        <v>13336</v>
      </c>
      <c r="D6626" s="8" t="s">
        <v>13337</v>
      </c>
      <c r="E6626" s="13">
        <v>83800</v>
      </c>
      <c r="F6626" s="14">
        <v>167593</v>
      </c>
    </row>
    <row r="6627" spans="1:6" x14ac:dyDescent="0.3">
      <c r="A6627" s="8">
        <v>6625</v>
      </c>
      <c r="B6627" s="8" t="s">
        <v>4148</v>
      </c>
      <c r="C6627" s="8" t="s">
        <v>13338</v>
      </c>
      <c r="D6627" s="8" t="s">
        <v>13339</v>
      </c>
      <c r="E6627" s="13">
        <v>70100</v>
      </c>
      <c r="F6627" s="14">
        <v>139815</v>
      </c>
    </row>
    <row r="6628" spans="1:6" x14ac:dyDescent="0.3">
      <c r="A6628" s="8">
        <v>6626</v>
      </c>
      <c r="B6628" s="8" t="s">
        <v>4148</v>
      </c>
      <c r="C6628" s="8" t="s">
        <v>13340</v>
      </c>
      <c r="D6628" s="8" t="s">
        <v>13341</v>
      </c>
      <c r="E6628" s="13">
        <v>72700</v>
      </c>
      <c r="F6628" s="14">
        <v>145370</v>
      </c>
    </row>
    <row r="6629" spans="1:6" x14ac:dyDescent="0.3">
      <c r="A6629" s="8">
        <v>6627</v>
      </c>
      <c r="B6629" s="8" t="s">
        <v>4148</v>
      </c>
      <c r="C6629" s="8" t="s">
        <v>13342</v>
      </c>
      <c r="D6629" s="8" t="s">
        <v>13343</v>
      </c>
      <c r="E6629" s="13">
        <v>110000</v>
      </c>
      <c r="F6629" s="14">
        <v>220370</v>
      </c>
    </row>
    <row r="6630" spans="1:6" x14ac:dyDescent="0.3">
      <c r="A6630" s="8">
        <v>6628</v>
      </c>
      <c r="B6630" s="8" t="s">
        <v>4148</v>
      </c>
      <c r="C6630" s="8" t="s">
        <v>13344</v>
      </c>
      <c r="D6630" s="8" t="s">
        <v>13345</v>
      </c>
      <c r="E6630" s="13">
        <v>0</v>
      </c>
      <c r="F6630" s="14">
        <v>0</v>
      </c>
    </row>
    <row r="6631" spans="1:6" x14ac:dyDescent="0.3">
      <c r="A6631" s="8">
        <v>6629</v>
      </c>
      <c r="B6631" s="8" t="s">
        <v>4148</v>
      </c>
      <c r="C6631" s="8" t="s">
        <v>13346</v>
      </c>
      <c r="D6631" s="8" t="s">
        <v>13347</v>
      </c>
      <c r="E6631" s="13">
        <v>0</v>
      </c>
      <c r="F6631" s="14">
        <v>0</v>
      </c>
    </row>
    <row r="6632" spans="1:6" x14ac:dyDescent="0.3">
      <c r="A6632" s="8">
        <v>6630</v>
      </c>
      <c r="B6632" s="8" t="s">
        <v>4148</v>
      </c>
      <c r="C6632" s="8" t="s">
        <v>13348</v>
      </c>
      <c r="D6632" s="8" t="s">
        <v>13349</v>
      </c>
      <c r="E6632" s="13">
        <v>0</v>
      </c>
      <c r="F6632" s="14">
        <v>0</v>
      </c>
    </row>
    <row r="6633" spans="1:6" x14ac:dyDescent="0.3">
      <c r="A6633" s="8">
        <v>6631</v>
      </c>
      <c r="B6633" s="8" t="s">
        <v>4148</v>
      </c>
      <c r="C6633" s="8" t="s">
        <v>13350</v>
      </c>
      <c r="D6633" s="8" t="s">
        <v>13351</v>
      </c>
      <c r="E6633" s="13">
        <v>0</v>
      </c>
      <c r="F6633" s="14">
        <v>0</v>
      </c>
    </row>
    <row r="6634" spans="1:6" x14ac:dyDescent="0.3">
      <c r="A6634" s="8">
        <v>6632</v>
      </c>
      <c r="B6634" s="8" t="s">
        <v>4148</v>
      </c>
      <c r="C6634" s="8" t="s">
        <v>13352</v>
      </c>
      <c r="D6634" s="8" t="s">
        <v>13353</v>
      </c>
      <c r="E6634" s="13">
        <v>0</v>
      </c>
      <c r="F6634" s="14">
        <v>0</v>
      </c>
    </row>
    <row r="6635" spans="1:6" x14ac:dyDescent="0.3">
      <c r="A6635" s="8">
        <v>6633</v>
      </c>
      <c r="B6635" s="8" t="s">
        <v>4148</v>
      </c>
      <c r="C6635" s="8" t="s">
        <v>13354</v>
      </c>
      <c r="D6635" s="8" t="s">
        <v>13355</v>
      </c>
      <c r="E6635" s="13">
        <v>0</v>
      </c>
      <c r="F6635" s="14">
        <v>0</v>
      </c>
    </row>
    <row r="6636" spans="1:6" x14ac:dyDescent="0.3">
      <c r="A6636" s="8">
        <v>6634</v>
      </c>
      <c r="B6636" s="8" t="s">
        <v>4148</v>
      </c>
      <c r="C6636" s="8" t="s">
        <v>13356</v>
      </c>
      <c r="D6636" s="8" t="s">
        <v>13357</v>
      </c>
      <c r="E6636" s="13">
        <v>0</v>
      </c>
      <c r="F6636" s="14">
        <v>203704</v>
      </c>
    </row>
    <row r="6637" spans="1:6" x14ac:dyDescent="0.3">
      <c r="A6637" s="8">
        <v>6635</v>
      </c>
      <c r="B6637" s="8" t="s">
        <v>6029</v>
      </c>
      <c r="C6637" s="8" t="s">
        <v>13358</v>
      </c>
      <c r="D6637" s="8" t="s">
        <v>13359</v>
      </c>
      <c r="E6637" s="13">
        <v>170000</v>
      </c>
      <c r="F6637" s="14">
        <v>339815</v>
      </c>
    </row>
    <row r="6638" spans="1:6" x14ac:dyDescent="0.3">
      <c r="A6638" s="8">
        <v>6636</v>
      </c>
      <c r="B6638" s="8" t="s">
        <v>6022</v>
      </c>
      <c r="C6638" s="8" t="s">
        <v>13360</v>
      </c>
      <c r="D6638" s="8" t="s">
        <v>13361</v>
      </c>
      <c r="E6638" s="13">
        <v>0</v>
      </c>
      <c r="F6638" s="14">
        <v>0</v>
      </c>
    </row>
    <row r="6639" spans="1:6" x14ac:dyDescent="0.3">
      <c r="A6639" s="8">
        <v>6637</v>
      </c>
      <c r="B6639" s="8" t="s">
        <v>6029</v>
      </c>
      <c r="C6639" s="8" t="s">
        <v>13362</v>
      </c>
      <c r="D6639" s="8" t="s">
        <v>13363</v>
      </c>
      <c r="E6639" s="13">
        <v>0</v>
      </c>
      <c r="F6639" s="14">
        <v>0</v>
      </c>
    </row>
    <row r="6640" spans="1:6" x14ac:dyDescent="0.3">
      <c r="A6640" s="8">
        <v>6638</v>
      </c>
      <c r="B6640" s="8" t="s">
        <v>6022</v>
      </c>
      <c r="C6640" s="8" t="s">
        <v>13364</v>
      </c>
      <c r="D6640" s="8" t="s">
        <v>13365</v>
      </c>
      <c r="E6640" s="13">
        <v>0</v>
      </c>
      <c r="F6640" s="14">
        <v>473000</v>
      </c>
    </row>
    <row r="6641" spans="1:6" x14ac:dyDescent="0.3">
      <c r="A6641" s="8">
        <v>6639</v>
      </c>
      <c r="B6641" s="8" t="s">
        <v>6022</v>
      </c>
      <c r="C6641" s="8" t="s">
        <v>13366</v>
      </c>
      <c r="D6641" s="8" t="s">
        <v>13367</v>
      </c>
      <c r="E6641" s="13">
        <v>672000</v>
      </c>
      <c r="F6641" s="14">
        <v>1344000</v>
      </c>
    </row>
    <row r="6642" spans="1:6" x14ac:dyDescent="0.3">
      <c r="A6642" s="8">
        <v>6640</v>
      </c>
      <c r="B6642" s="8" t="s">
        <v>7694</v>
      </c>
      <c r="C6642" s="8" t="s">
        <v>13368</v>
      </c>
      <c r="D6642" s="8" t="s">
        <v>13369</v>
      </c>
      <c r="E6642" s="13">
        <v>0</v>
      </c>
      <c r="F6642" s="14">
        <v>1462963</v>
      </c>
    </row>
    <row r="6643" spans="1:6" x14ac:dyDescent="0.3">
      <c r="A6643" s="8">
        <v>6641</v>
      </c>
      <c r="B6643" s="8" t="s">
        <v>7694</v>
      </c>
      <c r="C6643" s="8" t="s">
        <v>13370</v>
      </c>
      <c r="D6643" s="8" t="s">
        <v>13371</v>
      </c>
      <c r="E6643" s="13">
        <v>210000</v>
      </c>
      <c r="F6643" s="14">
        <v>420370</v>
      </c>
    </row>
    <row r="6644" spans="1:6" x14ac:dyDescent="0.3">
      <c r="A6644" s="8">
        <v>6642</v>
      </c>
      <c r="B6644" s="8" t="s">
        <v>7694</v>
      </c>
      <c r="C6644" s="8" t="s">
        <v>13372</v>
      </c>
      <c r="D6644" s="8" t="s">
        <v>13373</v>
      </c>
      <c r="E6644" s="13">
        <v>0</v>
      </c>
      <c r="F6644" s="14">
        <v>560000</v>
      </c>
    </row>
    <row r="6645" spans="1:6" x14ac:dyDescent="0.3">
      <c r="A6645" s="8">
        <v>6643</v>
      </c>
      <c r="B6645" s="8" t="s">
        <v>7694</v>
      </c>
      <c r="C6645" s="8" t="s">
        <v>13374</v>
      </c>
      <c r="D6645" s="8" t="s">
        <v>13375</v>
      </c>
      <c r="E6645" s="13">
        <v>690000</v>
      </c>
      <c r="F6645" s="14">
        <v>1379630</v>
      </c>
    </row>
    <row r="6646" spans="1:6" x14ac:dyDescent="0.3">
      <c r="A6646" s="8">
        <v>6644</v>
      </c>
      <c r="B6646" s="8" t="s">
        <v>7694</v>
      </c>
      <c r="C6646" s="8" t="s">
        <v>13376</v>
      </c>
      <c r="D6646" s="8" t="s">
        <v>13377</v>
      </c>
      <c r="E6646" s="13">
        <v>0</v>
      </c>
      <c r="F6646" s="14">
        <v>650000</v>
      </c>
    </row>
    <row r="6647" spans="1:6" x14ac:dyDescent="0.3">
      <c r="A6647" s="8">
        <v>6645</v>
      </c>
      <c r="B6647" s="8" t="s">
        <v>7694</v>
      </c>
      <c r="C6647" s="8" t="s">
        <v>13378</v>
      </c>
      <c r="D6647" s="8" t="s">
        <v>13379</v>
      </c>
      <c r="E6647" s="13">
        <v>159000</v>
      </c>
      <c r="F6647" s="14">
        <v>317593</v>
      </c>
    </row>
    <row r="6648" spans="1:6" x14ac:dyDescent="0.3">
      <c r="A6648" s="8">
        <v>6646</v>
      </c>
      <c r="B6648" s="8" t="s">
        <v>7694</v>
      </c>
      <c r="C6648" s="8" t="s">
        <v>13380</v>
      </c>
      <c r="D6648" s="8" t="s">
        <v>13381</v>
      </c>
      <c r="E6648" s="13">
        <v>0</v>
      </c>
      <c r="F6648" s="14">
        <v>0</v>
      </c>
    </row>
    <row r="6649" spans="1:6" x14ac:dyDescent="0.3">
      <c r="A6649" s="8">
        <v>6647</v>
      </c>
      <c r="B6649" s="8" t="s">
        <v>7694</v>
      </c>
      <c r="C6649" s="8" t="s">
        <v>13382</v>
      </c>
      <c r="D6649" s="8" t="s">
        <v>13383</v>
      </c>
      <c r="E6649" s="13">
        <v>0</v>
      </c>
      <c r="F6649" s="14">
        <v>0</v>
      </c>
    </row>
    <row r="6650" spans="1:6" x14ac:dyDescent="0.3">
      <c r="A6650" s="8">
        <v>6648</v>
      </c>
      <c r="B6650" s="8" t="s">
        <v>7694</v>
      </c>
      <c r="C6650" s="8" t="s">
        <v>13384</v>
      </c>
      <c r="D6650" s="8" t="s">
        <v>13385</v>
      </c>
      <c r="E6650" s="13">
        <v>0</v>
      </c>
      <c r="F6650" s="14">
        <v>0</v>
      </c>
    </row>
    <row r="6651" spans="1:6" x14ac:dyDescent="0.3">
      <c r="A6651" s="8">
        <v>6649</v>
      </c>
      <c r="B6651" s="8" t="s">
        <v>7694</v>
      </c>
      <c r="C6651" s="8" t="s">
        <v>13386</v>
      </c>
      <c r="D6651" s="8" t="s">
        <v>13387</v>
      </c>
      <c r="E6651" s="13">
        <v>0</v>
      </c>
      <c r="F6651" s="14">
        <v>0</v>
      </c>
    </row>
    <row r="6652" spans="1:6" x14ac:dyDescent="0.3">
      <c r="A6652" s="8">
        <v>6650</v>
      </c>
      <c r="B6652" s="8" t="s">
        <v>7694</v>
      </c>
      <c r="C6652" s="8" t="s">
        <v>13388</v>
      </c>
      <c r="D6652" s="8" t="s">
        <v>13389</v>
      </c>
      <c r="E6652" s="13">
        <v>0</v>
      </c>
      <c r="F6652" s="14">
        <v>0</v>
      </c>
    </row>
    <row r="6653" spans="1:6" x14ac:dyDescent="0.3">
      <c r="A6653" s="8">
        <v>6651</v>
      </c>
      <c r="B6653" s="8" t="s">
        <v>7694</v>
      </c>
      <c r="C6653" s="8" t="s">
        <v>13390</v>
      </c>
      <c r="D6653" s="8" t="s">
        <v>13391</v>
      </c>
      <c r="E6653" s="13">
        <v>0</v>
      </c>
      <c r="F6653" s="14">
        <v>814545</v>
      </c>
    </row>
    <row r="6654" spans="1:6" x14ac:dyDescent="0.3">
      <c r="A6654" s="8">
        <v>6652</v>
      </c>
      <c r="B6654" s="8" t="s">
        <v>7694</v>
      </c>
      <c r="C6654" s="8" t="s">
        <v>13392</v>
      </c>
      <c r="D6654" s="8" t="s">
        <v>13393</v>
      </c>
      <c r="E6654" s="13">
        <v>0</v>
      </c>
      <c r="F6654" s="14">
        <v>851818</v>
      </c>
    </row>
    <row r="6655" spans="1:6" x14ac:dyDescent="0.3">
      <c r="A6655" s="8">
        <v>6653</v>
      </c>
      <c r="B6655" s="8" t="s">
        <v>7694</v>
      </c>
      <c r="C6655" s="8" t="s">
        <v>13394</v>
      </c>
      <c r="D6655" s="8" t="s">
        <v>13395</v>
      </c>
      <c r="E6655" s="13">
        <v>351900</v>
      </c>
      <c r="F6655" s="14">
        <v>703636</v>
      </c>
    </row>
    <row r="6656" spans="1:6" x14ac:dyDescent="0.3">
      <c r="A6656" s="8">
        <v>6654</v>
      </c>
      <c r="B6656" s="8" t="s">
        <v>7694</v>
      </c>
      <c r="C6656" s="8" t="s">
        <v>13396</v>
      </c>
      <c r="D6656" s="8" t="s">
        <v>13397</v>
      </c>
      <c r="E6656" s="13">
        <v>351900</v>
      </c>
      <c r="F6656" s="14">
        <v>703636</v>
      </c>
    </row>
    <row r="6657" spans="1:6" x14ac:dyDescent="0.3">
      <c r="A6657" s="8">
        <v>6655</v>
      </c>
      <c r="B6657" s="8" t="s">
        <v>7694</v>
      </c>
      <c r="C6657" s="8" t="s">
        <v>13398</v>
      </c>
      <c r="D6657" s="8" t="s">
        <v>13399</v>
      </c>
      <c r="E6657" s="13">
        <v>0</v>
      </c>
      <c r="F6657" s="14">
        <v>0</v>
      </c>
    </row>
    <row r="6658" spans="1:6" x14ac:dyDescent="0.3">
      <c r="A6658" s="8">
        <v>6656</v>
      </c>
      <c r="B6658" s="8" t="s">
        <v>7694</v>
      </c>
      <c r="C6658" s="8" t="s">
        <v>13400</v>
      </c>
      <c r="D6658" s="8" t="s">
        <v>13401</v>
      </c>
      <c r="E6658" s="13">
        <v>1676000</v>
      </c>
      <c r="F6658" s="14">
        <v>2800000</v>
      </c>
    </row>
    <row r="6659" spans="1:6" x14ac:dyDescent="0.3">
      <c r="A6659" s="8">
        <v>6657</v>
      </c>
      <c r="B6659" s="8" t="s">
        <v>7694</v>
      </c>
      <c r="C6659" s="8" t="s">
        <v>13402</v>
      </c>
      <c r="D6659" s="8" t="s">
        <v>13403</v>
      </c>
      <c r="E6659" s="13">
        <v>0</v>
      </c>
      <c r="F6659" s="14">
        <v>0</v>
      </c>
    </row>
    <row r="6660" spans="1:6" x14ac:dyDescent="0.3">
      <c r="A6660" s="8">
        <v>6658</v>
      </c>
      <c r="B6660" s="8" t="s">
        <v>7694</v>
      </c>
      <c r="C6660" s="8" t="s">
        <v>13404</v>
      </c>
      <c r="D6660" s="8" t="s">
        <v>13405</v>
      </c>
      <c r="E6660" s="13">
        <v>0</v>
      </c>
      <c r="F6660" s="14">
        <v>0</v>
      </c>
    </row>
    <row r="6661" spans="1:6" x14ac:dyDescent="0.3">
      <c r="A6661" s="8">
        <v>6659</v>
      </c>
      <c r="B6661" s="8" t="s">
        <v>7694</v>
      </c>
      <c r="C6661" s="8" t="s">
        <v>13406</v>
      </c>
      <c r="D6661" s="8" t="s">
        <v>13407</v>
      </c>
      <c r="E6661" s="13">
        <v>0</v>
      </c>
      <c r="F6661" s="14">
        <v>0</v>
      </c>
    </row>
    <row r="6662" spans="1:6" x14ac:dyDescent="0.3">
      <c r="A6662" s="8">
        <v>6660</v>
      </c>
      <c r="B6662" s="8" t="s">
        <v>7694</v>
      </c>
      <c r="C6662" s="8" t="s">
        <v>13408</v>
      </c>
      <c r="D6662" s="8" t="s">
        <v>13409</v>
      </c>
      <c r="E6662" s="13">
        <v>0</v>
      </c>
      <c r="F6662" s="14">
        <v>0</v>
      </c>
    </row>
    <row r="6663" spans="1:6" x14ac:dyDescent="0.3">
      <c r="A6663" s="8">
        <v>6661</v>
      </c>
      <c r="B6663" s="8" t="s">
        <v>7694</v>
      </c>
      <c r="C6663" s="8" t="s">
        <v>13410</v>
      </c>
      <c r="D6663" s="8" t="s">
        <v>13411</v>
      </c>
      <c r="E6663" s="13">
        <v>159000</v>
      </c>
      <c r="F6663" s="14">
        <v>317593</v>
      </c>
    </row>
    <row r="6664" spans="1:6" x14ac:dyDescent="0.3">
      <c r="A6664" s="8">
        <v>6662</v>
      </c>
      <c r="B6664" s="8" t="s">
        <v>7694</v>
      </c>
      <c r="C6664" s="8" t="s">
        <v>13412</v>
      </c>
      <c r="D6664" s="8" t="s">
        <v>13413</v>
      </c>
      <c r="E6664" s="13">
        <v>0</v>
      </c>
      <c r="F6664" s="14">
        <v>889091</v>
      </c>
    </row>
    <row r="6665" spans="1:6" x14ac:dyDescent="0.3">
      <c r="A6665" s="8">
        <v>6663</v>
      </c>
      <c r="B6665" s="8" t="s">
        <v>7694</v>
      </c>
      <c r="C6665" s="8" t="s">
        <v>13414</v>
      </c>
      <c r="D6665" s="8" t="s">
        <v>13415</v>
      </c>
      <c r="E6665" s="13">
        <v>3890000</v>
      </c>
      <c r="F6665" s="14">
        <v>0</v>
      </c>
    </row>
    <row r="6666" spans="1:6" x14ac:dyDescent="0.3">
      <c r="A6666" s="8">
        <v>6664</v>
      </c>
      <c r="B6666" s="8" t="s">
        <v>10684</v>
      </c>
      <c r="C6666" s="8" t="s">
        <v>13416</v>
      </c>
      <c r="D6666" s="8" t="s">
        <v>13417</v>
      </c>
      <c r="E6666" s="13">
        <v>0</v>
      </c>
      <c r="F6666" s="14">
        <v>0</v>
      </c>
    </row>
    <row r="6667" spans="1:6" x14ac:dyDescent="0.3">
      <c r="A6667" s="8">
        <v>6665</v>
      </c>
      <c r="B6667" s="8" t="s">
        <v>10684</v>
      </c>
      <c r="C6667" s="8" t="s">
        <v>13418</v>
      </c>
      <c r="D6667" s="8" t="s">
        <v>13419</v>
      </c>
      <c r="E6667" s="13">
        <v>0</v>
      </c>
      <c r="F6667" s="14">
        <v>0</v>
      </c>
    </row>
    <row r="6668" spans="1:6" x14ac:dyDescent="0.3">
      <c r="A6668" s="8">
        <v>6666</v>
      </c>
      <c r="B6668" s="8" t="s">
        <v>10684</v>
      </c>
      <c r="C6668" s="8" t="s">
        <v>13420</v>
      </c>
      <c r="D6668" s="8" t="s">
        <v>13421</v>
      </c>
      <c r="E6668" s="13">
        <v>0</v>
      </c>
      <c r="F6668" s="14">
        <v>0</v>
      </c>
    </row>
    <row r="6669" spans="1:6" x14ac:dyDescent="0.3">
      <c r="A6669" s="8">
        <v>6667</v>
      </c>
      <c r="B6669" s="8" t="s">
        <v>10684</v>
      </c>
      <c r="C6669" s="8" t="s">
        <v>13422</v>
      </c>
      <c r="D6669" s="8" t="s">
        <v>13423</v>
      </c>
      <c r="E6669" s="13">
        <v>0</v>
      </c>
      <c r="F6669" s="14">
        <v>0</v>
      </c>
    </row>
    <row r="6670" spans="1:6" x14ac:dyDescent="0.3">
      <c r="A6670" s="8">
        <v>6668</v>
      </c>
      <c r="B6670" s="8" t="s">
        <v>10697</v>
      </c>
      <c r="C6670" s="8" t="s">
        <v>13424</v>
      </c>
      <c r="D6670" s="8" t="s">
        <v>13425</v>
      </c>
      <c r="E6670" s="13">
        <v>0</v>
      </c>
      <c r="F6670" s="14">
        <v>0</v>
      </c>
    </row>
    <row r="6671" spans="1:6" x14ac:dyDescent="0.3">
      <c r="A6671" s="8">
        <v>6669</v>
      </c>
      <c r="B6671" s="8" t="s">
        <v>10697</v>
      </c>
      <c r="C6671" s="8" t="s">
        <v>13426</v>
      </c>
      <c r="D6671" s="8" t="s">
        <v>13427</v>
      </c>
      <c r="E6671" s="13">
        <v>0</v>
      </c>
      <c r="F6671" s="14">
        <v>0</v>
      </c>
    </row>
    <row r="6672" spans="1:6" x14ac:dyDescent="0.3">
      <c r="A6672" s="8">
        <v>6670</v>
      </c>
      <c r="B6672" s="8" t="s">
        <v>10697</v>
      </c>
      <c r="C6672" s="8" t="s">
        <v>13428</v>
      </c>
      <c r="D6672" s="8" t="s">
        <v>13429</v>
      </c>
      <c r="E6672" s="13">
        <v>0</v>
      </c>
      <c r="F6672" s="14">
        <v>0</v>
      </c>
    </row>
    <row r="6673" spans="1:6" x14ac:dyDescent="0.3">
      <c r="A6673" s="8">
        <v>6671</v>
      </c>
      <c r="B6673" s="8" t="s">
        <v>10697</v>
      </c>
      <c r="C6673" s="8" t="s">
        <v>13430</v>
      </c>
      <c r="D6673" s="8" t="s">
        <v>13431</v>
      </c>
      <c r="E6673" s="13">
        <v>0</v>
      </c>
      <c r="F6673" s="14">
        <v>0</v>
      </c>
    </row>
    <row r="6674" spans="1:6" x14ac:dyDescent="0.3">
      <c r="A6674" s="8">
        <v>6672</v>
      </c>
      <c r="B6674" s="8" t="s">
        <v>10697</v>
      </c>
      <c r="C6674" s="8" t="s">
        <v>13432</v>
      </c>
      <c r="D6674" s="8" t="s">
        <v>13433</v>
      </c>
      <c r="E6674" s="13">
        <v>895000</v>
      </c>
      <c r="F6674" s="14">
        <v>1496296</v>
      </c>
    </row>
    <row r="6675" spans="1:6" x14ac:dyDescent="0.3">
      <c r="A6675" s="8">
        <v>6673</v>
      </c>
      <c r="B6675" s="8" t="s">
        <v>10697</v>
      </c>
      <c r="C6675" s="8" t="s">
        <v>13434</v>
      </c>
      <c r="D6675" s="8" t="s">
        <v>13435</v>
      </c>
      <c r="E6675" s="13">
        <v>0</v>
      </c>
      <c r="F6675" s="14">
        <v>0</v>
      </c>
    </row>
    <row r="6676" spans="1:6" x14ac:dyDescent="0.3">
      <c r="A6676" s="8">
        <v>6674</v>
      </c>
      <c r="B6676" s="8" t="s">
        <v>10697</v>
      </c>
      <c r="C6676" s="8" t="s">
        <v>13436</v>
      </c>
      <c r="D6676" s="8" t="s">
        <v>13437</v>
      </c>
      <c r="E6676" s="13">
        <v>166700</v>
      </c>
      <c r="F6676" s="14">
        <v>333333</v>
      </c>
    </row>
    <row r="6677" spans="1:6" x14ac:dyDescent="0.3">
      <c r="A6677" s="8">
        <v>6675</v>
      </c>
      <c r="B6677" s="8" t="s">
        <v>10697</v>
      </c>
      <c r="C6677" s="8" t="s">
        <v>13438</v>
      </c>
      <c r="D6677" s="8" t="s">
        <v>13439</v>
      </c>
      <c r="E6677" s="13">
        <v>33000</v>
      </c>
      <c r="F6677" s="14">
        <v>66667</v>
      </c>
    </row>
    <row r="6678" spans="1:6" x14ac:dyDescent="0.3">
      <c r="A6678" s="8">
        <v>6676</v>
      </c>
      <c r="B6678" s="8" t="s">
        <v>10697</v>
      </c>
      <c r="C6678" s="8" t="s">
        <v>13440</v>
      </c>
      <c r="D6678" s="8" t="s">
        <v>13441</v>
      </c>
      <c r="E6678" s="13">
        <v>0</v>
      </c>
      <c r="F6678" s="14">
        <v>0</v>
      </c>
    </row>
    <row r="6679" spans="1:6" x14ac:dyDescent="0.3">
      <c r="A6679" s="8">
        <v>6677</v>
      </c>
      <c r="B6679" s="8" t="s">
        <v>10697</v>
      </c>
      <c r="C6679" s="8" t="s">
        <v>13442</v>
      </c>
      <c r="D6679" s="8" t="s">
        <v>13443</v>
      </c>
      <c r="E6679" s="13">
        <v>220000</v>
      </c>
      <c r="F6679" s="14">
        <v>439815</v>
      </c>
    </row>
    <row r="6680" spans="1:6" x14ac:dyDescent="0.3">
      <c r="A6680" s="8">
        <v>6678</v>
      </c>
      <c r="B6680" s="8" t="s">
        <v>10697</v>
      </c>
      <c r="C6680" s="8" t="s">
        <v>13444</v>
      </c>
      <c r="D6680" s="8" t="s">
        <v>13445</v>
      </c>
      <c r="E6680" s="13">
        <v>20000</v>
      </c>
      <c r="F6680" s="14">
        <v>39815</v>
      </c>
    </row>
    <row r="6681" spans="1:6" x14ac:dyDescent="0.3">
      <c r="A6681" s="8">
        <v>6679</v>
      </c>
      <c r="B6681" s="8" t="s">
        <v>10697</v>
      </c>
      <c r="C6681" s="8" t="s">
        <v>13446</v>
      </c>
      <c r="D6681" s="8" t="s">
        <v>13447</v>
      </c>
      <c r="E6681" s="13">
        <v>33000</v>
      </c>
      <c r="F6681" s="14">
        <v>66667</v>
      </c>
    </row>
    <row r="6682" spans="1:6" x14ac:dyDescent="0.3">
      <c r="A6682" s="8">
        <v>6680</v>
      </c>
      <c r="B6682" s="8" t="s">
        <v>10697</v>
      </c>
      <c r="C6682" s="8" t="s">
        <v>13448</v>
      </c>
      <c r="D6682" s="8" t="s">
        <v>13449</v>
      </c>
      <c r="E6682" s="13">
        <v>26000</v>
      </c>
      <c r="F6682" s="14">
        <v>51818</v>
      </c>
    </row>
    <row r="6683" spans="1:6" x14ac:dyDescent="0.3">
      <c r="A6683" s="8">
        <v>6681</v>
      </c>
      <c r="B6683" s="8" t="s">
        <v>10697</v>
      </c>
      <c r="C6683" s="8" t="s">
        <v>13450</v>
      </c>
      <c r="D6683" s="8" t="s">
        <v>13451</v>
      </c>
      <c r="E6683" s="13">
        <v>22000</v>
      </c>
      <c r="F6683" s="14">
        <v>43636</v>
      </c>
    </row>
    <row r="6684" spans="1:6" x14ac:dyDescent="0.3">
      <c r="A6684" s="8">
        <v>6682</v>
      </c>
      <c r="B6684" s="8" t="s">
        <v>10697</v>
      </c>
      <c r="C6684" s="8" t="s">
        <v>13452</v>
      </c>
      <c r="D6684" s="8" t="s">
        <v>13453</v>
      </c>
      <c r="E6684" s="13">
        <v>0</v>
      </c>
      <c r="F6684" s="14">
        <v>0</v>
      </c>
    </row>
    <row r="6685" spans="1:6" x14ac:dyDescent="0.3">
      <c r="A6685" s="8">
        <v>6683</v>
      </c>
      <c r="B6685" s="8" t="s">
        <v>10697</v>
      </c>
      <c r="C6685" s="8" t="s">
        <v>13454</v>
      </c>
      <c r="D6685" s="8" t="s">
        <v>13455</v>
      </c>
      <c r="E6685" s="13">
        <v>0</v>
      </c>
      <c r="F6685" s="14">
        <v>0</v>
      </c>
    </row>
    <row r="6686" spans="1:6" x14ac:dyDescent="0.3">
      <c r="A6686" s="8">
        <v>6684</v>
      </c>
      <c r="B6686" s="8" t="s">
        <v>10697</v>
      </c>
      <c r="C6686" s="8" t="s">
        <v>13456</v>
      </c>
      <c r="D6686" s="8" t="s">
        <v>13457</v>
      </c>
      <c r="E6686" s="13">
        <v>0</v>
      </c>
      <c r="F6686" s="14">
        <v>0</v>
      </c>
    </row>
    <row r="6687" spans="1:6" x14ac:dyDescent="0.3">
      <c r="A6687" s="8">
        <v>6685</v>
      </c>
      <c r="B6687" s="8" t="s">
        <v>10697</v>
      </c>
      <c r="C6687" s="8" t="s">
        <v>13458</v>
      </c>
      <c r="D6687" s="8" t="s">
        <v>13459</v>
      </c>
      <c r="E6687" s="13">
        <v>0</v>
      </c>
      <c r="F6687" s="14">
        <v>0</v>
      </c>
    </row>
    <row r="6688" spans="1:6" x14ac:dyDescent="0.3">
      <c r="A6688" s="8">
        <v>6686</v>
      </c>
      <c r="B6688" s="8" t="s">
        <v>10697</v>
      </c>
      <c r="C6688" s="8" t="s">
        <v>13460</v>
      </c>
      <c r="D6688" s="8" t="s">
        <v>13461</v>
      </c>
      <c r="E6688" s="13">
        <v>0</v>
      </c>
      <c r="F6688" s="14">
        <v>0</v>
      </c>
    </row>
    <row r="6689" spans="1:6" x14ac:dyDescent="0.3">
      <c r="A6689" s="8">
        <v>6687</v>
      </c>
      <c r="B6689" s="8" t="s">
        <v>10697</v>
      </c>
      <c r="C6689" s="8" t="s">
        <v>13462</v>
      </c>
      <c r="D6689" s="8" t="s">
        <v>13463</v>
      </c>
      <c r="E6689" s="13">
        <v>0</v>
      </c>
      <c r="F6689" s="14">
        <v>0</v>
      </c>
    </row>
    <row r="6690" spans="1:6" x14ac:dyDescent="0.3">
      <c r="A6690" s="8">
        <v>6688</v>
      </c>
      <c r="B6690" s="8" t="s">
        <v>10697</v>
      </c>
      <c r="C6690" s="8" t="s">
        <v>13464</v>
      </c>
      <c r="D6690" s="8" t="s">
        <v>13465</v>
      </c>
      <c r="E6690" s="13">
        <v>0</v>
      </c>
      <c r="F6690" s="14">
        <v>0</v>
      </c>
    </row>
    <row r="6691" spans="1:6" x14ac:dyDescent="0.3">
      <c r="A6691" s="8">
        <v>6689</v>
      </c>
      <c r="B6691" s="8" t="s">
        <v>10697</v>
      </c>
      <c r="C6691" s="8" t="s">
        <v>13466</v>
      </c>
      <c r="D6691" s="8" t="s">
        <v>13467</v>
      </c>
      <c r="E6691" s="13">
        <v>0</v>
      </c>
      <c r="F6691" s="14">
        <v>0</v>
      </c>
    </row>
    <row r="6692" spans="1:6" x14ac:dyDescent="0.3">
      <c r="A6692" s="8">
        <v>6690</v>
      </c>
      <c r="B6692" s="8" t="s">
        <v>9478</v>
      </c>
      <c r="C6692" s="8" t="s">
        <v>13468</v>
      </c>
      <c r="D6692" s="8" t="s">
        <v>13469</v>
      </c>
      <c r="E6692" s="13">
        <v>0</v>
      </c>
      <c r="F6692" s="14">
        <v>0</v>
      </c>
    </row>
    <row r="6693" spans="1:6" x14ac:dyDescent="0.3">
      <c r="A6693" s="8">
        <v>6691</v>
      </c>
      <c r="B6693" s="8" t="s">
        <v>9478</v>
      </c>
      <c r="C6693" s="8" t="s">
        <v>13470</v>
      </c>
      <c r="D6693" s="8" t="s">
        <v>13471</v>
      </c>
      <c r="E6693" s="13">
        <v>0</v>
      </c>
      <c r="F6693" s="14">
        <v>0</v>
      </c>
    </row>
    <row r="6694" spans="1:6" x14ac:dyDescent="0.3">
      <c r="A6694" s="8">
        <v>6692</v>
      </c>
      <c r="B6694" s="8" t="s">
        <v>9478</v>
      </c>
      <c r="C6694" s="8" t="s">
        <v>13472</v>
      </c>
      <c r="D6694" s="8" t="s">
        <v>13473</v>
      </c>
      <c r="E6694" s="13">
        <v>0</v>
      </c>
      <c r="F6694" s="14">
        <v>0</v>
      </c>
    </row>
    <row r="6695" spans="1:6" x14ac:dyDescent="0.3">
      <c r="A6695" s="8">
        <v>6693</v>
      </c>
      <c r="B6695" s="8" t="s">
        <v>9478</v>
      </c>
      <c r="C6695" s="8" t="s">
        <v>13474</v>
      </c>
      <c r="D6695" s="8" t="s">
        <v>13475</v>
      </c>
      <c r="E6695" s="13">
        <v>0</v>
      </c>
      <c r="F6695" s="14">
        <v>0</v>
      </c>
    </row>
    <row r="6696" spans="1:6" x14ac:dyDescent="0.3">
      <c r="A6696" s="8">
        <v>6694</v>
      </c>
      <c r="B6696" s="8" t="s">
        <v>9478</v>
      </c>
      <c r="C6696" s="8" t="s">
        <v>13476</v>
      </c>
      <c r="D6696" s="8" t="s">
        <v>115</v>
      </c>
      <c r="E6696" s="13">
        <v>217000</v>
      </c>
      <c r="F6696" s="14">
        <v>434259</v>
      </c>
    </row>
    <row r="6697" spans="1:6" x14ac:dyDescent="0.3">
      <c r="A6697" s="8">
        <v>6695</v>
      </c>
      <c r="B6697" s="8" t="s">
        <v>9478</v>
      </c>
      <c r="C6697" s="8" t="s">
        <v>13477</v>
      </c>
      <c r="D6697" s="8" t="s">
        <v>13478</v>
      </c>
      <c r="E6697" s="13">
        <v>0</v>
      </c>
      <c r="F6697" s="14">
        <v>0</v>
      </c>
    </row>
    <row r="6698" spans="1:6" x14ac:dyDescent="0.3">
      <c r="A6698" s="8">
        <v>6696</v>
      </c>
      <c r="B6698" s="8" t="s">
        <v>9478</v>
      </c>
      <c r="C6698" s="8" t="s">
        <v>13479</v>
      </c>
      <c r="D6698" s="8" t="s">
        <v>13480</v>
      </c>
      <c r="E6698" s="13">
        <v>0</v>
      </c>
      <c r="F6698" s="14">
        <v>0</v>
      </c>
    </row>
    <row r="6699" spans="1:6" x14ac:dyDescent="0.3">
      <c r="A6699" s="8">
        <v>6697</v>
      </c>
      <c r="B6699" s="8" t="s">
        <v>9478</v>
      </c>
      <c r="C6699" s="8" t="s">
        <v>13481</v>
      </c>
      <c r="D6699" s="8" t="s">
        <v>13482</v>
      </c>
      <c r="E6699" s="13">
        <v>130000</v>
      </c>
      <c r="F6699" s="14">
        <v>260000</v>
      </c>
    </row>
    <row r="6700" spans="1:6" x14ac:dyDescent="0.3">
      <c r="A6700" s="8">
        <v>6698</v>
      </c>
      <c r="B6700" s="8" t="s">
        <v>9478</v>
      </c>
      <c r="C6700" s="8" t="s">
        <v>13483</v>
      </c>
      <c r="D6700" s="8" t="s">
        <v>13484</v>
      </c>
      <c r="E6700" s="13">
        <v>0</v>
      </c>
      <c r="F6700" s="14">
        <v>0</v>
      </c>
    </row>
    <row r="6701" spans="1:6" x14ac:dyDescent="0.3">
      <c r="A6701" s="8">
        <v>6699</v>
      </c>
      <c r="B6701" s="8" t="s">
        <v>10667</v>
      </c>
      <c r="C6701" s="8" t="s">
        <v>13485</v>
      </c>
      <c r="D6701" s="8" t="s">
        <v>13486</v>
      </c>
      <c r="E6701" s="13">
        <v>0</v>
      </c>
      <c r="F6701" s="14">
        <v>0</v>
      </c>
    </row>
    <row r="6702" spans="1:6" x14ac:dyDescent="0.3">
      <c r="A6702" s="8">
        <v>6700</v>
      </c>
      <c r="B6702" s="8" t="s">
        <v>10667</v>
      </c>
      <c r="C6702" s="8" t="s">
        <v>13487</v>
      </c>
      <c r="D6702" s="8" t="s">
        <v>13488</v>
      </c>
      <c r="E6702" s="13">
        <v>0</v>
      </c>
      <c r="F6702" s="14">
        <v>0</v>
      </c>
    </row>
    <row r="6703" spans="1:6" x14ac:dyDescent="0.3">
      <c r="A6703" s="8">
        <v>6701</v>
      </c>
      <c r="B6703" s="8" t="s">
        <v>10667</v>
      </c>
      <c r="C6703" s="8" t="s">
        <v>13489</v>
      </c>
      <c r="D6703" s="8" t="s">
        <v>13490</v>
      </c>
      <c r="E6703" s="13">
        <v>0</v>
      </c>
      <c r="F6703" s="14">
        <v>0</v>
      </c>
    </row>
    <row r="6704" spans="1:6" x14ac:dyDescent="0.3">
      <c r="A6704" s="8">
        <v>6702</v>
      </c>
      <c r="B6704" s="8" t="s">
        <v>10667</v>
      </c>
      <c r="C6704" s="8" t="s">
        <v>13491</v>
      </c>
      <c r="D6704" s="8" t="s">
        <v>13492</v>
      </c>
      <c r="E6704" s="13">
        <v>0</v>
      </c>
      <c r="F6704" s="14">
        <v>0</v>
      </c>
    </row>
    <row r="6705" spans="1:6" x14ac:dyDescent="0.3">
      <c r="A6705" s="8">
        <v>6703</v>
      </c>
      <c r="B6705" s="8" t="s">
        <v>10667</v>
      </c>
      <c r="C6705" s="8" t="s">
        <v>13493</v>
      </c>
      <c r="D6705" s="8" t="s">
        <v>13494</v>
      </c>
      <c r="E6705" s="13">
        <v>0</v>
      </c>
      <c r="F6705" s="14">
        <v>0</v>
      </c>
    </row>
    <row r="6706" spans="1:6" x14ac:dyDescent="0.3">
      <c r="A6706" s="8">
        <v>6704</v>
      </c>
      <c r="B6706" s="8" t="s">
        <v>10667</v>
      </c>
      <c r="C6706" s="8" t="s">
        <v>13495</v>
      </c>
      <c r="D6706" s="8" t="s">
        <v>13496</v>
      </c>
      <c r="E6706" s="13">
        <v>0</v>
      </c>
      <c r="F6706" s="14">
        <v>0</v>
      </c>
    </row>
    <row r="6707" spans="1:6" x14ac:dyDescent="0.3">
      <c r="A6707" s="8">
        <v>6705</v>
      </c>
      <c r="B6707" s="8" t="s">
        <v>10667</v>
      </c>
      <c r="C6707" s="8" t="s">
        <v>13497</v>
      </c>
      <c r="D6707" s="8" t="s">
        <v>13498</v>
      </c>
      <c r="E6707" s="13">
        <v>0</v>
      </c>
      <c r="F6707" s="14">
        <v>0</v>
      </c>
    </row>
    <row r="6708" spans="1:6" x14ac:dyDescent="0.3">
      <c r="A6708" s="8">
        <v>6706</v>
      </c>
      <c r="B6708" s="8" t="s">
        <v>10667</v>
      </c>
      <c r="C6708" s="8" t="s">
        <v>13499</v>
      </c>
      <c r="D6708" s="8" t="s">
        <v>13500</v>
      </c>
      <c r="E6708" s="13">
        <v>0</v>
      </c>
      <c r="F6708" s="14">
        <v>0</v>
      </c>
    </row>
    <row r="6709" spans="1:6" x14ac:dyDescent="0.3">
      <c r="A6709" s="8">
        <v>6707</v>
      </c>
      <c r="B6709" s="8" t="s">
        <v>10667</v>
      </c>
      <c r="C6709" s="8" t="s">
        <v>13501</v>
      </c>
      <c r="D6709" s="8" t="s">
        <v>13502</v>
      </c>
      <c r="E6709" s="13">
        <v>0</v>
      </c>
      <c r="F6709" s="14">
        <v>0</v>
      </c>
    </row>
    <row r="6710" spans="1:6" x14ac:dyDescent="0.3">
      <c r="A6710" s="8">
        <v>6708</v>
      </c>
      <c r="B6710" s="8" t="s">
        <v>10667</v>
      </c>
      <c r="C6710" s="8" t="s">
        <v>13503</v>
      </c>
      <c r="D6710" s="8" t="s">
        <v>13504</v>
      </c>
      <c r="E6710" s="13">
        <v>0</v>
      </c>
      <c r="F6710" s="14">
        <v>0</v>
      </c>
    </row>
    <row r="6711" spans="1:6" x14ac:dyDescent="0.3">
      <c r="A6711" s="8">
        <v>6709</v>
      </c>
      <c r="B6711" s="8" t="s">
        <v>10667</v>
      </c>
      <c r="C6711" s="8" t="s">
        <v>13505</v>
      </c>
      <c r="D6711" s="8" t="s">
        <v>13506</v>
      </c>
      <c r="E6711" s="13">
        <v>0</v>
      </c>
      <c r="F6711" s="14">
        <v>0</v>
      </c>
    </row>
    <row r="6712" spans="1:6" x14ac:dyDescent="0.3">
      <c r="A6712" s="8">
        <v>6710</v>
      </c>
      <c r="B6712" s="8" t="s">
        <v>10667</v>
      </c>
      <c r="C6712" s="8" t="s">
        <v>13507</v>
      </c>
      <c r="D6712" s="8" t="s">
        <v>13508</v>
      </c>
      <c r="E6712" s="13">
        <v>0</v>
      </c>
      <c r="F6712" s="14">
        <v>0</v>
      </c>
    </row>
    <row r="6713" spans="1:6" x14ac:dyDescent="0.3">
      <c r="A6713" s="8">
        <v>6711</v>
      </c>
      <c r="B6713" s="8" t="s">
        <v>10667</v>
      </c>
      <c r="C6713" s="8" t="s">
        <v>13509</v>
      </c>
      <c r="D6713" s="8" t="s">
        <v>13510</v>
      </c>
      <c r="E6713" s="13">
        <v>0</v>
      </c>
      <c r="F6713" s="14">
        <v>0</v>
      </c>
    </row>
    <row r="6714" spans="1:6" x14ac:dyDescent="0.3">
      <c r="A6714" s="8">
        <v>6712</v>
      </c>
      <c r="B6714" s="8" t="s">
        <v>10684</v>
      </c>
      <c r="C6714" s="8" t="s">
        <v>13511</v>
      </c>
      <c r="D6714" s="8" t="s">
        <v>13512</v>
      </c>
      <c r="E6714" s="13">
        <v>0</v>
      </c>
      <c r="F6714" s="14">
        <v>0</v>
      </c>
    </row>
    <row r="6715" spans="1:6" x14ac:dyDescent="0.3">
      <c r="A6715" s="8">
        <v>6713</v>
      </c>
      <c r="B6715" s="8" t="s">
        <v>10684</v>
      </c>
      <c r="C6715" s="8" t="s">
        <v>13513</v>
      </c>
      <c r="D6715" s="8" t="s">
        <v>13514</v>
      </c>
      <c r="E6715" s="13">
        <v>0</v>
      </c>
      <c r="F6715" s="14">
        <v>0</v>
      </c>
    </row>
    <row r="6716" spans="1:6" x14ac:dyDescent="0.3">
      <c r="A6716" s="8">
        <v>6714</v>
      </c>
      <c r="B6716" s="8" t="s">
        <v>10684</v>
      </c>
      <c r="C6716" s="8" t="s">
        <v>13515</v>
      </c>
      <c r="D6716" s="8" t="s">
        <v>13516</v>
      </c>
      <c r="E6716" s="13">
        <v>0</v>
      </c>
      <c r="F6716" s="14">
        <v>0</v>
      </c>
    </row>
    <row r="6717" spans="1:6" x14ac:dyDescent="0.3">
      <c r="A6717" s="8">
        <v>6715</v>
      </c>
      <c r="B6717" s="8" t="s">
        <v>10684</v>
      </c>
      <c r="C6717" s="8" t="s">
        <v>13517</v>
      </c>
      <c r="D6717" s="8" t="s">
        <v>13518</v>
      </c>
      <c r="E6717" s="13">
        <v>0</v>
      </c>
      <c r="F6717" s="14">
        <v>0</v>
      </c>
    </row>
    <row r="6718" spans="1:6" x14ac:dyDescent="0.3">
      <c r="A6718" s="8">
        <v>6716</v>
      </c>
      <c r="B6718" s="8" t="s">
        <v>10684</v>
      </c>
      <c r="C6718" s="8" t="s">
        <v>13519</v>
      </c>
      <c r="D6718" s="8" t="s">
        <v>13520</v>
      </c>
      <c r="E6718" s="13">
        <v>0</v>
      </c>
      <c r="F6718" s="14">
        <v>0</v>
      </c>
    </row>
    <row r="6719" spans="1:6" x14ac:dyDescent="0.3">
      <c r="A6719" s="8">
        <v>6717</v>
      </c>
      <c r="B6719" s="8" t="s">
        <v>10684</v>
      </c>
      <c r="C6719" s="8" t="s">
        <v>13521</v>
      </c>
      <c r="D6719" s="8" t="s">
        <v>13522</v>
      </c>
      <c r="E6719" s="13">
        <v>0</v>
      </c>
      <c r="F6719" s="14">
        <v>0</v>
      </c>
    </row>
    <row r="6720" spans="1:6" x14ac:dyDescent="0.3">
      <c r="A6720" s="8">
        <v>6718</v>
      </c>
      <c r="B6720" s="8" t="s">
        <v>10684</v>
      </c>
      <c r="C6720" s="8" t="s">
        <v>13523</v>
      </c>
      <c r="D6720" s="8" t="s">
        <v>13524</v>
      </c>
      <c r="E6720" s="13">
        <v>0</v>
      </c>
      <c r="F6720" s="14">
        <v>0</v>
      </c>
    </row>
    <row r="6721" spans="1:6" x14ac:dyDescent="0.3">
      <c r="A6721" s="8">
        <v>6719</v>
      </c>
      <c r="B6721" s="8" t="s">
        <v>10697</v>
      </c>
      <c r="C6721" s="8" t="s">
        <v>13525</v>
      </c>
      <c r="D6721" s="8" t="s">
        <v>13526</v>
      </c>
      <c r="E6721" s="13">
        <v>0</v>
      </c>
      <c r="F6721" s="14">
        <v>0</v>
      </c>
    </row>
    <row r="6722" spans="1:6" x14ac:dyDescent="0.3">
      <c r="A6722" s="8">
        <v>6720</v>
      </c>
      <c r="B6722" s="8" t="s">
        <v>10697</v>
      </c>
      <c r="C6722" s="8" t="s">
        <v>13527</v>
      </c>
      <c r="D6722" s="8" t="s">
        <v>13528</v>
      </c>
      <c r="E6722" s="13">
        <v>0</v>
      </c>
      <c r="F6722" s="14">
        <v>0</v>
      </c>
    </row>
    <row r="6723" spans="1:6" x14ac:dyDescent="0.3">
      <c r="A6723" s="8">
        <v>6721</v>
      </c>
      <c r="B6723" s="8" t="s">
        <v>10697</v>
      </c>
      <c r="C6723" s="8" t="s">
        <v>13529</v>
      </c>
      <c r="D6723" s="8" t="s">
        <v>13530</v>
      </c>
      <c r="E6723" s="13">
        <v>0</v>
      </c>
      <c r="F6723" s="14">
        <v>0</v>
      </c>
    </row>
    <row r="6724" spans="1:6" x14ac:dyDescent="0.3">
      <c r="A6724" s="8">
        <v>6722</v>
      </c>
      <c r="B6724" s="8" t="s">
        <v>10697</v>
      </c>
      <c r="C6724" s="8" t="s">
        <v>13531</v>
      </c>
      <c r="D6724" s="8" t="s">
        <v>13532</v>
      </c>
      <c r="E6724" s="13">
        <v>0</v>
      </c>
      <c r="F6724" s="14">
        <v>0</v>
      </c>
    </row>
    <row r="6725" spans="1:6" x14ac:dyDescent="0.3">
      <c r="A6725" s="8">
        <v>6723</v>
      </c>
      <c r="B6725" s="8" t="s">
        <v>10697</v>
      </c>
      <c r="C6725" s="8" t="s">
        <v>13533</v>
      </c>
      <c r="D6725" s="8" t="s">
        <v>13534</v>
      </c>
      <c r="E6725" s="13">
        <v>0</v>
      </c>
      <c r="F6725" s="14">
        <v>0</v>
      </c>
    </row>
    <row r="6726" spans="1:6" x14ac:dyDescent="0.3">
      <c r="A6726" s="8">
        <v>6724</v>
      </c>
      <c r="B6726" s="8" t="s">
        <v>10697</v>
      </c>
      <c r="C6726" s="8" t="s">
        <v>13535</v>
      </c>
      <c r="D6726" s="8" t="s">
        <v>13536</v>
      </c>
      <c r="E6726" s="13">
        <v>0</v>
      </c>
      <c r="F6726" s="14">
        <v>0</v>
      </c>
    </row>
    <row r="6727" spans="1:6" x14ac:dyDescent="0.3">
      <c r="A6727" s="8">
        <v>6725</v>
      </c>
      <c r="B6727" s="8" t="s">
        <v>10697</v>
      </c>
      <c r="C6727" s="8" t="s">
        <v>13537</v>
      </c>
      <c r="D6727" s="8" t="s">
        <v>13538</v>
      </c>
      <c r="E6727" s="13">
        <v>18300</v>
      </c>
      <c r="F6727" s="14">
        <v>37000</v>
      </c>
    </row>
    <row r="6728" spans="1:6" x14ac:dyDescent="0.3">
      <c r="A6728" s="8">
        <v>6726</v>
      </c>
      <c r="B6728" s="8" t="s">
        <v>10697</v>
      </c>
      <c r="C6728" s="8" t="s">
        <v>13539</v>
      </c>
      <c r="D6728" s="8" t="s">
        <v>13540</v>
      </c>
      <c r="E6728" s="13">
        <v>0</v>
      </c>
      <c r="F6728" s="14">
        <v>0</v>
      </c>
    </row>
    <row r="6729" spans="1:6" x14ac:dyDescent="0.3">
      <c r="A6729" s="8">
        <v>6727</v>
      </c>
      <c r="B6729" s="8" t="s">
        <v>10697</v>
      </c>
      <c r="C6729" s="8" t="s">
        <v>13541</v>
      </c>
      <c r="D6729" s="8" t="s">
        <v>13542</v>
      </c>
      <c r="E6729" s="13">
        <v>0</v>
      </c>
      <c r="F6729" s="14">
        <v>0</v>
      </c>
    </row>
    <row r="6730" spans="1:6" x14ac:dyDescent="0.3">
      <c r="A6730" s="8">
        <v>6728</v>
      </c>
      <c r="B6730" s="8" t="s">
        <v>10928</v>
      </c>
      <c r="C6730" s="8" t="s">
        <v>13543</v>
      </c>
      <c r="D6730" s="8" t="s">
        <v>13544</v>
      </c>
      <c r="E6730" s="13">
        <v>0</v>
      </c>
      <c r="F6730" s="14">
        <v>0</v>
      </c>
    </row>
    <row r="6731" spans="1:6" x14ac:dyDescent="0.3">
      <c r="A6731" s="8">
        <v>6729</v>
      </c>
      <c r="B6731" s="8" t="s">
        <v>10667</v>
      </c>
      <c r="C6731" s="8" t="s">
        <v>13545</v>
      </c>
      <c r="D6731" s="8" t="s">
        <v>13546</v>
      </c>
      <c r="E6731" s="13">
        <v>0</v>
      </c>
      <c r="F6731" s="14">
        <v>0</v>
      </c>
    </row>
    <row r="6732" spans="1:6" x14ac:dyDescent="0.3">
      <c r="A6732" s="8">
        <v>6730</v>
      </c>
      <c r="B6732" s="8" t="s">
        <v>10667</v>
      </c>
      <c r="C6732" s="8" t="s">
        <v>13547</v>
      </c>
      <c r="D6732" s="8" t="s">
        <v>13548</v>
      </c>
      <c r="E6732" s="13">
        <v>0</v>
      </c>
      <c r="F6732" s="14">
        <v>0</v>
      </c>
    </row>
    <row r="6733" spans="1:6" x14ac:dyDescent="0.3">
      <c r="A6733" s="8">
        <v>6731</v>
      </c>
      <c r="B6733" s="8" t="s">
        <v>10684</v>
      </c>
      <c r="C6733" s="8" t="s">
        <v>13549</v>
      </c>
      <c r="D6733" s="8" t="s">
        <v>13550</v>
      </c>
      <c r="E6733" s="13">
        <v>0</v>
      </c>
      <c r="F6733" s="14">
        <v>0</v>
      </c>
    </row>
    <row r="6734" spans="1:6" x14ac:dyDescent="0.3">
      <c r="A6734" s="8">
        <v>6732</v>
      </c>
      <c r="B6734" s="8" t="s">
        <v>10684</v>
      </c>
      <c r="C6734" s="8" t="s">
        <v>13551</v>
      </c>
      <c r="D6734" s="8" t="s">
        <v>13552</v>
      </c>
      <c r="E6734" s="13">
        <v>0</v>
      </c>
      <c r="F6734" s="14">
        <v>0</v>
      </c>
    </row>
    <row r="6735" spans="1:6" x14ac:dyDescent="0.3">
      <c r="A6735" s="8">
        <v>6733</v>
      </c>
      <c r="B6735" s="8" t="s">
        <v>10684</v>
      </c>
      <c r="C6735" s="8" t="s">
        <v>13553</v>
      </c>
      <c r="D6735" s="8" t="s">
        <v>21</v>
      </c>
      <c r="E6735" s="13">
        <v>29700</v>
      </c>
      <c r="F6735" s="14">
        <v>59444</v>
      </c>
    </row>
    <row r="6736" spans="1:6" x14ac:dyDescent="0.3">
      <c r="A6736" s="8">
        <v>6734</v>
      </c>
      <c r="B6736" s="8" t="s">
        <v>10684</v>
      </c>
      <c r="C6736" s="8" t="s">
        <v>13554</v>
      </c>
      <c r="D6736" s="8" t="s">
        <v>13555</v>
      </c>
      <c r="E6736" s="13">
        <v>0</v>
      </c>
      <c r="F6736" s="14">
        <v>0</v>
      </c>
    </row>
    <row r="6737" spans="1:6" x14ac:dyDescent="0.3">
      <c r="A6737" s="8">
        <v>6735</v>
      </c>
      <c r="B6737" s="8" t="s">
        <v>10684</v>
      </c>
      <c r="C6737" s="8" t="s">
        <v>13556</v>
      </c>
      <c r="D6737" s="8" t="s">
        <v>13557</v>
      </c>
      <c r="E6737" s="13">
        <v>0</v>
      </c>
      <c r="F6737" s="14">
        <v>0</v>
      </c>
    </row>
    <row r="6738" spans="1:6" x14ac:dyDescent="0.3">
      <c r="A6738" s="8">
        <v>6736</v>
      </c>
      <c r="B6738" s="8" t="s">
        <v>10684</v>
      </c>
      <c r="C6738" s="8" t="s">
        <v>13558</v>
      </c>
      <c r="D6738" s="8" t="s">
        <v>22</v>
      </c>
      <c r="E6738" s="13">
        <v>49100</v>
      </c>
      <c r="F6738" s="14">
        <v>98241</v>
      </c>
    </row>
    <row r="6739" spans="1:6" x14ac:dyDescent="0.3">
      <c r="A6739" s="8">
        <v>6737</v>
      </c>
      <c r="B6739" s="8" t="s">
        <v>10684</v>
      </c>
      <c r="C6739" s="8" t="s">
        <v>13559</v>
      </c>
      <c r="D6739" s="8" t="s">
        <v>13560</v>
      </c>
      <c r="E6739" s="13">
        <v>0</v>
      </c>
      <c r="F6739" s="14">
        <v>0</v>
      </c>
    </row>
    <row r="6740" spans="1:6" x14ac:dyDescent="0.3">
      <c r="A6740" s="8">
        <v>6738</v>
      </c>
      <c r="B6740" s="8" t="s">
        <v>10684</v>
      </c>
      <c r="C6740" s="8" t="s">
        <v>13561</v>
      </c>
      <c r="D6740" s="8" t="s">
        <v>13562</v>
      </c>
      <c r="E6740" s="13">
        <v>0</v>
      </c>
      <c r="F6740" s="14">
        <v>0</v>
      </c>
    </row>
    <row r="6741" spans="1:6" x14ac:dyDescent="0.3">
      <c r="A6741" s="8">
        <v>6739</v>
      </c>
      <c r="B6741" s="8" t="s">
        <v>10684</v>
      </c>
      <c r="C6741" s="8" t="s">
        <v>13563</v>
      </c>
      <c r="D6741" s="8" t="s">
        <v>13564</v>
      </c>
      <c r="E6741" s="13">
        <v>0</v>
      </c>
      <c r="F6741" s="14">
        <v>0</v>
      </c>
    </row>
    <row r="6742" spans="1:6" x14ac:dyDescent="0.3">
      <c r="A6742" s="8">
        <v>6740</v>
      </c>
      <c r="B6742" s="8" t="s">
        <v>10697</v>
      </c>
      <c r="C6742" s="8" t="s">
        <v>13565</v>
      </c>
      <c r="D6742" s="8" t="s">
        <v>13566</v>
      </c>
      <c r="E6742" s="13">
        <v>4800</v>
      </c>
      <c r="F6742" s="14">
        <v>10000</v>
      </c>
    </row>
    <row r="6743" spans="1:6" x14ac:dyDescent="0.3">
      <c r="A6743" s="8">
        <v>6741</v>
      </c>
      <c r="B6743" s="8" t="s">
        <v>10697</v>
      </c>
      <c r="C6743" s="8" t="s">
        <v>13567</v>
      </c>
      <c r="D6743" s="8" t="s">
        <v>13568</v>
      </c>
      <c r="E6743" s="13">
        <v>0</v>
      </c>
      <c r="F6743" s="14">
        <v>0</v>
      </c>
    </row>
    <row r="6744" spans="1:6" x14ac:dyDescent="0.3">
      <c r="A6744" s="8">
        <v>6742</v>
      </c>
      <c r="B6744" s="8" t="s">
        <v>10697</v>
      </c>
      <c r="C6744" s="8" t="s">
        <v>13569</v>
      </c>
      <c r="D6744" s="8" t="s">
        <v>13570</v>
      </c>
      <c r="E6744" s="13">
        <v>0</v>
      </c>
      <c r="F6744" s="14">
        <v>0</v>
      </c>
    </row>
    <row r="6745" spans="1:6" x14ac:dyDescent="0.3">
      <c r="A6745" s="8">
        <v>6743</v>
      </c>
      <c r="B6745" s="8" t="s">
        <v>10697</v>
      </c>
      <c r="C6745" s="8" t="s">
        <v>13571</v>
      </c>
      <c r="D6745" s="8" t="s">
        <v>13572</v>
      </c>
      <c r="E6745" s="13">
        <v>0</v>
      </c>
      <c r="F6745" s="14">
        <v>0</v>
      </c>
    </row>
    <row r="6746" spans="1:6" x14ac:dyDescent="0.3">
      <c r="A6746" s="8">
        <v>6744</v>
      </c>
      <c r="B6746" s="8" t="s">
        <v>10697</v>
      </c>
      <c r="C6746" s="8" t="s">
        <v>13573</v>
      </c>
      <c r="D6746" s="8" t="s">
        <v>13574</v>
      </c>
      <c r="E6746" s="13">
        <v>22000</v>
      </c>
      <c r="F6746" s="14">
        <v>43519</v>
      </c>
    </row>
    <row r="6747" spans="1:6" x14ac:dyDescent="0.3">
      <c r="A6747" s="8">
        <v>6745</v>
      </c>
      <c r="B6747" s="8" t="s">
        <v>10697</v>
      </c>
      <c r="C6747" s="8" t="s">
        <v>13575</v>
      </c>
      <c r="D6747" s="8" t="s">
        <v>13576</v>
      </c>
      <c r="E6747" s="13">
        <v>31500</v>
      </c>
      <c r="F6747" s="14">
        <v>62963</v>
      </c>
    </row>
    <row r="6748" spans="1:6" x14ac:dyDescent="0.3">
      <c r="A6748" s="8">
        <v>6746</v>
      </c>
      <c r="B6748" s="8" t="s">
        <v>10697</v>
      </c>
      <c r="C6748" s="8" t="s">
        <v>13577</v>
      </c>
      <c r="D6748" s="8" t="s">
        <v>13578</v>
      </c>
      <c r="E6748" s="13">
        <v>77000</v>
      </c>
      <c r="F6748" s="14">
        <v>153636</v>
      </c>
    </row>
    <row r="6749" spans="1:6" x14ac:dyDescent="0.3">
      <c r="A6749" s="8">
        <v>6747</v>
      </c>
      <c r="B6749" s="8" t="s">
        <v>10697</v>
      </c>
      <c r="C6749" s="8" t="s">
        <v>13579</v>
      </c>
      <c r="D6749" s="8" t="s">
        <v>13580</v>
      </c>
      <c r="E6749" s="13">
        <v>0</v>
      </c>
      <c r="F6749" s="14">
        <v>0</v>
      </c>
    </row>
    <row r="6750" spans="1:6" x14ac:dyDescent="0.3">
      <c r="A6750" s="8">
        <v>6748</v>
      </c>
      <c r="B6750" s="8" t="s">
        <v>10697</v>
      </c>
      <c r="C6750" s="8" t="s">
        <v>13581</v>
      </c>
      <c r="D6750" s="8" t="s">
        <v>13582</v>
      </c>
      <c r="E6750" s="13">
        <v>0</v>
      </c>
      <c r="F6750" s="14">
        <v>0</v>
      </c>
    </row>
    <row r="6751" spans="1:6" x14ac:dyDescent="0.3">
      <c r="A6751" s="8">
        <v>6749</v>
      </c>
      <c r="B6751" s="8" t="s">
        <v>10697</v>
      </c>
      <c r="C6751" s="8" t="s">
        <v>13583</v>
      </c>
      <c r="D6751" s="8" t="s">
        <v>13584</v>
      </c>
      <c r="E6751" s="13">
        <v>0</v>
      </c>
      <c r="F6751" s="14">
        <v>0</v>
      </c>
    </row>
    <row r="6752" spans="1:6" x14ac:dyDescent="0.3">
      <c r="A6752" s="8">
        <v>6750</v>
      </c>
      <c r="B6752" s="8" t="s">
        <v>10697</v>
      </c>
      <c r="C6752" s="8" t="s">
        <v>13585</v>
      </c>
      <c r="D6752" s="8" t="s">
        <v>13586</v>
      </c>
      <c r="E6752" s="13">
        <v>0</v>
      </c>
      <c r="F6752" s="14">
        <v>0</v>
      </c>
    </row>
    <row r="6753" spans="1:6" x14ac:dyDescent="0.3">
      <c r="A6753" s="8">
        <v>6751</v>
      </c>
      <c r="B6753" s="8" t="s">
        <v>10697</v>
      </c>
      <c r="C6753" s="8" t="s">
        <v>13587</v>
      </c>
      <c r="D6753" s="8" t="s">
        <v>13588</v>
      </c>
      <c r="E6753" s="13">
        <v>0</v>
      </c>
      <c r="F6753" s="14">
        <v>0</v>
      </c>
    </row>
    <row r="6754" spans="1:6" x14ac:dyDescent="0.3">
      <c r="A6754" s="8">
        <v>6752</v>
      </c>
      <c r="B6754" s="8" t="s">
        <v>10697</v>
      </c>
      <c r="C6754" s="8" t="s">
        <v>13589</v>
      </c>
      <c r="D6754" s="8" t="s">
        <v>13590</v>
      </c>
      <c r="E6754" s="13">
        <v>37000</v>
      </c>
      <c r="F6754" s="14">
        <v>73636</v>
      </c>
    </row>
    <row r="6755" spans="1:6" x14ac:dyDescent="0.3">
      <c r="A6755" s="8">
        <v>6753</v>
      </c>
      <c r="B6755" s="8" t="s">
        <v>10697</v>
      </c>
      <c r="C6755" s="8" t="s">
        <v>13591</v>
      </c>
      <c r="D6755" s="8" t="s">
        <v>13592</v>
      </c>
      <c r="E6755" s="13">
        <v>0</v>
      </c>
      <c r="F6755" s="14">
        <v>0</v>
      </c>
    </row>
    <row r="6756" spans="1:6" x14ac:dyDescent="0.3">
      <c r="A6756" s="8">
        <v>6754</v>
      </c>
      <c r="B6756" s="8" t="s">
        <v>10697</v>
      </c>
      <c r="C6756" s="8" t="s">
        <v>13593</v>
      </c>
      <c r="D6756" s="8" t="s">
        <v>13594</v>
      </c>
      <c r="E6756" s="13">
        <v>0</v>
      </c>
      <c r="F6756" s="14">
        <v>0</v>
      </c>
    </row>
    <row r="6757" spans="1:6" x14ac:dyDescent="0.3">
      <c r="A6757" s="8">
        <v>6755</v>
      </c>
      <c r="B6757" s="8" t="s">
        <v>10697</v>
      </c>
      <c r="C6757" s="8" t="s">
        <v>13595</v>
      </c>
      <c r="D6757" s="8" t="s">
        <v>13596</v>
      </c>
      <c r="E6757" s="13">
        <v>0</v>
      </c>
      <c r="F6757" s="14">
        <v>0</v>
      </c>
    </row>
    <row r="6758" spans="1:6" x14ac:dyDescent="0.3">
      <c r="A6758" s="8">
        <v>6756</v>
      </c>
      <c r="B6758" s="8" t="s">
        <v>10697</v>
      </c>
      <c r="C6758" s="8" t="s">
        <v>13597</v>
      </c>
      <c r="D6758" s="8" t="s">
        <v>13598</v>
      </c>
      <c r="E6758" s="13">
        <v>0</v>
      </c>
      <c r="F6758" s="14">
        <v>0</v>
      </c>
    </row>
    <row r="6759" spans="1:6" x14ac:dyDescent="0.3">
      <c r="A6759" s="8">
        <v>6757</v>
      </c>
      <c r="B6759" s="8" t="s">
        <v>10697</v>
      </c>
      <c r="C6759" s="8" t="s">
        <v>13599</v>
      </c>
      <c r="D6759" s="8" t="s">
        <v>13600</v>
      </c>
      <c r="E6759" s="13">
        <v>0</v>
      </c>
      <c r="F6759" s="14">
        <v>0</v>
      </c>
    </row>
    <row r="6760" spans="1:6" x14ac:dyDescent="0.3">
      <c r="A6760" s="8">
        <v>6758</v>
      </c>
      <c r="B6760" s="8" t="s">
        <v>10928</v>
      </c>
      <c r="C6760" s="8" t="s">
        <v>13601</v>
      </c>
      <c r="D6760" s="8" t="s">
        <v>13602</v>
      </c>
      <c r="E6760" s="13">
        <v>0</v>
      </c>
      <c r="F6760" s="14">
        <v>0</v>
      </c>
    </row>
    <row r="6761" spans="1:6" x14ac:dyDescent="0.3">
      <c r="A6761" s="8">
        <v>6759</v>
      </c>
      <c r="B6761" s="8" t="s">
        <v>10928</v>
      </c>
      <c r="C6761" s="8" t="s">
        <v>13603</v>
      </c>
      <c r="D6761" s="8" t="s">
        <v>13604</v>
      </c>
      <c r="E6761" s="13">
        <v>0</v>
      </c>
      <c r="F6761" s="14">
        <v>0</v>
      </c>
    </row>
    <row r="6762" spans="1:6" x14ac:dyDescent="0.3">
      <c r="A6762" s="8">
        <v>6760</v>
      </c>
      <c r="B6762" s="8" t="s">
        <v>10928</v>
      </c>
      <c r="C6762" s="8" t="s">
        <v>13605</v>
      </c>
      <c r="D6762" s="8" t="s">
        <v>13606</v>
      </c>
      <c r="E6762" s="13">
        <v>0</v>
      </c>
      <c r="F6762" s="14">
        <v>0</v>
      </c>
    </row>
    <row r="6763" spans="1:6" x14ac:dyDescent="0.3">
      <c r="A6763" s="8">
        <v>6761</v>
      </c>
      <c r="B6763" s="8" t="s">
        <v>10928</v>
      </c>
      <c r="C6763" s="8" t="s">
        <v>13607</v>
      </c>
      <c r="D6763" s="8" t="s">
        <v>13608</v>
      </c>
      <c r="E6763" s="13">
        <v>0</v>
      </c>
      <c r="F6763" s="14">
        <v>0</v>
      </c>
    </row>
    <row r="6764" spans="1:6" x14ac:dyDescent="0.3">
      <c r="A6764" s="8">
        <v>6762</v>
      </c>
      <c r="B6764" s="8" t="s">
        <v>10928</v>
      </c>
      <c r="C6764" s="8" t="s">
        <v>13609</v>
      </c>
      <c r="D6764" s="8" t="s">
        <v>13610</v>
      </c>
      <c r="E6764" s="13">
        <v>0</v>
      </c>
      <c r="F6764" s="14">
        <v>0</v>
      </c>
    </row>
    <row r="6765" spans="1:6" x14ac:dyDescent="0.3">
      <c r="A6765" s="8">
        <v>6763</v>
      </c>
      <c r="B6765" s="8" t="s">
        <v>10697</v>
      </c>
      <c r="C6765" s="8" t="s">
        <v>13611</v>
      </c>
      <c r="D6765" s="8" t="s">
        <v>13612</v>
      </c>
      <c r="E6765" s="13">
        <v>0</v>
      </c>
      <c r="F6765" s="14">
        <v>0</v>
      </c>
    </row>
    <row r="6766" spans="1:6" x14ac:dyDescent="0.3">
      <c r="A6766" s="8">
        <v>6764</v>
      </c>
      <c r="B6766" s="8" t="s">
        <v>10697</v>
      </c>
      <c r="C6766" s="8" t="s">
        <v>13613</v>
      </c>
      <c r="D6766" s="8" t="s">
        <v>13614</v>
      </c>
      <c r="E6766" s="13">
        <v>0</v>
      </c>
      <c r="F6766" s="14">
        <v>134545</v>
      </c>
    </row>
    <row r="6767" spans="1:6" x14ac:dyDescent="0.3">
      <c r="A6767" s="8">
        <v>6765</v>
      </c>
      <c r="B6767" s="8" t="s">
        <v>10697</v>
      </c>
      <c r="C6767" s="8" t="s">
        <v>13615</v>
      </c>
      <c r="D6767" s="8" t="s">
        <v>13616</v>
      </c>
      <c r="E6767" s="13">
        <v>0</v>
      </c>
      <c r="F6767" s="14">
        <v>0</v>
      </c>
    </row>
    <row r="6768" spans="1:6" x14ac:dyDescent="0.3">
      <c r="A6768" s="8">
        <v>6766</v>
      </c>
      <c r="B6768" s="8" t="s">
        <v>10697</v>
      </c>
      <c r="C6768" s="8" t="s">
        <v>13617</v>
      </c>
      <c r="D6768" s="8" t="s">
        <v>13618</v>
      </c>
      <c r="E6768" s="13">
        <v>0</v>
      </c>
      <c r="F6768" s="14">
        <v>0</v>
      </c>
    </row>
    <row r="6769" spans="1:6" x14ac:dyDescent="0.3">
      <c r="A6769" s="8">
        <v>6767</v>
      </c>
      <c r="B6769" s="8" t="s">
        <v>10697</v>
      </c>
      <c r="C6769" s="8" t="s">
        <v>13619</v>
      </c>
      <c r="D6769" s="8" t="s">
        <v>13620</v>
      </c>
      <c r="E6769" s="13">
        <v>0</v>
      </c>
      <c r="F6769" s="14">
        <v>0</v>
      </c>
    </row>
    <row r="6770" spans="1:6" x14ac:dyDescent="0.3">
      <c r="A6770" s="8">
        <v>6768</v>
      </c>
      <c r="B6770" s="8" t="s">
        <v>10697</v>
      </c>
      <c r="C6770" s="8" t="s">
        <v>13621</v>
      </c>
      <c r="D6770" s="8" t="s">
        <v>13622</v>
      </c>
      <c r="E6770" s="13">
        <v>0</v>
      </c>
      <c r="F6770" s="14">
        <v>0</v>
      </c>
    </row>
    <row r="6771" spans="1:6" x14ac:dyDescent="0.3">
      <c r="A6771" s="8">
        <v>6769</v>
      </c>
      <c r="B6771" s="8" t="s">
        <v>10697</v>
      </c>
      <c r="C6771" s="8" t="s">
        <v>13623</v>
      </c>
      <c r="D6771" s="8" t="s">
        <v>13624</v>
      </c>
      <c r="E6771" s="13">
        <v>0</v>
      </c>
      <c r="F6771" s="14">
        <v>0</v>
      </c>
    </row>
    <row r="6772" spans="1:6" x14ac:dyDescent="0.3">
      <c r="A6772" s="8">
        <v>6770</v>
      </c>
      <c r="B6772" s="8" t="s">
        <v>10697</v>
      </c>
      <c r="C6772" s="8" t="s">
        <v>13625</v>
      </c>
      <c r="D6772" s="8" t="s">
        <v>13626</v>
      </c>
      <c r="E6772" s="13">
        <v>0</v>
      </c>
      <c r="F6772" s="14">
        <v>0</v>
      </c>
    </row>
    <row r="6773" spans="1:6" x14ac:dyDescent="0.3">
      <c r="A6773" s="8">
        <v>6771</v>
      </c>
      <c r="B6773" s="8" t="s">
        <v>10697</v>
      </c>
      <c r="C6773" s="8" t="s">
        <v>13627</v>
      </c>
      <c r="D6773" s="8" t="s">
        <v>13628</v>
      </c>
      <c r="E6773" s="13">
        <v>240741</v>
      </c>
      <c r="F6773" s="14">
        <v>481481</v>
      </c>
    </row>
    <row r="6774" spans="1:6" x14ac:dyDescent="0.3">
      <c r="A6774" s="8">
        <v>6772</v>
      </c>
      <c r="B6774" s="8" t="s">
        <v>10697</v>
      </c>
      <c r="C6774" s="8" t="s">
        <v>13629</v>
      </c>
      <c r="D6774" s="8" t="s">
        <v>13630</v>
      </c>
      <c r="E6774" s="13">
        <v>0</v>
      </c>
      <c r="F6774" s="14">
        <v>0</v>
      </c>
    </row>
    <row r="6775" spans="1:6" x14ac:dyDescent="0.3">
      <c r="A6775" s="8">
        <v>6773</v>
      </c>
      <c r="B6775" s="8" t="s">
        <v>10697</v>
      </c>
      <c r="C6775" s="8" t="s">
        <v>13631</v>
      </c>
      <c r="D6775" s="8" t="s">
        <v>13632</v>
      </c>
      <c r="E6775" s="13">
        <v>0</v>
      </c>
      <c r="F6775" s="14">
        <v>0</v>
      </c>
    </row>
    <row r="6776" spans="1:6" x14ac:dyDescent="0.3">
      <c r="A6776" s="8">
        <v>6774</v>
      </c>
      <c r="B6776" s="8" t="s">
        <v>10697</v>
      </c>
      <c r="C6776" s="8" t="s">
        <v>13633</v>
      </c>
      <c r="D6776" s="8" t="s">
        <v>13634</v>
      </c>
      <c r="E6776" s="13">
        <v>0</v>
      </c>
      <c r="F6776" s="14">
        <v>0</v>
      </c>
    </row>
    <row r="6777" spans="1:6" x14ac:dyDescent="0.3">
      <c r="A6777" s="8">
        <v>6775</v>
      </c>
      <c r="B6777" s="8" t="s">
        <v>10697</v>
      </c>
      <c r="C6777" s="8" t="s">
        <v>13635</v>
      </c>
      <c r="D6777" s="8" t="s">
        <v>13636</v>
      </c>
      <c r="E6777" s="13">
        <v>0</v>
      </c>
      <c r="F6777" s="14">
        <v>0</v>
      </c>
    </row>
    <row r="6778" spans="1:6" x14ac:dyDescent="0.3">
      <c r="A6778" s="8">
        <v>6776</v>
      </c>
      <c r="B6778" s="8" t="s">
        <v>10928</v>
      </c>
      <c r="C6778" s="8" t="s">
        <v>13637</v>
      </c>
      <c r="D6778" s="8" t="s">
        <v>13638</v>
      </c>
      <c r="E6778" s="13">
        <v>0</v>
      </c>
      <c r="F6778" s="14">
        <v>0</v>
      </c>
    </row>
    <row r="6779" spans="1:6" x14ac:dyDescent="0.3">
      <c r="A6779" s="8">
        <v>6777</v>
      </c>
      <c r="B6779" s="8" t="s">
        <v>10928</v>
      </c>
      <c r="C6779" s="8" t="s">
        <v>13639</v>
      </c>
      <c r="D6779" s="8" t="s">
        <v>13640</v>
      </c>
      <c r="E6779" s="13">
        <v>0</v>
      </c>
      <c r="F6779" s="14">
        <v>0</v>
      </c>
    </row>
    <row r="6780" spans="1:6" x14ac:dyDescent="0.3">
      <c r="A6780" s="8">
        <v>6778</v>
      </c>
      <c r="B6780" s="8" t="s">
        <v>10697</v>
      </c>
      <c r="C6780" s="8" t="s">
        <v>13641</v>
      </c>
      <c r="D6780" s="8" t="s">
        <v>13642</v>
      </c>
      <c r="E6780" s="13">
        <v>0</v>
      </c>
      <c r="F6780" s="14">
        <v>0</v>
      </c>
    </row>
    <row r="6781" spans="1:6" x14ac:dyDescent="0.3">
      <c r="A6781" s="8">
        <v>6779</v>
      </c>
      <c r="B6781" s="8" t="s">
        <v>10697</v>
      </c>
      <c r="C6781" s="8" t="s">
        <v>13643</v>
      </c>
      <c r="D6781" s="8" t="s">
        <v>13644</v>
      </c>
      <c r="E6781" s="13">
        <v>0</v>
      </c>
      <c r="F6781" s="14">
        <v>0</v>
      </c>
    </row>
    <row r="6782" spans="1:6" x14ac:dyDescent="0.3">
      <c r="A6782" s="8">
        <v>6780</v>
      </c>
      <c r="B6782" s="8" t="s">
        <v>10697</v>
      </c>
      <c r="C6782" s="8" t="s">
        <v>13645</v>
      </c>
      <c r="D6782" s="8" t="s">
        <v>13646</v>
      </c>
      <c r="E6782" s="13">
        <v>0</v>
      </c>
      <c r="F6782" s="14">
        <v>0</v>
      </c>
    </row>
    <row r="6783" spans="1:6" x14ac:dyDescent="0.3">
      <c r="A6783" s="8">
        <v>6781</v>
      </c>
      <c r="B6783" s="8" t="s">
        <v>10928</v>
      </c>
      <c r="C6783" s="8" t="s">
        <v>13647</v>
      </c>
      <c r="D6783" s="8" t="s">
        <v>13648</v>
      </c>
      <c r="E6783" s="13">
        <v>0</v>
      </c>
      <c r="F6783" s="14">
        <v>0</v>
      </c>
    </row>
    <row r="6784" spans="1:6" x14ac:dyDescent="0.3">
      <c r="A6784" s="8">
        <v>6782</v>
      </c>
      <c r="B6784" s="8" t="s">
        <v>10928</v>
      </c>
      <c r="C6784" s="8" t="s">
        <v>13649</v>
      </c>
      <c r="D6784" s="8" t="s">
        <v>13650</v>
      </c>
      <c r="E6784" s="13">
        <v>0</v>
      </c>
      <c r="F6784" s="14">
        <v>0</v>
      </c>
    </row>
    <row r="6785" spans="1:6" x14ac:dyDescent="0.3">
      <c r="A6785" s="8">
        <v>6783</v>
      </c>
      <c r="B6785" s="8" t="s">
        <v>10928</v>
      </c>
      <c r="C6785" s="8" t="s">
        <v>13651</v>
      </c>
      <c r="D6785" s="8" t="s">
        <v>13652</v>
      </c>
      <c r="E6785" s="13">
        <v>0</v>
      </c>
      <c r="F6785" s="14">
        <v>0</v>
      </c>
    </row>
    <row r="6786" spans="1:6" x14ac:dyDescent="0.3">
      <c r="A6786" s="8">
        <v>6784</v>
      </c>
      <c r="B6786" s="8" t="s">
        <v>10684</v>
      </c>
      <c r="C6786" s="8" t="s">
        <v>13653</v>
      </c>
      <c r="D6786" s="8" t="s">
        <v>13654</v>
      </c>
      <c r="E6786" s="13">
        <v>54700</v>
      </c>
      <c r="F6786" s="14">
        <v>109259</v>
      </c>
    </row>
    <row r="6787" spans="1:6" x14ac:dyDescent="0.3">
      <c r="A6787" s="8">
        <v>6785</v>
      </c>
      <c r="B6787" s="8" t="s">
        <v>10684</v>
      </c>
      <c r="C6787" s="8" t="s">
        <v>13655</v>
      </c>
      <c r="D6787" s="8" t="s">
        <v>13656</v>
      </c>
      <c r="E6787" s="13">
        <v>0</v>
      </c>
      <c r="F6787" s="14">
        <v>0</v>
      </c>
    </row>
    <row r="6788" spans="1:6" x14ac:dyDescent="0.3">
      <c r="A6788" s="8">
        <v>6786</v>
      </c>
      <c r="B6788" s="8" t="s">
        <v>10684</v>
      </c>
      <c r="C6788" s="8" t="s">
        <v>13657</v>
      </c>
      <c r="D6788" s="8" t="s">
        <v>13658</v>
      </c>
      <c r="E6788" s="13">
        <v>0</v>
      </c>
      <c r="F6788" s="14">
        <v>0</v>
      </c>
    </row>
    <row r="6789" spans="1:6" x14ac:dyDescent="0.3">
      <c r="A6789" s="8">
        <v>6787</v>
      </c>
      <c r="B6789" s="8" t="s">
        <v>10684</v>
      </c>
      <c r="C6789" s="8" t="s">
        <v>13659</v>
      </c>
      <c r="D6789" s="8" t="s">
        <v>13660</v>
      </c>
      <c r="E6789" s="13">
        <v>0</v>
      </c>
      <c r="F6789" s="14">
        <v>0</v>
      </c>
    </row>
    <row r="6790" spans="1:6" x14ac:dyDescent="0.3">
      <c r="A6790" s="8">
        <v>6788</v>
      </c>
      <c r="B6790" s="8" t="s">
        <v>10684</v>
      </c>
      <c r="C6790" s="8" t="s">
        <v>13661</v>
      </c>
      <c r="D6790" s="8" t="s">
        <v>13662</v>
      </c>
      <c r="E6790" s="13">
        <v>0</v>
      </c>
      <c r="F6790" s="14">
        <v>0</v>
      </c>
    </row>
    <row r="6791" spans="1:6" x14ac:dyDescent="0.3">
      <c r="A6791" s="8">
        <v>6789</v>
      </c>
      <c r="B6791" s="8" t="s">
        <v>10684</v>
      </c>
      <c r="C6791" s="8" t="s">
        <v>13663</v>
      </c>
      <c r="D6791" s="8" t="s">
        <v>15</v>
      </c>
      <c r="E6791" s="13">
        <v>52800</v>
      </c>
      <c r="F6791" s="14">
        <v>105556</v>
      </c>
    </row>
    <row r="6792" spans="1:6" x14ac:dyDescent="0.3">
      <c r="A6792" s="8">
        <v>6790</v>
      </c>
      <c r="B6792" s="8" t="s">
        <v>10684</v>
      </c>
      <c r="C6792" s="8" t="s">
        <v>13664</v>
      </c>
      <c r="D6792" s="8" t="s">
        <v>13665</v>
      </c>
      <c r="E6792" s="13">
        <v>0</v>
      </c>
      <c r="F6792" s="14">
        <v>0</v>
      </c>
    </row>
    <row r="6793" spans="1:6" x14ac:dyDescent="0.3">
      <c r="A6793" s="8">
        <v>6791</v>
      </c>
      <c r="B6793" s="8" t="s">
        <v>10684</v>
      </c>
      <c r="C6793" s="8" t="s">
        <v>13666</v>
      </c>
      <c r="D6793" s="8" t="s">
        <v>13667</v>
      </c>
      <c r="E6793" s="13">
        <v>0</v>
      </c>
      <c r="F6793" s="14">
        <v>0</v>
      </c>
    </row>
    <row r="6794" spans="1:6" x14ac:dyDescent="0.3">
      <c r="A6794" s="8">
        <v>6792</v>
      </c>
      <c r="B6794" s="8" t="s">
        <v>10684</v>
      </c>
      <c r="C6794" s="8" t="s">
        <v>13668</v>
      </c>
      <c r="D6794" s="8" t="s">
        <v>13669</v>
      </c>
      <c r="E6794" s="13">
        <v>0</v>
      </c>
      <c r="F6794" s="14">
        <v>0</v>
      </c>
    </row>
    <row r="6795" spans="1:6" x14ac:dyDescent="0.3">
      <c r="A6795" s="8">
        <v>6793</v>
      </c>
      <c r="B6795" s="8" t="s">
        <v>10684</v>
      </c>
      <c r="C6795" s="8" t="s">
        <v>13670</v>
      </c>
      <c r="D6795" s="8" t="s">
        <v>13671</v>
      </c>
      <c r="E6795" s="13">
        <v>0</v>
      </c>
      <c r="F6795" s="14">
        <v>0</v>
      </c>
    </row>
    <row r="6796" spans="1:6" x14ac:dyDescent="0.3">
      <c r="A6796" s="8">
        <v>6794</v>
      </c>
      <c r="B6796" s="8" t="s">
        <v>10684</v>
      </c>
      <c r="C6796" s="8" t="s">
        <v>13672</v>
      </c>
      <c r="D6796" s="8" t="s">
        <v>13673</v>
      </c>
      <c r="E6796" s="13">
        <v>0</v>
      </c>
      <c r="F6796" s="14">
        <v>0</v>
      </c>
    </row>
    <row r="6797" spans="1:6" x14ac:dyDescent="0.3">
      <c r="A6797" s="8">
        <v>6795</v>
      </c>
      <c r="B6797" s="8" t="s">
        <v>10684</v>
      </c>
      <c r="C6797" s="8" t="s">
        <v>13674</v>
      </c>
      <c r="D6797" s="8" t="s">
        <v>13675</v>
      </c>
      <c r="E6797" s="13">
        <v>0</v>
      </c>
      <c r="F6797" s="14">
        <v>0</v>
      </c>
    </row>
    <row r="6798" spans="1:6" x14ac:dyDescent="0.3">
      <c r="A6798" s="8">
        <v>6796</v>
      </c>
      <c r="B6798" s="8" t="s">
        <v>10684</v>
      </c>
      <c r="C6798" s="8" t="s">
        <v>13676</v>
      </c>
      <c r="D6798" s="8" t="s">
        <v>13677</v>
      </c>
      <c r="E6798" s="13">
        <v>0</v>
      </c>
      <c r="F6798" s="14">
        <v>0</v>
      </c>
    </row>
    <row r="6799" spans="1:6" x14ac:dyDescent="0.3">
      <c r="A6799" s="8">
        <v>6797</v>
      </c>
      <c r="B6799" s="8" t="s">
        <v>10684</v>
      </c>
      <c r="C6799" s="8" t="s">
        <v>13678</v>
      </c>
      <c r="D6799" s="8" t="s">
        <v>13679</v>
      </c>
      <c r="E6799" s="13">
        <v>0</v>
      </c>
      <c r="F6799" s="14">
        <v>0</v>
      </c>
    </row>
    <row r="6800" spans="1:6" x14ac:dyDescent="0.3">
      <c r="A6800" s="8">
        <v>6798</v>
      </c>
      <c r="B6800" s="8" t="s">
        <v>10684</v>
      </c>
      <c r="C6800" s="8" t="s">
        <v>13680</v>
      </c>
      <c r="D6800" s="8" t="s">
        <v>13681</v>
      </c>
      <c r="E6800" s="13">
        <v>0</v>
      </c>
      <c r="F6800" s="14">
        <v>0</v>
      </c>
    </row>
    <row r="6801" spans="1:6" x14ac:dyDescent="0.3">
      <c r="A6801" s="8">
        <v>6799</v>
      </c>
      <c r="B6801" s="8" t="s">
        <v>10684</v>
      </c>
      <c r="C6801" s="8" t="s">
        <v>13682</v>
      </c>
      <c r="D6801" s="8" t="s">
        <v>13683</v>
      </c>
      <c r="E6801" s="13">
        <v>0</v>
      </c>
      <c r="F6801" s="14">
        <v>0</v>
      </c>
    </row>
    <row r="6802" spans="1:6" x14ac:dyDescent="0.3">
      <c r="A6802" s="8">
        <v>6800</v>
      </c>
      <c r="B6802" s="8" t="s">
        <v>10697</v>
      </c>
      <c r="C6802" s="8" t="s">
        <v>13684</v>
      </c>
      <c r="D6802" s="8" t="s">
        <v>13685</v>
      </c>
      <c r="E6802" s="13">
        <v>3100</v>
      </c>
      <c r="F6802" s="14">
        <v>6364</v>
      </c>
    </row>
    <row r="6803" spans="1:6" x14ac:dyDescent="0.3">
      <c r="A6803" s="8">
        <v>6801</v>
      </c>
      <c r="B6803" s="8" t="s">
        <v>10697</v>
      </c>
      <c r="C6803" s="8" t="s">
        <v>13686</v>
      </c>
      <c r="D6803" s="8" t="s">
        <v>13687</v>
      </c>
      <c r="E6803" s="13">
        <v>0</v>
      </c>
      <c r="F6803" s="14">
        <v>0</v>
      </c>
    </row>
    <row r="6804" spans="1:6" x14ac:dyDescent="0.3">
      <c r="A6804" s="8">
        <v>6802</v>
      </c>
      <c r="B6804" s="8" t="s">
        <v>10697</v>
      </c>
      <c r="C6804" s="8" t="s">
        <v>13688</v>
      </c>
      <c r="D6804" s="8" t="s">
        <v>13689</v>
      </c>
      <c r="E6804" s="13">
        <v>0</v>
      </c>
      <c r="F6804" s="14">
        <v>0</v>
      </c>
    </row>
    <row r="6805" spans="1:6" x14ac:dyDescent="0.3">
      <c r="A6805" s="8">
        <v>6803</v>
      </c>
      <c r="B6805" s="8" t="s">
        <v>10697</v>
      </c>
      <c r="C6805" s="8" t="s">
        <v>13690</v>
      </c>
      <c r="D6805" s="8" t="s">
        <v>13691</v>
      </c>
      <c r="E6805" s="13">
        <v>0</v>
      </c>
      <c r="F6805" s="14">
        <v>0</v>
      </c>
    </row>
    <row r="6806" spans="1:6" x14ac:dyDescent="0.3">
      <c r="A6806" s="8">
        <v>6804</v>
      </c>
      <c r="B6806" s="8" t="s">
        <v>10697</v>
      </c>
      <c r="C6806" s="8" t="s">
        <v>13692</v>
      </c>
      <c r="D6806" s="8" t="s">
        <v>13693</v>
      </c>
      <c r="E6806" s="13">
        <v>18700</v>
      </c>
      <c r="F6806" s="14">
        <v>37037</v>
      </c>
    </row>
    <row r="6807" spans="1:6" x14ac:dyDescent="0.3">
      <c r="A6807" s="8">
        <v>6805</v>
      </c>
      <c r="B6807" s="8" t="s">
        <v>10697</v>
      </c>
      <c r="C6807" s="8" t="s">
        <v>13694</v>
      </c>
      <c r="D6807" s="8" t="s">
        <v>13695</v>
      </c>
      <c r="E6807" s="13">
        <v>0</v>
      </c>
      <c r="F6807" s="14">
        <v>0</v>
      </c>
    </row>
    <row r="6808" spans="1:6" x14ac:dyDescent="0.3">
      <c r="A6808" s="8">
        <v>6806</v>
      </c>
      <c r="B6808" s="8" t="s">
        <v>10697</v>
      </c>
      <c r="C6808" s="8" t="s">
        <v>13696</v>
      </c>
      <c r="D6808" s="8" t="s">
        <v>13697</v>
      </c>
      <c r="E6808" s="13">
        <v>36300</v>
      </c>
      <c r="F6808" s="14">
        <v>73148</v>
      </c>
    </row>
    <row r="6809" spans="1:6" x14ac:dyDescent="0.3">
      <c r="A6809" s="8">
        <v>6807</v>
      </c>
      <c r="B6809" s="8" t="s">
        <v>10697</v>
      </c>
      <c r="C6809" s="8" t="s">
        <v>13698</v>
      </c>
      <c r="D6809" s="8" t="s">
        <v>13699</v>
      </c>
      <c r="E6809" s="13">
        <v>166700</v>
      </c>
      <c r="F6809" s="14">
        <v>333333</v>
      </c>
    </row>
    <row r="6810" spans="1:6" x14ac:dyDescent="0.3">
      <c r="A6810" s="8">
        <v>6808</v>
      </c>
      <c r="B6810" s="8" t="s">
        <v>10697</v>
      </c>
      <c r="C6810" s="8" t="s">
        <v>13700</v>
      </c>
      <c r="D6810" s="8" t="s">
        <v>13701</v>
      </c>
      <c r="E6810" s="13">
        <v>0</v>
      </c>
      <c r="F6810" s="14">
        <v>0</v>
      </c>
    </row>
    <row r="6811" spans="1:6" x14ac:dyDescent="0.3">
      <c r="A6811" s="8">
        <v>6809</v>
      </c>
      <c r="B6811" s="8" t="s">
        <v>10697</v>
      </c>
      <c r="C6811" s="8" t="s">
        <v>13702</v>
      </c>
      <c r="D6811" s="8" t="s">
        <v>13703</v>
      </c>
      <c r="E6811" s="13">
        <v>0</v>
      </c>
      <c r="F6811" s="14">
        <v>0</v>
      </c>
    </row>
    <row r="6812" spans="1:6" x14ac:dyDescent="0.3">
      <c r="A6812" s="8">
        <v>6810</v>
      </c>
      <c r="B6812" s="8" t="s">
        <v>10697</v>
      </c>
      <c r="C6812" s="8" t="s">
        <v>13704</v>
      </c>
      <c r="D6812" s="8" t="s">
        <v>13705</v>
      </c>
      <c r="E6812" s="13">
        <v>0</v>
      </c>
      <c r="F6812" s="14">
        <v>0</v>
      </c>
    </row>
    <row r="6813" spans="1:6" x14ac:dyDescent="0.3">
      <c r="A6813" s="8">
        <v>6811</v>
      </c>
      <c r="B6813" s="8" t="s">
        <v>10697</v>
      </c>
      <c r="C6813" s="8" t="s">
        <v>13706</v>
      </c>
      <c r="D6813" s="8" t="s">
        <v>13707</v>
      </c>
      <c r="E6813" s="13">
        <v>0</v>
      </c>
      <c r="F6813" s="14">
        <v>0</v>
      </c>
    </row>
    <row r="6814" spans="1:6" x14ac:dyDescent="0.3">
      <c r="A6814" s="8">
        <v>6812</v>
      </c>
      <c r="B6814" s="8" t="s">
        <v>6022</v>
      </c>
      <c r="C6814" s="8" t="s">
        <v>13708</v>
      </c>
      <c r="D6814" s="8" t="s">
        <v>13709</v>
      </c>
      <c r="E6814" s="13">
        <v>0</v>
      </c>
      <c r="F6814" s="14">
        <v>0</v>
      </c>
    </row>
    <row r="6815" spans="1:6" x14ac:dyDescent="0.3">
      <c r="A6815" s="8">
        <v>6813</v>
      </c>
      <c r="B6815" s="8" t="s">
        <v>6022</v>
      </c>
      <c r="C6815" s="8" t="s">
        <v>13710</v>
      </c>
      <c r="D6815" s="8" t="s">
        <v>13711</v>
      </c>
      <c r="E6815" s="13">
        <v>178000</v>
      </c>
      <c r="F6815" s="14">
        <v>355556</v>
      </c>
    </row>
    <row r="6816" spans="1:6" x14ac:dyDescent="0.3">
      <c r="A6816" s="8">
        <v>6814</v>
      </c>
      <c r="B6816" s="8" t="s">
        <v>6022</v>
      </c>
      <c r="C6816" s="8" t="s">
        <v>13712</v>
      </c>
      <c r="D6816" s="8" t="s">
        <v>13713</v>
      </c>
      <c r="E6816" s="13">
        <v>0</v>
      </c>
      <c r="F6816" s="14">
        <v>0</v>
      </c>
    </row>
    <row r="6817" spans="1:6" x14ac:dyDescent="0.3">
      <c r="A6817" s="8">
        <v>6815</v>
      </c>
      <c r="B6817" s="8" t="s">
        <v>6022</v>
      </c>
      <c r="C6817" s="8" t="s">
        <v>13714</v>
      </c>
      <c r="D6817" s="8" t="s">
        <v>13715</v>
      </c>
      <c r="E6817" s="13">
        <v>225000</v>
      </c>
      <c r="F6817" s="14">
        <v>450000</v>
      </c>
    </row>
    <row r="6818" spans="1:6" x14ac:dyDescent="0.3">
      <c r="A6818" s="8">
        <v>6816</v>
      </c>
      <c r="B6818" s="8" t="s">
        <v>6022</v>
      </c>
      <c r="C6818" s="8" t="s">
        <v>13716</v>
      </c>
      <c r="D6818" s="8" t="s">
        <v>13717</v>
      </c>
      <c r="E6818" s="13">
        <v>104000</v>
      </c>
      <c r="F6818" s="14">
        <v>208333</v>
      </c>
    </row>
    <row r="6819" spans="1:6" x14ac:dyDescent="0.3">
      <c r="A6819" s="8">
        <v>6817</v>
      </c>
      <c r="B6819" s="8" t="s">
        <v>6029</v>
      </c>
      <c r="C6819" s="8" t="s">
        <v>13718</v>
      </c>
      <c r="D6819" s="8" t="s">
        <v>13719</v>
      </c>
      <c r="E6819" s="13">
        <v>142000</v>
      </c>
      <c r="F6819" s="14">
        <v>284259</v>
      </c>
    </row>
    <row r="6820" spans="1:6" x14ac:dyDescent="0.3">
      <c r="A6820" s="8">
        <v>6818</v>
      </c>
      <c r="B6820" s="8" t="s">
        <v>6022</v>
      </c>
      <c r="C6820" s="8" t="s">
        <v>13720</v>
      </c>
      <c r="D6820" s="8" t="s">
        <v>13721</v>
      </c>
      <c r="E6820" s="13">
        <v>104000</v>
      </c>
      <c r="F6820" s="14">
        <v>208333</v>
      </c>
    </row>
    <row r="6821" spans="1:6" x14ac:dyDescent="0.3">
      <c r="A6821" s="8">
        <v>6819</v>
      </c>
      <c r="B6821" s="8" t="s">
        <v>6029</v>
      </c>
      <c r="C6821" s="8" t="s">
        <v>13722</v>
      </c>
      <c r="D6821" s="8" t="s">
        <v>13723</v>
      </c>
      <c r="E6821" s="13">
        <v>89000</v>
      </c>
      <c r="F6821" s="14">
        <v>177778</v>
      </c>
    </row>
    <row r="6822" spans="1:6" x14ac:dyDescent="0.3">
      <c r="A6822" s="8">
        <v>6820</v>
      </c>
      <c r="B6822" s="8" t="s">
        <v>6029</v>
      </c>
      <c r="C6822" s="8" t="s">
        <v>13724</v>
      </c>
      <c r="D6822" s="8" t="s">
        <v>13725</v>
      </c>
      <c r="E6822" s="13">
        <v>89000</v>
      </c>
      <c r="F6822" s="14">
        <v>177778</v>
      </c>
    </row>
    <row r="6823" spans="1:6" x14ac:dyDescent="0.3">
      <c r="A6823" s="8">
        <v>6821</v>
      </c>
      <c r="B6823" s="8" t="s">
        <v>6022</v>
      </c>
      <c r="C6823" s="8" t="s">
        <v>13726</v>
      </c>
      <c r="D6823" s="8" t="s">
        <v>13727</v>
      </c>
      <c r="E6823" s="13">
        <v>0</v>
      </c>
      <c r="F6823" s="14">
        <v>1296364</v>
      </c>
    </row>
    <row r="6824" spans="1:6" x14ac:dyDescent="0.3">
      <c r="A6824" s="8">
        <v>6822</v>
      </c>
      <c r="B6824" s="8" t="s">
        <v>6029</v>
      </c>
      <c r="C6824" s="8" t="s">
        <v>13728</v>
      </c>
      <c r="D6824" s="8" t="s">
        <v>13729</v>
      </c>
      <c r="E6824" s="13">
        <v>0</v>
      </c>
      <c r="F6824" s="14">
        <v>0</v>
      </c>
    </row>
    <row r="6825" spans="1:6" x14ac:dyDescent="0.3">
      <c r="A6825" s="8">
        <v>6823</v>
      </c>
      <c r="B6825" s="8" t="s">
        <v>6029</v>
      </c>
      <c r="C6825" s="8" t="s">
        <v>13730</v>
      </c>
      <c r="D6825" s="8" t="s">
        <v>13731</v>
      </c>
      <c r="E6825" s="13">
        <v>200000</v>
      </c>
      <c r="F6825" s="14">
        <v>400000</v>
      </c>
    </row>
    <row r="6826" spans="1:6" x14ac:dyDescent="0.3">
      <c r="A6826" s="8">
        <v>6824</v>
      </c>
      <c r="B6826" s="8" t="s">
        <v>6022</v>
      </c>
      <c r="C6826" s="8" t="s">
        <v>13732</v>
      </c>
      <c r="D6826" s="8" t="s">
        <v>13733</v>
      </c>
      <c r="E6826" s="13">
        <v>0</v>
      </c>
      <c r="F6826" s="14">
        <v>0</v>
      </c>
    </row>
    <row r="6827" spans="1:6" x14ac:dyDescent="0.3">
      <c r="A6827" s="8">
        <v>6825</v>
      </c>
      <c r="B6827" s="8" t="s">
        <v>6516</v>
      </c>
      <c r="C6827" s="8" t="s">
        <v>13734</v>
      </c>
      <c r="D6827" s="8" t="s">
        <v>13735</v>
      </c>
      <c r="E6827" s="13">
        <v>1205000</v>
      </c>
      <c r="F6827" s="14">
        <v>2072000</v>
      </c>
    </row>
    <row r="6828" spans="1:6" x14ac:dyDescent="0.3">
      <c r="A6828" s="8">
        <v>6826</v>
      </c>
      <c r="B6828" s="8" t="s">
        <v>6516</v>
      </c>
      <c r="C6828" s="8" t="s">
        <v>13736</v>
      </c>
      <c r="D6828" s="8" t="s">
        <v>13737</v>
      </c>
      <c r="E6828" s="13">
        <v>532000</v>
      </c>
      <c r="F6828" s="14">
        <v>1063889</v>
      </c>
    </row>
    <row r="6829" spans="1:6" x14ac:dyDescent="0.3">
      <c r="A6829" s="8">
        <v>6827</v>
      </c>
      <c r="B6829" s="8" t="s">
        <v>6516</v>
      </c>
      <c r="C6829" s="8" t="s">
        <v>13738</v>
      </c>
      <c r="D6829" s="8" t="s">
        <v>13739</v>
      </c>
      <c r="E6829" s="13">
        <v>0</v>
      </c>
      <c r="F6829" s="14">
        <v>1213000</v>
      </c>
    </row>
    <row r="6830" spans="1:6" x14ac:dyDescent="0.3">
      <c r="A6830" s="8">
        <v>6828</v>
      </c>
      <c r="B6830" s="8" t="s">
        <v>6516</v>
      </c>
      <c r="C6830" s="8" t="s">
        <v>13740</v>
      </c>
      <c r="D6830" s="8" t="s">
        <v>13741</v>
      </c>
      <c r="E6830" s="13">
        <v>0</v>
      </c>
      <c r="F6830" s="14">
        <v>0</v>
      </c>
    </row>
    <row r="6831" spans="1:6" x14ac:dyDescent="0.3">
      <c r="A6831" s="8">
        <v>6829</v>
      </c>
      <c r="B6831" s="8" t="s">
        <v>6516</v>
      </c>
      <c r="C6831" s="8" t="s">
        <v>13742</v>
      </c>
      <c r="D6831" s="8" t="s">
        <v>13743</v>
      </c>
      <c r="E6831" s="13">
        <v>0</v>
      </c>
      <c r="F6831" s="14">
        <v>1501852</v>
      </c>
    </row>
    <row r="6832" spans="1:6" x14ac:dyDescent="0.3">
      <c r="A6832" s="8">
        <v>6830</v>
      </c>
      <c r="B6832" s="8" t="s">
        <v>6516</v>
      </c>
      <c r="C6832" s="8" t="s">
        <v>13744</v>
      </c>
      <c r="D6832" s="8" t="s">
        <v>13745</v>
      </c>
      <c r="E6832" s="13">
        <v>0</v>
      </c>
      <c r="F6832" s="14">
        <v>1650000</v>
      </c>
    </row>
    <row r="6833" spans="1:6" x14ac:dyDescent="0.3">
      <c r="A6833" s="8">
        <v>6831</v>
      </c>
      <c r="B6833" s="8" t="s">
        <v>6516</v>
      </c>
      <c r="C6833" s="8" t="s">
        <v>13746</v>
      </c>
      <c r="D6833" s="8" t="s">
        <v>13747</v>
      </c>
      <c r="E6833" s="13">
        <v>0</v>
      </c>
      <c r="F6833" s="14">
        <v>1037000</v>
      </c>
    </row>
    <row r="6834" spans="1:6" x14ac:dyDescent="0.3">
      <c r="A6834" s="8">
        <v>6832</v>
      </c>
      <c r="B6834" s="8" t="s">
        <v>6516</v>
      </c>
      <c r="C6834" s="8" t="s">
        <v>13748</v>
      </c>
      <c r="D6834" s="8" t="s">
        <v>13749</v>
      </c>
      <c r="E6834" s="13">
        <v>0</v>
      </c>
      <c r="F6834" s="14">
        <v>0</v>
      </c>
    </row>
    <row r="6835" spans="1:6" x14ac:dyDescent="0.3">
      <c r="A6835" s="8">
        <v>6833</v>
      </c>
      <c r="B6835" s="8" t="s">
        <v>6516</v>
      </c>
      <c r="C6835" s="8" t="s">
        <v>13750</v>
      </c>
      <c r="D6835" s="8" t="s">
        <v>13751</v>
      </c>
      <c r="E6835" s="13">
        <v>0</v>
      </c>
      <c r="F6835" s="14">
        <v>0</v>
      </c>
    </row>
    <row r="6836" spans="1:6" x14ac:dyDescent="0.3">
      <c r="A6836" s="8">
        <v>6834</v>
      </c>
      <c r="B6836" s="8" t="s">
        <v>6516</v>
      </c>
      <c r="C6836" s="8" t="s">
        <v>13752</v>
      </c>
      <c r="D6836" s="8" t="s">
        <v>13753</v>
      </c>
      <c r="E6836" s="13">
        <v>0</v>
      </c>
      <c r="F6836" s="14">
        <v>0</v>
      </c>
    </row>
    <row r="6837" spans="1:6" x14ac:dyDescent="0.3">
      <c r="A6837" s="8">
        <v>6835</v>
      </c>
      <c r="B6837" s="8" t="s">
        <v>6516</v>
      </c>
      <c r="C6837" s="8" t="s">
        <v>13754</v>
      </c>
      <c r="D6837" s="8" t="s">
        <v>13755</v>
      </c>
      <c r="E6837" s="13">
        <v>0</v>
      </c>
      <c r="F6837" s="14">
        <v>0</v>
      </c>
    </row>
    <row r="6838" spans="1:6" x14ac:dyDescent="0.3">
      <c r="A6838" s="8">
        <v>6836</v>
      </c>
      <c r="B6838" s="8" t="s">
        <v>7694</v>
      </c>
      <c r="C6838" s="8" t="s">
        <v>13756</v>
      </c>
      <c r="D6838" s="8" t="s">
        <v>13757</v>
      </c>
      <c r="E6838" s="13">
        <v>0</v>
      </c>
      <c r="F6838" s="14">
        <v>0</v>
      </c>
    </row>
    <row r="6839" spans="1:6" x14ac:dyDescent="0.3">
      <c r="A6839" s="8">
        <v>6837</v>
      </c>
      <c r="B6839" s="8" t="s">
        <v>7694</v>
      </c>
      <c r="C6839" s="8" t="s">
        <v>13758</v>
      </c>
      <c r="D6839" s="8" t="s">
        <v>13759</v>
      </c>
      <c r="E6839" s="13">
        <v>0</v>
      </c>
      <c r="F6839" s="14">
        <v>0</v>
      </c>
    </row>
    <row r="6840" spans="1:6" x14ac:dyDescent="0.3">
      <c r="A6840" s="8">
        <v>6838</v>
      </c>
      <c r="B6840" s="8" t="s">
        <v>7694</v>
      </c>
      <c r="C6840" s="8" t="s">
        <v>13760</v>
      </c>
      <c r="D6840" s="8" t="s">
        <v>13761</v>
      </c>
      <c r="E6840" s="13">
        <v>0</v>
      </c>
      <c r="F6840" s="14">
        <v>797430000</v>
      </c>
    </row>
    <row r="6841" spans="1:6" x14ac:dyDescent="0.3">
      <c r="A6841" s="8">
        <v>6839</v>
      </c>
      <c r="B6841" s="8" t="s">
        <v>7694</v>
      </c>
      <c r="C6841" s="8" t="s">
        <v>13762</v>
      </c>
      <c r="D6841" s="8" t="s">
        <v>13763</v>
      </c>
      <c r="E6841" s="13">
        <v>0</v>
      </c>
      <c r="F6841" s="14">
        <v>107800000</v>
      </c>
    </row>
    <row r="6842" spans="1:6" x14ac:dyDescent="0.3">
      <c r="A6842" s="8">
        <v>6840</v>
      </c>
      <c r="B6842" s="8" t="s">
        <v>7694</v>
      </c>
      <c r="C6842" s="8" t="s">
        <v>13764</v>
      </c>
      <c r="D6842" s="8" t="s">
        <v>13765</v>
      </c>
      <c r="E6842" s="13">
        <v>0</v>
      </c>
      <c r="F6842" s="14">
        <v>128700000</v>
      </c>
    </row>
    <row r="6843" spans="1:6" x14ac:dyDescent="0.3">
      <c r="A6843" s="8">
        <v>6841</v>
      </c>
      <c r="B6843" s="8" t="s">
        <v>9463</v>
      </c>
      <c r="C6843" s="8" t="s">
        <v>13766</v>
      </c>
      <c r="D6843" s="8" t="s">
        <v>13767</v>
      </c>
      <c r="E6843" s="13">
        <v>100000</v>
      </c>
      <c r="F6843" s="14">
        <v>200000</v>
      </c>
    </row>
    <row r="6844" spans="1:6" x14ac:dyDescent="0.3">
      <c r="A6844" s="8">
        <v>6842</v>
      </c>
      <c r="B6844" s="8" t="s">
        <v>9463</v>
      </c>
      <c r="C6844" s="8" t="s">
        <v>13768</v>
      </c>
      <c r="D6844" s="8" t="s">
        <v>13769</v>
      </c>
      <c r="E6844" s="13">
        <v>70000</v>
      </c>
      <c r="F6844" s="14">
        <v>139815</v>
      </c>
    </row>
    <row r="6845" spans="1:6" x14ac:dyDescent="0.3">
      <c r="A6845" s="8">
        <v>6843</v>
      </c>
      <c r="B6845" s="8" t="s">
        <v>9463</v>
      </c>
      <c r="C6845" s="8" t="s">
        <v>13770</v>
      </c>
      <c r="D6845" s="8" t="s">
        <v>13771</v>
      </c>
      <c r="E6845" s="13">
        <v>0</v>
      </c>
      <c r="F6845" s="14">
        <v>0</v>
      </c>
    </row>
    <row r="6846" spans="1:6" x14ac:dyDescent="0.3">
      <c r="A6846" s="8">
        <v>6844</v>
      </c>
      <c r="B6846" s="8" t="s">
        <v>9463</v>
      </c>
      <c r="C6846" s="8" t="s">
        <v>13772</v>
      </c>
      <c r="D6846" s="8" t="s">
        <v>13773</v>
      </c>
      <c r="E6846" s="13">
        <v>20000</v>
      </c>
      <c r="F6846" s="14">
        <v>39815</v>
      </c>
    </row>
    <row r="6847" spans="1:6" x14ac:dyDescent="0.3">
      <c r="A6847" s="8">
        <v>6845</v>
      </c>
      <c r="B6847" s="8" t="s">
        <v>9463</v>
      </c>
      <c r="C6847" s="8" t="s">
        <v>13774</v>
      </c>
      <c r="D6847" s="8" t="s">
        <v>13775</v>
      </c>
      <c r="E6847" s="13">
        <v>120370</v>
      </c>
      <c r="F6847" s="14">
        <v>240741</v>
      </c>
    </row>
    <row r="6848" spans="1:6" x14ac:dyDescent="0.3">
      <c r="A6848" s="8">
        <v>6846</v>
      </c>
      <c r="B6848" s="8" t="s">
        <v>9463</v>
      </c>
      <c r="C6848" s="8" t="s">
        <v>13776</v>
      </c>
      <c r="D6848" s="8" t="s">
        <v>13777</v>
      </c>
      <c r="E6848" s="13">
        <v>0</v>
      </c>
      <c r="F6848" s="14">
        <v>0</v>
      </c>
    </row>
    <row r="6849" spans="1:6" x14ac:dyDescent="0.3">
      <c r="A6849" s="8">
        <v>6847</v>
      </c>
      <c r="B6849" s="8" t="s">
        <v>9478</v>
      </c>
      <c r="C6849" s="8" t="s">
        <v>13778</v>
      </c>
      <c r="D6849" s="8" t="s">
        <v>13779</v>
      </c>
      <c r="E6849" s="13">
        <v>88900</v>
      </c>
      <c r="F6849" s="14">
        <v>177778</v>
      </c>
    </row>
    <row r="6850" spans="1:6" x14ac:dyDescent="0.3">
      <c r="A6850" s="8">
        <v>6848</v>
      </c>
      <c r="B6850" s="8" t="s">
        <v>9478</v>
      </c>
      <c r="C6850" s="8" t="s">
        <v>13780</v>
      </c>
      <c r="D6850" s="8" t="s">
        <v>13781</v>
      </c>
      <c r="E6850" s="13">
        <v>0</v>
      </c>
      <c r="F6850" s="14">
        <v>0</v>
      </c>
    </row>
    <row r="6851" spans="1:6" x14ac:dyDescent="0.3">
      <c r="A6851" s="8">
        <v>6849</v>
      </c>
      <c r="B6851" s="8" t="s">
        <v>9478</v>
      </c>
      <c r="C6851" s="8" t="s">
        <v>13782</v>
      </c>
      <c r="D6851" s="8" t="s">
        <v>13783</v>
      </c>
      <c r="E6851" s="13">
        <v>88900</v>
      </c>
      <c r="F6851" s="14">
        <v>177778</v>
      </c>
    </row>
    <row r="6852" spans="1:6" x14ac:dyDescent="0.3">
      <c r="A6852" s="8">
        <v>6850</v>
      </c>
      <c r="B6852" s="8" t="s">
        <v>9478</v>
      </c>
      <c r="C6852" s="8" t="s">
        <v>13784</v>
      </c>
      <c r="D6852" s="8" t="s">
        <v>13785</v>
      </c>
      <c r="E6852" s="13">
        <v>0</v>
      </c>
      <c r="F6852" s="14">
        <v>0</v>
      </c>
    </row>
    <row r="6853" spans="1:6" x14ac:dyDescent="0.3">
      <c r="A6853" s="8">
        <v>6851</v>
      </c>
      <c r="B6853" s="8" t="s">
        <v>9478</v>
      </c>
      <c r="C6853" s="8" t="s">
        <v>13786</v>
      </c>
      <c r="D6853" s="8" t="s">
        <v>13787</v>
      </c>
      <c r="E6853" s="13">
        <v>0</v>
      </c>
      <c r="F6853" s="14">
        <v>0</v>
      </c>
    </row>
    <row r="6854" spans="1:6" x14ac:dyDescent="0.3">
      <c r="A6854" s="8">
        <v>6852</v>
      </c>
      <c r="B6854" s="8" t="s">
        <v>9478</v>
      </c>
      <c r="C6854" s="8" t="s">
        <v>13788</v>
      </c>
      <c r="D6854" s="8" t="s">
        <v>13789</v>
      </c>
      <c r="E6854" s="13">
        <v>0</v>
      </c>
      <c r="F6854" s="14">
        <v>0</v>
      </c>
    </row>
    <row r="6855" spans="1:6" x14ac:dyDescent="0.3">
      <c r="A6855" s="8">
        <v>6853</v>
      </c>
      <c r="B6855" s="8" t="s">
        <v>9478</v>
      </c>
      <c r="C6855" s="8" t="s">
        <v>13790</v>
      </c>
      <c r="D6855" s="8" t="s">
        <v>13791</v>
      </c>
      <c r="E6855" s="13">
        <v>0</v>
      </c>
      <c r="F6855" s="14">
        <v>0</v>
      </c>
    </row>
    <row r="6856" spans="1:6" x14ac:dyDescent="0.3">
      <c r="A6856" s="8">
        <v>6854</v>
      </c>
      <c r="B6856" s="8" t="s">
        <v>9478</v>
      </c>
      <c r="C6856" s="8" t="s">
        <v>13792</v>
      </c>
      <c r="D6856" s="8" t="s">
        <v>13793</v>
      </c>
      <c r="E6856" s="13">
        <v>0</v>
      </c>
      <c r="F6856" s="14">
        <v>0</v>
      </c>
    </row>
    <row r="6857" spans="1:6" x14ac:dyDescent="0.3">
      <c r="A6857" s="8">
        <v>6855</v>
      </c>
      <c r="B6857" s="8" t="s">
        <v>9478</v>
      </c>
      <c r="C6857" s="8" t="s">
        <v>13794</v>
      </c>
      <c r="D6857" s="8" t="s">
        <v>13795</v>
      </c>
      <c r="E6857" s="13">
        <v>0</v>
      </c>
      <c r="F6857" s="14">
        <v>0</v>
      </c>
    </row>
    <row r="6858" spans="1:6" x14ac:dyDescent="0.3">
      <c r="A6858" s="8">
        <v>6856</v>
      </c>
      <c r="B6858" s="8" t="s">
        <v>9478</v>
      </c>
      <c r="C6858" s="8" t="s">
        <v>13796</v>
      </c>
      <c r="D6858" s="8" t="s">
        <v>13797</v>
      </c>
      <c r="E6858" s="13">
        <v>0</v>
      </c>
      <c r="F6858" s="14">
        <v>0</v>
      </c>
    </row>
    <row r="6859" spans="1:6" x14ac:dyDescent="0.3">
      <c r="A6859" s="8">
        <v>6857</v>
      </c>
      <c r="B6859" s="8" t="s">
        <v>9478</v>
      </c>
      <c r="C6859" s="8" t="s">
        <v>13798</v>
      </c>
      <c r="D6859" s="8" t="s">
        <v>13799</v>
      </c>
      <c r="E6859" s="13">
        <v>80000</v>
      </c>
      <c r="F6859" s="14">
        <v>175926</v>
      </c>
    </row>
    <row r="6860" spans="1:6" x14ac:dyDescent="0.3">
      <c r="A6860" s="8">
        <v>6858</v>
      </c>
      <c r="B6860" s="8" t="s">
        <v>9478</v>
      </c>
      <c r="C6860" s="8" t="s">
        <v>13800</v>
      </c>
      <c r="D6860" s="8" t="s">
        <v>13801</v>
      </c>
      <c r="E6860" s="13">
        <v>0</v>
      </c>
      <c r="F6860" s="14">
        <v>0</v>
      </c>
    </row>
    <row r="6861" spans="1:6" x14ac:dyDescent="0.3">
      <c r="A6861" s="8">
        <v>6859</v>
      </c>
      <c r="B6861" s="8" t="s">
        <v>9478</v>
      </c>
      <c r="C6861" s="8" t="s">
        <v>13802</v>
      </c>
      <c r="D6861" s="8" t="s">
        <v>53</v>
      </c>
      <c r="E6861" s="13">
        <v>338000</v>
      </c>
      <c r="F6861" s="14">
        <v>675926</v>
      </c>
    </row>
    <row r="6862" spans="1:6" x14ac:dyDescent="0.3">
      <c r="A6862" s="8">
        <v>6860</v>
      </c>
      <c r="B6862" s="8" t="s">
        <v>9478</v>
      </c>
      <c r="C6862" s="8" t="s">
        <v>13803</v>
      </c>
      <c r="D6862" s="8" t="s">
        <v>13804</v>
      </c>
      <c r="E6862" s="13">
        <v>0</v>
      </c>
      <c r="F6862" s="14">
        <v>0</v>
      </c>
    </row>
    <row r="6863" spans="1:6" x14ac:dyDescent="0.3">
      <c r="A6863" s="8">
        <v>6861</v>
      </c>
      <c r="B6863" s="8" t="s">
        <v>9478</v>
      </c>
      <c r="C6863" s="8" t="s">
        <v>13805</v>
      </c>
      <c r="D6863" s="8" t="s">
        <v>13806</v>
      </c>
      <c r="E6863" s="13">
        <v>0</v>
      </c>
      <c r="F6863" s="14">
        <v>0</v>
      </c>
    </row>
    <row r="6864" spans="1:6" x14ac:dyDescent="0.3">
      <c r="A6864" s="8">
        <v>6862</v>
      </c>
      <c r="B6864" s="8" t="s">
        <v>9478</v>
      </c>
      <c r="C6864" s="8" t="s">
        <v>13807</v>
      </c>
      <c r="D6864" s="8" t="s">
        <v>13808</v>
      </c>
      <c r="E6864" s="13">
        <v>0</v>
      </c>
      <c r="F6864" s="14">
        <v>0</v>
      </c>
    </row>
    <row r="6865" spans="1:6" x14ac:dyDescent="0.3">
      <c r="A6865" s="8">
        <v>6863</v>
      </c>
      <c r="B6865" s="8" t="s">
        <v>9478</v>
      </c>
      <c r="C6865" s="8" t="s">
        <v>13809</v>
      </c>
      <c r="D6865" s="8" t="s">
        <v>101</v>
      </c>
      <c r="E6865" s="13">
        <v>262000</v>
      </c>
      <c r="F6865" s="14">
        <v>524074</v>
      </c>
    </row>
    <row r="6866" spans="1:6" x14ac:dyDescent="0.3">
      <c r="A6866" s="8">
        <v>6864</v>
      </c>
      <c r="B6866" s="8" t="s">
        <v>7681</v>
      </c>
      <c r="C6866" s="8" t="s">
        <v>13810</v>
      </c>
      <c r="D6866" s="8" t="s">
        <v>13811</v>
      </c>
      <c r="E6866" s="13">
        <v>0</v>
      </c>
      <c r="F6866" s="14">
        <v>0</v>
      </c>
    </row>
    <row r="6867" spans="1:6" x14ac:dyDescent="0.3">
      <c r="A6867" s="8">
        <v>6865</v>
      </c>
      <c r="B6867" s="8" t="s">
        <v>7681</v>
      </c>
      <c r="C6867" s="8" t="s">
        <v>13812</v>
      </c>
      <c r="D6867" s="8" t="s">
        <v>13813</v>
      </c>
      <c r="E6867" s="13">
        <v>0</v>
      </c>
      <c r="F6867" s="14">
        <v>0</v>
      </c>
    </row>
    <row r="6868" spans="1:6" x14ac:dyDescent="0.3">
      <c r="A6868" s="8">
        <v>6866</v>
      </c>
      <c r="B6868" s="8" t="s">
        <v>7681</v>
      </c>
      <c r="C6868" s="8" t="s">
        <v>13814</v>
      </c>
      <c r="D6868" s="8" t="s">
        <v>13815</v>
      </c>
      <c r="E6868" s="13">
        <v>88000</v>
      </c>
      <c r="F6868" s="14">
        <v>176000</v>
      </c>
    </row>
    <row r="6869" spans="1:6" x14ac:dyDescent="0.3">
      <c r="A6869" s="8">
        <v>6867</v>
      </c>
      <c r="B6869" s="8" t="s">
        <v>7681</v>
      </c>
      <c r="C6869" s="8" t="s">
        <v>13816</v>
      </c>
      <c r="D6869" s="8" t="s">
        <v>13817</v>
      </c>
      <c r="E6869" s="13">
        <v>137000</v>
      </c>
      <c r="F6869" s="14">
        <v>274000</v>
      </c>
    </row>
    <row r="6870" spans="1:6" x14ac:dyDescent="0.3">
      <c r="A6870" s="8">
        <v>6868</v>
      </c>
      <c r="B6870" s="8" t="s">
        <v>7681</v>
      </c>
      <c r="C6870" s="8" t="s">
        <v>13818</v>
      </c>
      <c r="D6870" s="8" t="s">
        <v>13819</v>
      </c>
      <c r="E6870" s="13">
        <v>30000</v>
      </c>
      <c r="F6870" s="14">
        <v>60000</v>
      </c>
    </row>
    <row r="6871" spans="1:6" x14ac:dyDescent="0.3">
      <c r="A6871" s="8">
        <v>6869</v>
      </c>
      <c r="B6871" s="8" t="s">
        <v>7681</v>
      </c>
      <c r="C6871" s="8" t="s">
        <v>13820</v>
      </c>
      <c r="D6871" s="8" t="s">
        <v>13821</v>
      </c>
      <c r="E6871" s="13">
        <v>580000</v>
      </c>
      <c r="F6871" s="14">
        <v>1160185</v>
      </c>
    </row>
    <row r="6872" spans="1:6" x14ac:dyDescent="0.3">
      <c r="A6872" s="8">
        <v>6870</v>
      </c>
      <c r="B6872" s="8" t="s">
        <v>7681</v>
      </c>
      <c r="C6872" s="8" t="s">
        <v>13822</v>
      </c>
      <c r="D6872" s="8" t="s">
        <v>13823</v>
      </c>
      <c r="E6872" s="13">
        <v>0</v>
      </c>
      <c r="F6872" s="14">
        <v>0</v>
      </c>
    </row>
    <row r="6873" spans="1:6" x14ac:dyDescent="0.3">
      <c r="A6873" s="8">
        <v>6871</v>
      </c>
      <c r="B6873" s="8" t="s">
        <v>7681</v>
      </c>
      <c r="C6873" s="8" t="s">
        <v>13824</v>
      </c>
      <c r="D6873" s="8" t="s">
        <v>13825</v>
      </c>
      <c r="E6873" s="13">
        <v>0</v>
      </c>
      <c r="F6873" s="14">
        <v>0</v>
      </c>
    </row>
    <row r="6874" spans="1:6" x14ac:dyDescent="0.3">
      <c r="A6874" s="8">
        <v>6872</v>
      </c>
      <c r="B6874" s="8" t="s">
        <v>7694</v>
      </c>
      <c r="C6874" s="8" t="s">
        <v>13826</v>
      </c>
      <c r="D6874" s="8" t="s">
        <v>13827</v>
      </c>
      <c r="E6874" s="13">
        <v>142400</v>
      </c>
      <c r="F6874" s="14">
        <v>256000</v>
      </c>
    </row>
    <row r="6875" spans="1:6" x14ac:dyDescent="0.3">
      <c r="A6875" s="8">
        <v>6873</v>
      </c>
      <c r="B6875" s="8" t="s">
        <v>7694</v>
      </c>
      <c r="C6875" s="8" t="s">
        <v>13828</v>
      </c>
      <c r="D6875" s="8" t="s">
        <v>13829</v>
      </c>
      <c r="E6875" s="13">
        <v>911000</v>
      </c>
      <c r="F6875" s="14">
        <v>1651852</v>
      </c>
    </row>
    <row r="6876" spans="1:6" x14ac:dyDescent="0.3">
      <c r="A6876" s="8">
        <v>6874</v>
      </c>
      <c r="B6876" s="8" t="s">
        <v>7694</v>
      </c>
      <c r="C6876" s="8" t="s">
        <v>13830</v>
      </c>
      <c r="D6876" s="8" t="s">
        <v>13831</v>
      </c>
      <c r="E6876" s="13">
        <v>160000</v>
      </c>
      <c r="F6876" s="14">
        <v>320370</v>
      </c>
    </row>
    <row r="6877" spans="1:6" x14ac:dyDescent="0.3">
      <c r="A6877" s="8">
        <v>6875</v>
      </c>
      <c r="B6877" s="8" t="s">
        <v>7694</v>
      </c>
      <c r="C6877" s="8" t="s">
        <v>13832</v>
      </c>
      <c r="D6877" s="8" t="s">
        <v>13833</v>
      </c>
      <c r="E6877" s="13">
        <v>0</v>
      </c>
      <c r="F6877" s="14">
        <v>958182</v>
      </c>
    </row>
    <row r="6878" spans="1:6" x14ac:dyDescent="0.3">
      <c r="A6878" s="8">
        <v>6876</v>
      </c>
      <c r="B6878" s="8" t="s">
        <v>7694</v>
      </c>
      <c r="C6878" s="8" t="s">
        <v>13834</v>
      </c>
      <c r="D6878" s="8" t="s">
        <v>13835</v>
      </c>
      <c r="E6878" s="13">
        <v>246100</v>
      </c>
      <c r="F6878" s="14">
        <v>444444</v>
      </c>
    </row>
    <row r="6879" spans="1:6" x14ac:dyDescent="0.3">
      <c r="A6879" s="8">
        <v>6877</v>
      </c>
      <c r="B6879" s="8" t="s">
        <v>7694</v>
      </c>
      <c r="C6879" s="8" t="s">
        <v>13836</v>
      </c>
      <c r="D6879" s="8" t="s">
        <v>13837</v>
      </c>
      <c r="E6879" s="13">
        <v>186000</v>
      </c>
      <c r="F6879" s="14">
        <v>372222</v>
      </c>
    </row>
    <row r="6880" spans="1:6" x14ac:dyDescent="0.3">
      <c r="A6880" s="8">
        <v>6878</v>
      </c>
      <c r="B6880" s="8" t="s">
        <v>7694</v>
      </c>
      <c r="C6880" s="8" t="s">
        <v>13838</v>
      </c>
      <c r="D6880" s="8" t="s">
        <v>13839</v>
      </c>
      <c r="E6880" s="13">
        <v>485000</v>
      </c>
      <c r="F6880" s="14">
        <v>970370</v>
      </c>
    </row>
    <row r="6881" spans="1:6" x14ac:dyDescent="0.3">
      <c r="A6881" s="8">
        <v>6879</v>
      </c>
      <c r="B6881" s="8" t="s">
        <v>7694</v>
      </c>
      <c r="C6881" s="8" t="s">
        <v>13840</v>
      </c>
      <c r="D6881" s="8" t="s">
        <v>13841</v>
      </c>
      <c r="E6881" s="13">
        <v>0</v>
      </c>
      <c r="F6881" s="14">
        <v>0</v>
      </c>
    </row>
    <row r="6882" spans="1:6" x14ac:dyDescent="0.3">
      <c r="A6882" s="8">
        <v>6880</v>
      </c>
      <c r="B6882" s="8" t="s">
        <v>7694</v>
      </c>
      <c r="C6882" s="8" t="s">
        <v>13842</v>
      </c>
      <c r="D6882" s="8" t="s">
        <v>13843</v>
      </c>
      <c r="E6882" s="13">
        <v>202000</v>
      </c>
      <c r="F6882" s="14">
        <v>403704</v>
      </c>
    </row>
    <row r="6883" spans="1:6" x14ac:dyDescent="0.3">
      <c r="A6883" s="8">
        <v>6881</v>
      </c>
      <c r="B6883" s="8" t="s">
        <v>7694</v>
      </c>
      <c r="C6883" s="8" t="s">
        <v>13844</v>
      </c>
      <c r="D6883" s="8" t="s">
        <v>13845</v>
      </c>
      <c r="E6883" s="13">
        <v>0</v>
      </c>
      <c r="F6883" s="14">
        <v>2180000</v>
      </c>
    </row>
    <row r="6884" spans="1:6" x14ac:dyDescent="0.3">
      <c r="A6884" s="8">
        <v>6882</v>
      </c>
      <c r="B6884" s="8" t="s">
        <v>7694</v>
      </c>
      <c r="C6884" s="8" t="s">
        <v>13846</v>
      </c>
      <c r="D6884" s="8" t="s">
        <v>13847</v>
      </c>
      <c r="E6884" s="13">
        <v>0</v>
      </c>
      <c r="F6884" s="14">
        <v>390909</v>
      </c>
    </row>
    <row r="6885" spans="1:6" x14ac:dyDescent="0.3">
      <c r="A6885" s="8">
        <v>6883</v>
      </c>
      <c r="B6885" s="8" t="s">
        <v>7694</v>
      </c>
      <c r="C6885" s="8" t="s">
        <v>13848</v>
      </c>
      <c r="D6885" s="8" t="s">
        <v>13849</v>
      </c>
      <c r="E6885" s="13">
        <v>0</v>
      </c>
      <c r="F6885" s="14">
        <v>1636364</v>
      </c>
    </row>
    <row r="6886" spans="1:6" x14ac:dyDescent="0.3">
      <c r="A6886" s="8">
        <v>6884</v>
      </c>
      <c r="B6886" s="8" t="s">
        <v>7694</v>
      </c>
      <c r="C6886" s="8" t="s">
        <v>13850</v>
      </c>
      <c r="D6886" s="8" t="s">
        <v>13851</v>
      </c>
      <c r="E6886" s="13">
        <v>0</v>
      </c>
      <c r="F6886" s="14">
        <v>0</v>
      </c>
    </row>
    <row r="6887" spans="1:6" x14ac:dyDescent="0.3">
      <c r="A6887" s="8">
        <v>6885</v>
      </c>
      <c r="B6887" s="8" t="s">
        <v>7694</v>
      </c>
      <c r="C6887" s="8" t="s">
        <v>13852</v>
      </c>
      <c r="D6887" s="8" t="s">
        <v>13853</v>
      </c>
      <c r="E6887" s="13">
        <v>0</v>
      </c>
      <c r="F6887" s="14">
        <v>1107273</v>
      </c>
    </row>
    <row r="6888" spans="1:6" x14ac:dyDescent="0.3">
      <c r="A6888" s="8">
        <v>6886</v>
      </c>
      <c r="B6888" s="8" t="s">
        <v>7694</v>
      </c>
      <c r="C6888" s="8" t="s">
        <v>13854</v>
      </c>
      <c r="D6888" s="8" t="s">
        <v>13855</v>
      </c>
      <c r="E6888" s="13">
        <v>170000</v>
      </c>
      <c r="F6888" s="14">
        <v>339815</v>
      </c>
    </row>
    <row r="6889" spans="1:6" x14ac:dyDescent="0.3">
      <c r="A6889" s="8">
        <v>6887</v>
      </c>
      <c r="B6889" s="8" t="s">
        <v>7694</v>
      </c>
      <c r="C6889" s="8" t="s">
        <v>13856</v>
      </c>
      <c r="D6889" s="8" t="s">
        <v>13857</v>
      </c>
      <c r="E6889" s="13">
        <v>241000</v>
      </c>
      <c r="F6889" s="14">
        <v>482407</v>
      </c>
    </row>
    <row r="6890" spans="1:6" x14ac:dyDescent="0.3">
      <c r="A6890" s="8">
        <v>6888</v>
      </c>
      <c r="B6890" s="8" t="s">
        <v>7694</v>
      </c>
      <c r="C6890" s="8" t="s">
        <v>13858</v>
      </c>
      <c r="D6890" s="8" t="s">
        <v>13859</v>
      </c>
      <c r="E6890" s="13">
        <v>315000</v>
      </c>
      <c r="F6890" s="14">
        <v>630000</v>
      </c>
    </row>
    <row r="6891" spans="1:6" x14ac:dyDescent="0.3">
      <c r="A6891" s="8">
        <v>6889</v>
      </c>
      <c r="B6891" s="8" t="s">
        <v>7694</v>
      </c>
      <c r="C6891" s="8" t="s">
        <v>13860</v>
      </c>
      <c r="D6891" s="8" t="s">
        <v>13861</v>
      </c>
      <c r="E6891" s="13">
        <v>0</v>
      </c>
      <c r="F6891" s="14">
        <v>0</v>
      </c>
    </row>
    <row r="6892" spans="1:6" x14ac:dyDescent="0.3">
      <c r="A6892" s="8">
        <v>6890</v>
      </c>
      <c r="B6892" s="8" t="s">
        <v>7694</v>
      </c>
      <c r="C6892" s="8" t="s">
        <v>13862</v>
      </c>
      <c r="D6892" s="8" t="s">
        <v>13863</v>
      </c>
      <c r="E6892" s="13">
        <v>0</v>
      </c>
      <c r="F6892" s="14">
        <v>0</v>
      </c>
    </row>
    <row r="6893" spans="1:6" x14ac:dyDescent="0.3">
      <c r="A6893" s="8">
        <v>6891</v>
      </c>
      <c r="B6893" s="8" t="s">
        <v>7694</v>
      </c>
      <c r="C6893" s="8" t="s">
        <v>13864</v>
      </c>
      <c r="D6893" s="8" t="s">
        <v>13865</v>
      </c>
      <c r="E6893" s="13">
        <v>0</v>
      </c>
      <c r="F6893" s="14">
        <v>0</v>
      </c>
    </row>
    <row r="6894" spans="1:6" x14ac:dyDescent="0.3">
      <c r="A6894" s="8">
        <v>6892</v>
      </c>
      <c r="B6894" s="8" t="s">
        <v>7694</v>
      </c>
      <c r="C6894" s="8" t="s">
        <v>13866</v>
      </c>
      <c r="D6894" s="8" t="s">
        <v>13867</v>
      </c>
      <c r="E6894" s="13">
        <v>280000</v>
      </c>
      <c r="F6894" s="14">
        <v>560000</v>
      </c>
    </row>
    <row r="6895" spans="1:6" x14ac:dyDescent="0.3">
      <c r="A6895" s="8">
        <v>6893</v>
      </c>
      <c r="B6895" s="8" t="s">
        <v>7694</v>
      </c>
      <c r="C6895" s="8" t="s">
        <v>13868</v>
      </c>
      <c r="D6895" s="8" t="s">
        <v>13869</v>
      </c>
      <c r="E6895" s="13">
        <v>0</v>
      </c>
      <c r="F6895" s="14">
        <v>0</v>
      </c>
    </row>
    <row r="6896" spans="1:6" x14ac:dyDescent="0.3">
      <c r="A6896" s="8">
        <v>6894</v>
      </c>
      <c r="B6896" s="8" t="s">
        <v>7694</v>
      </c>
      <c r="C6896" s="8" t="s">
        <v>13870</v>
      </c>
      <c r="D6896" s="8" t="s">
        <v>13871</v>
      </c>
      <c r="E6896" s="13">
        <v>0</v>
      </c>
      <c r="F6896" s="14">
        <v>0</v>
      </c>
    </row>
    <row r="6897" spans="1:6" x14ac:dyDescent="0.3">
      <c r="A6897" s="8">
        <v>6895</v>
      </c>
      <c r="B6897" s="8" t="s">
        <v>7694</v>
      </c>
      <c r="C6897" s="8" t="s">
        <v>13872</v>
      </c>
      <c r="D6897" s="8" t="s">
        <v>13873</v>
      </c>
      <c r="E6897" s="13">
        <v>0</v>
      </c>
      <c r="F6897" s="14">
        <v>0</v>
      </c>
    </row>
    <row r="6898" spans="1:6" x14ac:dyDescent="0.3">
      <c r="A6898" s="8">
        <v>6896</v>
      </c>
      <c r="B6898" s="8" t="s">
        <v>7694</v>
      </c>
      <c r="C6898" s="8" t="s">
        <v>13874</v>
      </c>
      <c r="D6898" s="8" t="s">
        <v>13875</v>
      </c>
      <c r="E6898" s="13">
        <v>0</v>
      </c>
      <c r="F6898" s="14">
        <v>0</v>
      </c>
    </row>
    <row r="6899" spans="1:6" x14ac:dyDescent="0.3">
      <c r="A6899" s="8">
        <v>6897</v>
      </c>
      <c r="B6899" s="8" t="s">
        <v>7694</v>
      </c>
      <c r="C6899" s="8" t="s">
        <v>13876</v>
      </c>
      <c r="D6899" s="8" t="s">
        <v>13877</v>
      </c>
      <c r="E6899" s="13">
        <v>0</v>
      </c>
      <c r="F6899" s="14">
        <v>8200000</v>
      </c>
    </row>
    <row r="6900" spans="1:6" x14ac:dyDescent="0.3">
      <c r="A6900" s="8">
        <v>6898</v>
      </c>
      <c r="B6900" s="8" t="s">
        <v>7694</v>
      </c>
      <c r="C6900" s="8" t="s">
        <v>13878</v>
      </c>
      <c r="D6900" s="8" t="s">
        <v>13879</v>
      </c>
      <c r="E6900" s="13">
        <v>0</v>
      </c>
      <c r="F6900" s="14">
        <v>0</v>
      </c>
    </row>
    <row r="6901" spans="1:6" x14ac:dyDescent="0.3">
      <c r="A6901" s="8">
        <v>6899</v>
      </c>
      <c r="B6901" s="8" t="s">
        <v>7694</v>
      </c>
      <c r="C6901" s="8" t="s">
        <v>13880</v>
      </c>
      <c r="D6901" s="8" t="s">
        <v>13881</v>
      </c>
      <c r="E6901" s="13">
        <v>0</v>
      </c>
      <c r="F6901" s="14">
        <v>0</v>
      </c>
    </row>
    <row r="6902" spans="1:6" x14ac:dyDescent="0.3">
      <c r="A6902" s="8">
        <v>6900</v>
      </c>
      <c r="B6902" s="8" t="s">
        <v>7694</v>
      </c>
      <c r="C6902" s="8" t="s">
        <v>13882</v>
      </c>
      <c r="D6902" s="8" t="s">
        <v>13883</v>
      </c>
      <c r="E6902" s="13">
        <v>0</v>
      </c>
      <c r="F6902" s="14">
        <v>79750000</v>
      </c>
    </row>
    <row r="6903" spans="1:6" x14ac:dyDescent="0.3">
      <c r="A6903" s="8">
        <v>6901</v>
      </c>
      <c r="B6903" s="8" t="s">
        <v>7694</v>
      </c>
      <c r="C6903" s="8" t="s">
        <v>13884</v>
      </c>
      <c r="D6903" s="8" t="s">
        <v>13885</v>
      </c>
      <c r="E6903" s="13">
        <v>0</v>
      </c>
      <c r="F6903" s="14">
        <v>0</v>
      </c>
    </row>
    <row r="6904" spans="1:6" x14ac:dyDescent="0.3">
      <c r="A6904" s="8">
        <v>6902</v>
      </c>
      <c r="B6904" s="8" t="s">
        <v>7694</v>
      </c>
      <c r="C6904" s="8" t="s">
        <v>13886</v>
      </c>
      <c r="D6904" s="8" t="s">
        <v>13887</v>
      </c>
      <c r="E6904" s="13">
        <v>0</v>
      </c>
      <c r="F6904" s="14">
        <v>0</v>
      </c>
    </row>
    <row r="6905" spans="1:6" x14ac:dyDescent="0.3">
      <c r="A6905" s="8">
        <v>6903</v>
      </c>
      <c r="B6905" s="8" t="s">
        <v>7694</v>
      </c>
      <c r="C6905" s="8" t="s">
        <v>13888</v>
      </c>
      <c r="D6905" s="8" t="s">
        <v>13889</v>
      </c>
      <c r="E6905" s="13">
        <v>0</v>
      </c>
      <c r="F6905" s="14">
        <v>0</v>
      </c>
    </row>
    <row r="6906" spans="1:6" x14ac:dyDescent="0.3">
      <c r="A6906" s="8">
        <v>6904</v>
      </c>
      <c r="B6906" s="8" t="s">
        <v>7694</v>
      </c>
      <c r="C6906" s="8" t="s">
        <v>13890</v>
      </c>
      <c r="D6906" s="8" t="s">
        <v>13891</v>
      </c>
      <c r="E6906" s="13">
        <v>0</v>
      </c>
      <c r="F6906" s="14">
        <v>123640000</v>
      </c>
    </row>
    <row r="6907" spans="1:6" x14ac:dyDescent="0.3">
      <c r="A6907" s="8">
        <v>6905</v>
      </c>
      <c r="B6907" s="8" t="s">
        <v>7694</v>
      </c>
      <c r="C6907" s="8" t="s">
        <v>13892</v>
      </c>
      <c r="D6907" s="8" t="s">
        <v>13893</v>
      </c>
      <c r="E6907" s="13">
        <v>0</v>
      </c>
      <c r="F6907" s="14">
        <v>163460000</v>
      </c>
    </row>
    <row r="6908" spans="1:6" x14ac:dyDescent="0.3">
      <c r="A6908" s="8">
        <v>6906</v>
      </c>
      <c r="B6908" s="8" t="s">
        <v>9463</v>
      </c>
      <c r="C6908" s="8" t="s">
        <v>13894</v>
      </c>
      <c r="D6908" s="8" t="s">
        <v>13895</v>
      </c>
      <c r="E6908" s="13">
        <v>19000</v>
      </c>
      <c r="F6908" s="14">
        <v>37963</v>
      </c>
    </row>
    <row r="6909" spans="1:6" x14ac:dyDescent="0.3">
      <c r="A6909" s="8">
        <v>6907</v>
      </c>
      <c r="B6909" s="8" t="s">
        <v>9463</v>
      </c>
      <c r="C6909" s="8" t="s">
        <v>13896</v>
      </c>
      <c r="D6909" s="8" t="s">
        <v>13897</v>
      </c>
      <c r="E6909" s="13">
        <v>65000</v>
      </c>
      <c r="F6909" s="14">
        <v>129630</v>
      </c>
    </row>
    <row r="6910" spans="1:6" x14ac:dyDescent="0.3">
      <c r="A6910" s="8">
        <v>6908</v>
      </c>
      <c r="B6910" s="8" t="s">
        <v>9463</v>
      </c>
      <c r="C6910" s="8" t="s">
        <v>13898</v>
      </c>
      <c r="D6910" s="8" t="s">
        <v>13899</v>
      </c>
      <c r="E6910" s="13">
        <v>65000</v>
      </c>
      <c r="F6910" s="14">
        <v>129630</v>
      </c>
    </row>
    <row r="6911" spans="1:6" x14ac:dyDescent="0.3">
      <c r="A6911" s="8">
        <v>6909</v>
      </c>
      <c r="B6911" s="8" t="s">
        <v>9463</v>
      </c>
      <c r="C6911" s="8" t="s">
        <v>13900</v>
      </c>
      <c r="D6911" s="8" t="s">
        <v>13901</v>
      </c>
      <c r="E6911" s="13">
        <v>46296</v>
      </c>
      <c r="F6911" s="14">
        <v>92593</v>
      </c>
    </row>
    <row r="6912" spans="1:6" x14ac:dyDescent="0.3">
      <c r="A6912" s="8">
        <v>6910</v>
      </c>
      <c r="B6912" s="8" t="s">
        <v>9463</v>
      </c>
      <c r="C6912" s="8" t="s">
        <v>13902</v>
      </c>
      <c r="D6912" s="8" t="s">
        <v>13903</v>
      </c>
      <c r="E6912" s="13">
        <v>0</v>
      </c>
      <c r="F6912" s="14">
        <v>0</v>
      </c>
    </row>
    <row r="6913" spans="1:6" x14ac:dyDescent="0.3">
      <c r="A6913" s="8">
        <v>6911</v>
      </c>
      <c r="B6913" s="8" t="s">
        <v>9478</v>
      </c>
      <c r="C6913" s="8" t="s">
        <v>13904</v>
      </c>
      <c r="D6913" s="8" t="s">
        <v>40</v>
      </c>
      <c r="E6913" s="13">
        <v>153000</v>
      </c>
      <c r="F6913" s="14">
        <v>305556</v>
      </c>
    </row>
    <row r="6914" spans="1:6" x14ac:dyDescent="0.3">
      <c r="A6914" s="8">
        <v>6912</v>
      </c>
      <c r="B6914" s="8" t="s">
        <v>9478</v>
      </c>
      <c r="C6914" s="8" t="s">
        <v>13905</v>
      </c>
      <c r="D6914" s="8" t="s">
        <v>13906</v>
      </c>
      <c r="E6914" s="13">
        <v>88900</v>
      </c>
      <c r="F6914" s="14">
        <v>177778</v>
      </c>
    </row>
    <row r="6915" spans="1:6" x14ac:dyDescent="0.3">
      <c r="A6915" s="8">
        <v>6913</v>
      </c>
      <c r="B6915" s="8" t="s">
        <v>6022</v>
      </c>
      <c r="C6915" s="8" t="s">
        <v>13907</v>
      </c>
      <c r="D6915" s="8" t="s">
        <v>13908</v>
      </c>
      <c r="E6915" s="13">
        <v>112000</v>
      </c>
      <c r="F6915" s="14">
        <v>224074</v>
      </c>
    </row>
    <row r="6916" spans="1:6" x14ac:dyDescent="0.3">
      <c r="A6916" s="8">
        <v>6914</v>
      </c>
      <c r="B6916" s="8" t="s">
        <v>6022</v>
      </c>
      <c r="C6916" s="8" t="s">
        <v>13909</v>
      </c>
      <c r="D6916" s="8" t="s">
        <v>13910</v>
      </c>
      <c r="E6916" s="13">
        <v>0</v>
      </c>
      <c r="F6916" s="14">
        <v>0</v>
      </c>
    </row>
    <row r="6917" spans="1:6" x14ac:dyDescent="0.3">
      <c r="A6917" s="8">
        <v>6915</v>
      </c>
      <c r="B6917" s="8" t="s">
        <v>6029</v>
      </c>
      <c r="C6917" s="8" t="s">
        <v>13911</v>
      </c>
      <c r="D6917" s="8" t="s">
        <v>13912</v>
      </c>
      <c r="E6917" s="13">
        <v>0</v>
      </c>
      <c r="F6917" s="14">
        <v>0</v>
      </c>
    </row>
    <row r="6918" spans="1:6" x14ac:dyDescent="0.3">
      <c r="A6918" s="8">
        <v>6916</v>
      </c>
      <c r="B6918" s="8" t="s">
        <v>6029</v>
      </c>
      <c r="C6918" s="8" t="s">
        <v>13913</v>
      </c>
      <c r="D6918" s="8" t="s">
        <v>13914</v>
      </c>
      <c r="E6918" s="13">
        <v>0</v>
      </c>
      <c r="F6918" s="14">
        <v>0</v>
      </c>
    </row>
    <row r="6919" spans="1:6" x14ac:dyDescent="0.3">
      <c r="A6919" s="8">
        <v>6917</v>
      </c>
      <c r="B6919" s="8" t="s">
        <v>6022</v>
      </c>
      <c r="C6919" s="8" t="s">
        <v>13915</v>
      </c>
      <c r="D6919" s="8" t="s">
        <v>13916</v>
      </c>
      <c r="E6919" s="13">
        <v>0</v>
      </c>
      <c r="F6919" s="14">
        <v>0</v>
      </c>
    </row>
    <row r="6920" spans="1:6" x14ac:dyDescent="0.3">
      <c r="A6920" s="8">
        <v>6918</v>
      </c>
      <c r="B6920" s="8" t="s">
        <v>6516</v>
      </c>
      <c r="C6920" s="8" t="s">
        <v>13917</v>
      </c>
      <c r="D6920" s="8" t="s">
        <v>13918</v>
      </c>
      <c r="E6920" s="13">
        <v>109000</v>
      </c>
      <c r="F6920" s="14">
        <v>210185</v>
      </c>
    </row>
    <row r="6921" spans="1:6" x14ac:dyDescent="0.3">
      <c r="A6921" s="8">
        <v>6919</v>
      </c>
      <c r="B6921" s="8" t="s">
        <v>6516</v>
      </c>
      <c r="C6921" s="8" t="s">
        <v>13919</v>
      </c>
      <c r="D6921" s="8" t="s">
        <v>13920</v>
      </c>
      <c r="E6921" s="13">
        <v>1150000</v>
      </c>
      <c r="F6921" s="14">
        <v>1845000</v>
      </c>
    </row>
    <row r="6922" spans="1:6" x14ac:dyDescent="0.3">
      <c r="A6922" s="8">
        <v>6920</v>
      </c>
      <c r="B6922" s="8" t="s">
        <v>6516</v>
      </c>
      <c r="C6922" s="8" t="s">
        <v>13921</v>
      </c>
      <c r="D6922" s="8" t="s">
        <v>13922</v>
      </c>
      <c r="E6922" s="13">
        <v>620000</v>
      </c>
      <c r="F6922" s="14">
        <v>1120000</v>
      </c>
    </row>
    <row r="6923" spans="1:6" x14ac:dyDescent="0.3">
      <c r="A6923" s="8">
        <v>6921</v>
      </c>
      <c r="B6923" s="8" t="s">
        <v>6516</v>
      </c>
      <c r="C6923" s="8" t="s">
        <v>13923</v>
      </c>
      <c r="D6923" s="8" t="s">
        <v>13924</v>
      </c>
      <c r="E6923" s="13">
        <v>0</v>
      </c>
      <c r="F6923" s="14">
        <v>0</v>
      </c>
    </row>
    <row r="6924" spans="1:6" x14ac:dyDescent="0.3">
      <c r="A6924" s="8">
        <v>6922</v>
      </c>
      <c r="B6924" s="8" t="s">
        <v>6516</v>
      </c>
      <c r="C6924" s="8" t="s">
        <v>13925</v>
      </c>
      <c r="D6924" s="8" t="s">
        <v>13926</v>
      </c>
      <c r="E6924" s="13">
        <v>532000</v>
      </c>
      <c r="F6924" s="14">
        <v>1063889</v>
      </c>
    </row>
    <row r="6925" spans="1:6" x14ac:dyDescent="0.3">
      <c r="A6925" s="8">
        <v>6923</v>
      </c>
      <c r="B6925" s="8" t="s">
        <v>6516</v>
      </c>
      <c r="C6925" s="8" t="s">
        <v>13927</v>
      </c>
      <c r="D6925" s="8" t="s">
        <v>13928</v>
      </c>
      <c r="E6925" s="13">
        <v>611000</v>
      </c>
      <c r="F6925" s="14">
        <v>1222000</v>
      </c>
    </row>
    <row r="6926" spans="1:6" x14ac:dyDescent="0.3">
      <c r="A6926" s="8">
        <v>6924</v>
      </c>
      <c r="B6926" s="8" t="s">
        <v>6516</v>
      </c>
      <c r="C6926" s="8" t="s">
        <v>13929</v>
      </c>
      <c r="D6926" s="8" t="s">
        <v>13930</v>
      </c>
      <c r="E6926" s="13">
        <v>1178000</v>
      </c>
      <c r="F6926" s="14">
        <v>2356000</v>
      </c>
    </row>
    <row r="6927" spans="1:6" x14ac:dyDescent="0.3">
      <c r="A6927" s="8">
        <v>6925</v>
      </c>
      <c r="B6927" s="8" t="s">
        <v>6516</v>
      </c>
      <c r="C6927" s="8" t="s">
        <v>13931</v>
      </c>
      <c r="D6927" s="8" t="s">
        <v>13932</v>
      </c>
      <c r="E6927" s="13">
        <v>0</v>
      </c>
      <c r="F6927" s="14">
        <v>0</v>
      </c>
    </row>
    <row r="6928" spans="1:6" x14ac:dyDescent="0.3">
      <c r="A6928" s="8">
        <v>6926</v>
      </c>
      <c r="B6928" s="8" t="s">
        <v>6516</v>
      </c>
      <c r="C6928" s="8" t="s">
        <v>13933</v>
      </c>
      <c r="D6928" s="8" t="s">
        <v>13934</v>
      </c>
      <c r="E6928" s="13">
        <v>0</v>
      </c>
      <c r="F6928" s="14">
        <v>0</v>
      </c>
    </row>
    <row r="6929" spans="1:6" x14ac:dyDescent="0.3">
      <c r="A6929" s="8">
        <v>6927</v>
      </c>
      <c r="B6929" s="8" t="s">
        <v>6516</v>
      </c>
      <c r="C6929" s="8" t="s">
        <v>13935</v>
      </c>
      <c r="D6929" s="8" t="s">
        <v>13936</v>
      </c>
      <c r="E6929" s="13">
        <v>0</v>
      </c>
      <c r="F6929" s="14">
        <v>0</v>
      </c>
    </row>
    <row r="6930" spans="1:6" x14ac:dyDescent="0.3">
      <c r="A6930" s="8">
        <v>6928</v>
      </c>
      <c r="B6930" s="8" t="s">
        <v>6516</v>
      </c>
      <c r="C6930" s="8" t="s">
        <v>13937</v>
      </c>
      <c r="D6930" s="8" t="s">
        <v>13938</v>
      </c>
      <c r="E6930" s="13">
        <v>0</v>
      </c>
      <c r="F6930" s="14">
        <v>0</v>
      </c>
    </row>
    <row r="6931" spans="1:6" x14ac:dyDescent="0.3">
      <c r="A6931" s="8">
        <v>6929</v>
      </c>
      <c r="B6931" s="8" t="s">
        <v>6516</v>
      </c>
      <c r="C6931" s="8" t="s">
        <v>13939</v>
      </c>
      <c r="D6931" s="8" t="s">
        <v>13940</v>
      </c>
      <c r="E6931" s="13">
        <v>0</v>
      </c>
      <c r="F6931" s="14">
        <v>0</v>
      </c>
    </row>
    <row r="6932" spans="1:6" x14ac:dyDescent="0.3">
      <c r="A6932" s="8">
        <v>6930</v>
      </c>
      <c r="B6932" s="8" t="s">
        <v>6516</v>
      </c>
      <c r="C6932" s="8" t="s">
        <v>13941</v>
      </c>
      <c r="D6932" s="8" t="s">
        <v>13942</v>
      </c>
      <c r="E6932" s="13">
        <v>0</v>
      </c>
      <c r="F6932" s="14">
        <v>0</v>
      </c>
    </row>
    <row r="6933" spans="1:6" x14ac:dyDescent="0.3">
      <c r="A6933" s="8">
        <v>6931</v>
      </c>
      <c r="B6933" s="8" t="s">
        <v>6516</v>
      </c>
      <c r="C6933" s="8" t="s">
        <v>13943</v>
      </c>
      <c r="D6933" s="8" t="s">
        <v>13944</v>
      </c>
      <c r="E6933" s="13">
        <v>0</v>
      </c>
      <c r="F6933" s="14">
        <v>0</v>
      </c>
    </row>
    <row r="6934" spans="1:6" x14ac:dyDescent="0.3">
      <c r="A6934" s="8">
        <v>6932</v>
      </c>
      <c r="B6934" s="8" t="s">
        <v>6516</v>
      </c>
      <c r="C6934" s="8" t="s">
        <v>13945</v>
      </c>
      <c r="D6934" s="8" t="s">
        <v>13946</v>
      </c>
      <c r="E6934" s="13">
        <v>0</v>
      </c>
      <c r="F6934" s="14">
        <v>1212963</v>
      </c>
    </row>
    <row r="6935" spans="1:6" x14ac:dyDescent="0.3">
      <c r="A6935" s="8">
        <v>6933</v>
      </c>
      <c r="B6935" s="8" t="s">
        <v>6516</v>
      </c>
      <c r="C6935" s="8" t="s">
        <v>13947</v>
      </c>
      <c r="D6935" s="8" t="s">
        <v>13948</v>
      </c>
      <c r="E6935" s="13">
        <v>0</v>
      </c>
      <c r="F6935" s="14">
        <v>0</v>
      </c>
    </row>
    <row r="6936" spans="1:6" x14ac:dyDescent="0.3">
      <c r="A6936" s="8">
        <v>6934</v>
      </c>
      <c r="B6936" s="8" t="s">
        <v>6516</v>
      </c>
      <c r="C6936" s="8" t="s">
        <v>13949</v>
      </c>
      <c r="D6936" s="8" t="s">
        <v>13950</v>
      </c>
      <c r="E6936" s="13">
        <v>0</v>
      </c>
      <c r="F6936" s="14">
        <v>0</v>
      </c>
    </row>
    <row r="6937" spans="1:6" x14ac:dyDescent="0.3">
      <c r="A6937" s="8">
        <v>6935</v>
      </c>
      <c r="B6937" s="8" t="s">
        <v>6516</v>
      </c>
      <c r="C6937" s="8" t="s">
        <v>13951</v>
      </c>
      <c r="D6937" s="8" t="s">
        <v>13952</v>
      </c>
      <c r="E6937" s="13">
        <v>0</v>
      </c>
      <c r="F6937" s="14">
        <v>0</v>
      </c>
    </row>
    <row r="6938" spans="1:6" x14ac:dyDescent="0.3">
      <c r="A6938" s="8">
        <v>6936</v>
      </c>
      <c r="B6938" s="8" t="s">
        <v>10684</v>
      </c>
      <c r="C6938" s="8" t="s">
        <v>13953</v>
      </c>
      <c r="D6938" s="8" t="s">
        <v>13954</v>
      </c>
      <c r="E6938" s="13">
        <v>0</v>
      </c>
      <c r="F6938" s="14">
        <v>0</v>
      </c>
    </row>
    <row r="6939" spans="1:6" x14ac:dyDescent="0.3">
      <c r="A6939" s="8">
        <v>6937</v>
      </c>
      <c r="B6939" s="8" t="s">
        <v>10684</v>
      </c>
      <c r="C6939" s="8" t="s">
        <v>13955</v>
      </c>
      <c r="D6939" s="8" t="s">
        <v>13956</v>
      </c>
      <c r="E6939" s="13">
        <v>0</v>
      </c>
      <c r="F6939" s="14">
        <v>0</v>
      </c>
    </row>
    <row r="6940" spans="1:6" x14ac:dyDescent="0.3">
      <c r="A6940" s="8">
        <v>6938</v>
      </c>
      <c r="B6940" s="8" t="s">
        <v>10684</v>
      </c>
      <c r="C6940" s="8" t="s">
        <v>13957</v>
      </c>
      <c r="D6940" s="8" t="s">
        <v>13958</v>
      </c>
      <c r="E6940" s="13">
        <v>0</v>
      </c>
      <c r="F6940" s="14">
        <v>0</v>
      </c>
    </row>
    <row r="6941" spans="1:6" x14ac:dyDescent="0.3">
      <c r="A6941" s="8">
        <v>6939</v>
      </c>
      <c r="B6941" s="8" t="s">
        <v>10684</v>
      </c>
      <c r="C6941" s="8" t="s">
        <v>13959</v>
      </c>
      <c r="D6941" s="8" t="s">
        <v>13960</v>
      </c>
      <c r="E6941" s="13">
        <v>0</v>
      </c>
      <c r="F6941" s="14">
        <v>0</v>
      </c>
    </row>
    <row r="6942" spans="1:6" x14ac:dyDescent="0.3">
      <c r="A6942" s="8">
        <v>6940</v>
      </c>
      <c r="B6942" s="8" t="s">
        <v>10684</v>
      </c>
      <c r="C6942" s="8" t="s">
        <v>13961</v>
      </c>
      <c r="D6942" s="8" t="s">
        <v>13962</v>
      </c>
      <c r="E6942" s="13">
        <v>0</v>
      </c>
      <c r="F6942" s="14">
        <v>0</v>
      </c>
    </row>
    <row r="6943" spans="1:6" x14ac:dyDescent="0.3">
      <c r="A6943" s="8">
        <v>6941</v>
      </c>
      <c r="B6943" s="8" t="s">
        <v>10684</v>
      </c>
      <c r="C6943" s="8" t="s">
        <v>13963</v>
      </c>
      <c r="D6943" s="8" t="s">
        <v>13964</v>
      </c>
      <c r="E6943" s="13">
        <v>0</v>
      </c>
      <c r="F6943" s="14">
        <v>0</v>
      </c>
    </row>
    <row r="6944" spans="1:6" x14ac:dyDescent="0.3">
      <c r="A6944" s="8">
        <v>6942</v>
      </c>
      <c r="B6944" s="8" t="s">
        <v>10684</v>
      </c>
      <c r="C6944" s="8" t="s">
        <v>13965</v>
      </c>
      <c r="D6944" s="8" t="s">
        <v>13966</v>
      </c>
      <c r="E6944" s="13">
        <v>0</v>
      </c>
      <c r="F6944" s="14">
        <v>0</v>
      </c>
    </row>
    <row r="6945" spans="1:6" x14ac:dyDescent="0.3">
      <c r="A6945" s="8">
        <v>6943</v>
      </c>
      <c r="B6945" s="8" t="s">
        <v>10684</v>
      </c>
      <c r="C6945" s="8" t="s">
        <v>13967</v>
      </c>
      <c r="D6945" s="8" t="s">
        <v>13968</v>
      </c>
      <c r="E6945" s="13">
        <v>0</v>
      </c>
      <c r="F6945" s="14">
        <v>0</v>
      </c>
    </row>
    <row r="6946" spans="1:6" x14ac:dyDescent="0.3">
      <c r="A6946" s="8">
        <v>6944</v>
      </c>
      <c r="B6946" s="8" t="s">
        <v>10684</v>
      </c>
      <c r="C6946" s="8" t="s">
        <v>13969</v>
      </c>
      <c r="D6946" s="8" t="s">
        <v>13970</v>
      </c>
      <c r="E6946" s="13">
        <v>0</v>
      </c>
      <c r="F6946" s="14">
        <v>0</v>
      </c>
    </row>
    <row r="6947" spans="1:6" x14ac:dyDescent="0.3">
      <c r="A6947" s="8">
        <v>6945</v>
      </c>
      <c r="B6947" s="8" t="s">
        <v>10684</v>
      </c>
      <c r="C6947" s="8" t="s">
        <v>13971</v>
      </c>
      <c r="D6947" s="8" t="s">
        <v>13972</v>
      </c>
      <c r="E6947" s="13">
        <v>0</v>
      </c>
      <c r="F6947" s="14">
        <v>0</v>
      </c>
    </row>
    <row r="6948" spans="1:6" x14ac:dyDescent="0.3">
      <c r="A6948" s="8">
        <v>6946</v>
      </c>
      <c r="B6948" s="8" t="s">
        <v>10697</v>
      </c>
      <c r="C6948" s="8" t="s">
        <v>13973</v>
      </c>
      <c r="D6948" s="8" t="s">
        <v>13974</v>
      </c>
      <c r="E6948" s="13">
        <v>0</v>
      </c>
      <c r="F6948" s="14">
        <v>0</v>
      </c>
    </row>
    <row r="6949" spans="1:6" x14ac:dyDescent="0.3">
      <c r="A6949" s="8">
        <v>6947</v>
      </c>
      <c r="B6949" s="8" t="s">
        <v>10697</v>
      </c>
      <c r="C6949" s="8" t="s">
        <v>13975</v>
      </c>
      <c r="D6949" s="8" t="s">
        <v>13976</v>
      </c>
      <c r="E6949" s="13">
        <v>0</v>
      </c>
      <c r="F6949" s="14">
        <v>0</v>
      </c>
    </row>
    <row r="6950" spans="1:6" x14ac:dyDescent="0.3">
      <c r="A6950" s="8">
        <v>6948</v>
      </c>
      <c r="B6950" s="8" t="s">
        <v>10697</v>
      </c>
      <c r="C6950" s="8" t="s">
        <v>13977</v>
      </c>
      <c r="D6950" s="8" t="s">
        <v>13978</v>
      </c>
      <c r="E6950" s="13">
        <v>33000</v>
      </c>
      <c r="F6950" s="14">
        <v>66667</v>
      </c>
    </row>
    <row r="6951" spans="1:6" x14ac:dyDescent="0.3">
      <c r="A6951" s="8">
        <v>6949</v>
      </c>
      <c r="B6951" s="8" t="s">
        <v>10697</v>
      </c>
      <c r="C6951" s="8" t="s">
        <v>13979</v>
      </c>
      <c r="D6951" s="8" t="s">
        <v>13980</v>
      </c>
      <c r="E6951" s="13">
        <v>0</v>
      </c>
      <c r="F6951" s="14">
        <v>0</v>
      </c>
    </row>
    <row r="6952" spans="1:6" x14ac:dyDescent="0.3">
      <c r="A6952" s="8">
        <v>6950</v>
      </c>
      <c r="B6952" s="8" t="s">
        <v>10697</v>
      </c>
      <c r="C6952" s="8" t="s">
        <v>13981</v>
      </c>
      <c r="D6952" s="8" t="s">
        <v>13982</v>
      </c>
      <c r="E6952" s="13">
        <v>0</v>
      </c>
      <c r="F6952" s="14">
        <v>0</v>
      </c>
    </row>
    <row r="6953" spans="1:6" x14ac:dyDescent="0.3">
      <c r="A6953" s="8">
        <v>6951</v>
      </c>
      <c r="B6953" s="8" t="s">
        <v>10697</v>
      </c>
      <c r="C6953" s="8" t="s">
        <v>13983</v>
      </c>
      <c r="D6953" s="8" t="s">
        <v>13984</v>
      </c>
      <c r="E6953" s="13">
        <v>90000</v>
      </c>
      <c r="F6953" s="14">
        <v>179630</v>
      </c>
    </row>
    <row r="6954" spans="1:6" x14ac:dyDescent="0.3">
      <c r="A6954" s="8">
        <v>6952</v>
      </c>
      <c r="B6954" s="8" t="s">
        <v>10697</v>
      </c>
      <c r="C6954" s="8" t="s">
        <v>13985</v>
      </c>
      <c r="D6954" s="8" t="s">
        <v>13986</v>
      </c>
      <c r="E6954" s="13">
        <v>0</v>
      </c>
      <c r="F6954" s="14">
        <v>0</v>
      </c>
    </row>
    <row r="6955" spans="1:6" x14ac:dyDescent="0.3">
      <c r="A6955" s="8">
        <v>6953</v>
      </c>
      <c r="B6955" s="8" t="s">
        <v>10697</v>
      </c>
      <c r="C6955" s="8" t="s">
        <v>13987</v>
      </c>
      <c r="D6955" s="8" t="s">
        <v>13988</v>
      </c>
      <c r="E6955" s="13">
        <v>0</v>
      </c>
      <c r="F6955" s="14">
        <v>0</v>
      </c>
    </row>
    <row r="6956" spans="1:6" x14ac:dyDescent="0.3">
      <c r="A6956" s="8">
        <v>6954</v>
      </c>
      <c r="B6956" s="8" t="s">
        <v>10697</v>
      </c>
      <c r="C6956" s="8" t="s">
        <v>13989</v>
      </c>
      <c r="D6956" s="8" t="s">
        <v>13990</v>
      </c>
      <c r="E6956" s="13">
        <v>0</v>
      </c>
      <c r="F6956" s="14">
        <v>0</v>
      </c>
    </row>
    <row r="6957" spans="1:6" x14ac:dyDescent="0.3">
      <c r="A6957" s="8">
        <v>6955</v>
      </c>
      <c r="B6957" s="8" t="s">
        <v>10697</v>
      </c>
      <c r="C6957" s="8" t="s">
        <v>13991</v>
      </c>
      <c r="D6957" s="8" t="s">
        <v>13992</v>
      </c>
      <c r="E6957" s="13">
        <v>22000</v>
      </c>
      <c r="F6957" s="14">
        <v>43519</v>
      </c>
    </row>
    <row r="6958" spans="1:6" x14ac:dyDescent="0.3">
      <c r="A6958" s="8">
        <v>6956</v>
      </c>
      <c r="B6958" s="8" t="s">
        <v>10697</v>
      </c>
      <c r="C6958" s="8" t="s">
        <v>13993</v>
      </c>
      <c r="D6958" s="8" t="s">
        <v>13994</v>
      </c>
      <c r="E6958" s="13">
        <v>0</v>
      </c>
      <c r="F6958" s="14">
        <v>0</v>
      </c>
    </row>
    <row r="6959" spans="1:6" x14ac:dyDescent="0.3">
      <c r="A6959" s="8">
        <v>6957</v>
      </c>
      <c r="B6959" s="8" t="s">
        <v>10697</v>
      </c>
      <c r="C6959" s="8" t="s">
        <v>13995</v>
      </c>
      <c r="D6959" s="8" t="s">
        <v>13996</v>
      </c>
      <c r="E6959" s="13">
        <v>0</v>
      </c>
      <c r="F6959" s="14">
        <v>0</v>
      </c>
    </row>
    <row r="6960" spans="1:6" x14ac:dyDescent="0.3">
      <c r="A6960" s="8">
        <v>6958</v>
      </c>
      <c r="B6960" s="8" t="s">
        <v>10697</v>
      </c>
      <c r="C6960" s="8" t="s">
        <v>13997</v>
      </c>
      <c r="D6960" s="8" t="s">
        <v>13998</v>
      </c>
      <c r="E6960" s="13">
        <v>37000</v>
      </c>
      <c r="F6960" s="14">
        <v>73636</v>
      </c>
    </row>
    <row r="6961" spans="1:6" x14ac:dyDescent="0.3">
      <c r="A6961" s="8">
        <v>6959</v>
      </c>
      <c r="B6961" s="8" t="s">
        <v>10697</v>
      </c>
      <c r="C6961" s="8" t="s">
        <v>13999</v>
      </c>
      <c r="D6961" s="8" t="s">
        <v>14000</v>
      </c>
      <c r="E6961" s="13">
        <v>22000</v>
      </c>
      <c r="F6961" s="14">
        <v>43519</v>
      </c>
    </row>
    <row r="6962" spans="1:6" x14ac:dyDescent="0.3">
      <c r="A6962" s="8">
        <v>6960</v>
      </c>
      <c r="B6962" s="8" t="s">
        <v>10697</v>
      </c>
      <c r="C6962" s="8" t="s">
        <v>14001</v>
      </c>
      <c r="D6962" s="8" t="s">
        <v>14002</v>
      </c>
      <c r="E6962" s="13">
        <v>0</v>
      </c>
      <c r="F6962" s="14">
        <v>0</v>
      </c>
    </row>
    <row r="6963" spans="1:6" x14ac:dyDescent="0.3">
      <c r="A6963" s="8">
        <v>6961</v>
      </c>
      <c r="B6963" s="8" t="s">
        <v>10697</v>
      </c>
      <c r="C6963" s="8" t="s">
        <v>14003</v>
      </c>
      <c r="D6963" s="8" t="s">
        <v>14004</v>
      </c>
      <c r="E6963" s="13">
        <v>305556</v>
      </c>
      <c r="F6963" s="14">
        <v>611111</v>
      </c>
    </row>
    <row r="6964" spans="1:6" x14ac:dyDescent="0.3">
      <c r="A6964" s="8">
        <v>6962</v>
      </c>
      <c r="B6964" s="8" t="s">
        <v>10684</v>
      </c>
      <c r="C6964" s="8" t="s">
        <v>14005</v>
      </c>
      <c r="D6964" s="8" t="s">
        <v>14006</v>
      </c>
      <c r="E6964" s="13">
        <v>0</v>
      </c>
      <c r="F6964" s="14">
        <v>0</v>
      </c>
    </row>
    <row r="6965" spans="1:6" x14ac:dyDescent="0.3">
      <c r="A6965" s="8">
        <v>6963</v>
      </c>
      <c r="B6965" s="8" t="s">
        <v>10684</v>
      </c>
      <c r="C6965" s="8" t="s">
        <v>14007</v>
      </c>
      <c r="D6965" s="8" t="s">
        <v>14008</v>
      </c>
      <c r="E6965" s="13">
        <v>0</v>
      </c>
      <c r="F6965" s="14">
        <v>0</v>
      </c>
    </row>
    <row r="6966" spans="1:6" x14ac:dyDescent="0.3">
      <c r="A6966" s="8">
        <v>6964</v>
      </c>
      <c r="B6966" s="8" t="s">
        <v>10697</v>
      </c>
      <c r="C6966" s="8" t="s">
        <v>14009</v>
      </c>
      <c r="D6966" s="8" t="s">
        <v>14010</v>
      </c>
      <c r="E6966" s="13">
        <v>0</v>
      </c>
      <c r="F6966" s="14">
        <v>0</v>
      </c>
    </row>
    <row r="6967" spans="1:6" x14ac:dyDescent="0.3">
      <c r="A6967" s="8">
        <v>6965</v>
      </c>
      <c r="B6967" s="8" t="s">
        <v>10697</v>
      </c>
      <c r="C6967" s="8" t="s">
        <v>14011</v>
      </c>
      <c r="D6967" s="8" t="s">
        <v>14012</v>
      </c>
      <c r="E6967" s="13">
        <v>0</v>
      </c>
      <c r="F6967" s="14">
        <v>727000</v>
      </c>
    </row>
    <row r="6968" spans="1:6" x14ac:dyDescent="0.3">
      <c r="A6968" s="8">
        <v>6966</v>
      </c>
      <c r="B6968" s="8" t="s">
        <v>10697</v>
      </c>
      <c r="C6968" s="8" t="s">
        <v>14013</v>
      </c>
      <c r="D6968" s="8" t="s">
        <v>14014</v>
      </c>
      <c r="E6968" s="13">
        <v>0</v>
      </c>
      <c r="F6968" s="14">
        <v>0</v>
      </c>
    </row>
    <row r="6969" spans="1:6" x14ac:dyDescent="0.3">
      <c r="A6969" s="8">
        <v>6967</v>
      </c>
      <c r="B6969" s="8" t="s">
        <v>10697</v>
      </c>
      <c r="C6969" s="8" t="s">
        <v>14015</v>
      </c>
      <c r="D6969" s="8" t="s">
        <v>14016</v>
      </c>
      <c r="E6969" s="13">
        <v>0</v>
      </c>
      <c r="F6969" s="14">
        <v>0</v>
      </c>
    </row>
    <row r="6970" spans="1:6" x14ac:dyDescent="0.3">
      <c r="A6970" s="8">
        <v>6968</v>
      </c>
      <c r="B6970" s="8" t="s">
        <v>10697</v>
      </c>
      <c r="C6970" s="8" t="s">
        <v>14017</v>
      </c>
      <c r="D6970" s="8" t="s">
        <v>14018</v>
      </c>
      <c r="E6970" s="13">
        <v>0</v>
      </c>
      <c r="F6970" s="14">
        <v>0</v>
      </c>
    </row>
    <row r="6971" spans="1:6" x14ac:dyDescent="0.3">
      <c r="A6971" s="8">
        <v>6969</v>
      </c>
      <c r="B6971" s="8" t="s">
        <v>10697</v>
      </c>
      <c r="C6971" s="8" t="s">
        <v>14019</v>
      </c>
      <c r="D6971" s="8" t="s">
        <v>14020</v>
      </c>
      <c r="E6971" s="13">
        <v>0</v>
      </c>
      <c r="F6971" s="14">
        <v>0</v>
      </c>
    </row>
    <row r="6972" spans="1:6" x14ac:dyDescent="0.3">
      <c r="A6972" s="8">
        <v>6970</v>
      </c>
      <c r="B6972" s="8" t="s">
        <v>10697</v>
      </c>
      <c r="C6972" s="8" t="s">
        <v>14021</v>
      </c>
      <c r="D6972" s="8" t="s">
        <v>14022</v>
      </c>
      <c r="E6972" s="13">
        <v>0</v>
      </c>
      <c r="F6972" s="14">
        <v>0</v>
      </c>
    </row>
    <row r="6973" spans="1:6" x14ac:dyDescent="0.3">
      <c r="A6973" s="8">
        <v>6971</v>
      </c>
      <c r="B6973" s="8" t="s">
        <v>10697</v>
      </c>
      <c r="C6973" s="8" t="s">
        <v>14023</v>
      </c>
      <c r="D6973" s="8" t="s">
        <v>14024</v>
      </c>
      <c r="E6973" s="13">
        <v>0</v>
      </c>
      <c r="F6973" s="14">
        <v>0</v>
      </c>
    </row>
    <row r="6974" spans="1:6" x14ac:dyDescent="0.3">
      <c r="A6974" s="8">
        <v>6972</v>
      </c>
      <c r="B6974" s="8" t="s">
        <v>10697</v>
      </c>
      <c r="C6974" s="8" t="s">
        <v>14025</v>
      </c>
      <c r="D6974" s="8" t="s">
        <v>14026</v>
      </c>
      <c r="E6974" s="13">
        <v>0</v>
      </c>
      <c r="F6974" s="14">
        <v>0</v>
      </c>
    </row>
    <row r="6975" spans="1:6" x14ac:dyDescent="0.3">
      <c r="A6975" s="8">
        <v>6973</v>
      </c>
      <c r="B6975" s="8" t="s">
        <v>10697</v>
      </c>
      <c r="C6975" s="8" t="s">
        <v>14027</v>
      </c>
      <c r="D6975" s="8" t="s">
        <v>14028</v>
      </c>
      <c r="E6975" s="13">
        <v>0</v>
      </c>
      <c r="F6975" s="14">
        <v>0</v>
      </c>
    </row>
    <row r="6976" spans="1:6" x14ac:dyDescent="0.3">
      <c r="A6976" s="8">
        <v>6974</v>
      </c>
      <c r="B6976" s="8" t="s">
        <v>10697</v>
      </c>
      <c r="C6976" s="8" t="s">
        <v>14029</v>
      </c>
      <c r="D6976" s="8" t="s">
        <v>14030</v>
      </c>
      <c r="E6976" s="13">
        <v>92600</v>
      </c>
      <c r="F6976" s="14">
        <v>185185</v>
      </c>
    </row>
    <row r="6977" spans="1:6" x14ac:dyDescent="0.3">
      <c r="A6977" s="8">
        <v>6975</v>
      </c>
      <c r="B6977" s="8" t="s">
        <v>10697</v>
      </c>
      <c r="C6977" s="8" t="s">
        <v>14031</v>
      </c>
      <c r="D6977" s="8" t="s">
        <v>14032</v>
      </c>
      <c r="E6977" s="13">
        <v>0</v>
      </c>
      <c r="F6977" s="14">
        <v>0</v>
      </c>
    </row>
    <row r="6978" spans="1:6" x14ac:dyDescent="0.3">
      <c r="A6978" s="8">
        <v>6976</v>
      </c>
      <c r="B6978" s="8" t="s">
        <v>10697</v>
      </c>
      <c r="C6978" s="8" t="s">
        <v>14033</v>
      </c>
      <c r="D6978" s="8" t="s">
        <v>14034</v>
      </c>
      <c r="E6978" s="13">
        <v>0</v>
      </c>
      <c r="F6978" s="14">
        <v>0</v>
      </c>
    </row>
    <row r="6979" spans="1:6" x14ac:dyDescent="0.3">
      <c r="A6979" s="8">
        <v>6977</v>
      </c>
      <c r="B6979" s="8" t="s">
        <v>10697</v>
      </c>
      <c r="C6979" s="8" t="s">
        <v>14035</v>
      </c>
      <c r="D6979" s="8" t="s">
        <v>14036</v>
      </c>
      <c r="E6979" s="13">
        <v>0</v>
      </c>
      <c r="F6979" s="14">
        <v>0</v>
      </c>
    </row>
    <row r="6980" spans="1:6" x14ac:dyDescent="0.3">
      <c r="A6980" s="8">
        <v>6978</v>
      </c>
      <c r="B6980" s="8" t="s">
        <v>10697</v>
      </c>
      <c r="C6980" s="8" t="s">
        <v>14037</v>
      </c>
      <c r="D6980" s="8" t="s">
        <v>14038</v>
      </c>
      <c r="E6980" s="13">
        <v>0</v>
      </c>
      <c r="F6980" s="14">
        <v>0</v>
      </c>
    </row>
    <row r="6981" spans="1:6" x14ac:dyDescent="0.3">
      <c r="A6981" s="8">
        <v>6979</v>
      </c>
      <c r="B6981" s="8" t="s">
        <v>10697</v>
      </c>
      <c r="C6981" s="8" t="s">
        <v>14039</v>
      </c>
      <c r="D6981" s="8" t="s">
        <v>14040</v>
      </c>
      <c r="E6981" s="13">
        <v>0</v>
      </c>
      <c r="F6981" s="14">
        <v>0</v>
      </c>
    </row>
    <row r="6982" spans="1:6" x14ac:dyDescent="0.3">
      <c r="A6982" s="8">
        <v>6980</v>
      </c>
      <c r="B6982" s="8" t="s">
        <v>10697</v>
      </c>
      <c r="C6982" s="8" t="s">
        <v>14041</v>
      </c>
      <c r="D6982" s="8" t="s">
        <v>14042</v>
      </c>
      <c r="E6982" s="13">
        <v>203704</v>
      </c>
      <c r="F6982" s="14">
        <v>407407</v>
      </c>
    </row>
    <row r="6983" spans="1:6" x14ac:dyDescent="0.3">
      <c r="A6983" s="8">
        <v>6981</v>
      </c>
      <c r="B6983" s="8" t="s">
        <v>10697</v>
      </c>
      <c r="C6983" s="8" t="s">
        <v>14043</v>
      </c>
      <c r="D6983" s="8" t="s">
        <v>14044</v>
      </c>
      <c r="E6983" s="13">
        <v>0</v>
      </c>
      <c r="F6983" s="14">
        <v>0</v>
      </c>
    </row>
    <row r="6984" spans="1:6" x14ac:dyDescent="0.3">
      <c r="A6984" s="8">
        <v>6982</v>
      </c>
      <c r="B6984" s="8" t="s">
        <v>10697</v>
      </c>
      <c r="C6984" s="8" t="s">
        <v>14045</v>
      </c>
      <c r="D6984" s="8" t="s">
        <v>14046</v>
      </c>
      <c r="E6984" s="13">
        <v>0</v>
      </c>
      <c r="F6984" s="14">
        <v>0</v>
      </c>
    </row>
    <row r="6985" spans="1:6" x14ac:dyDescent="0.3">
      <c r="A6985" s="8">
        <v>6983</v>
      </c>
      <c r="B6985" s="8" t="s">
        <v>10697</v>
      </c>
      <c r="C6985" s="8" t="s">
        <v>14047</v>
      </c>
      <c r="D6985" s="8" t="s">
        <v>14048</v>
      </c>
      <c r="E6985" s="13">
        <v>0</v>
      </c>
      <c r="F6985" s="14">
        <v>0</v>
      </c>
    </row>
    <row r="6986" spans="1:6" x14ac:dyDescent="0.3">
      <c r="A6986" s="8">
        <v>6984</v>
      </c>
      <c r="B6986" s="8" t="s">
        <v>10928</v>
      </c>
      <c r="C6986" s="8" t="s">
        <v>14049</v>
      </c>
      <c r="D6986" s="8" t="s">
        <v>14050</v>
      </c>
      <c r="E6986" s="13">
        <v>0</v>
      </c>
      <c r="F6986" s="14">
        <v>0</v>
      </c>
    </row>
    <row r="6987" spans="1:6" x14ac:dyDescent="0.3">
      <c r="A6987" s="8">
        <v>6985</v>
      </c>
      <c r="B6987" s="8" t="s">
        <v>9478</v>
      </c>
      <c r="C6987" s="8" t="s">
        <v>14051</v>
      </c>
      <c r="D6987" s="8" t="s">
        <v>14052</v>
      </c>
      <c r="E6987" s="13">
        <v>0</v>
      </c>
      <c r="F6987" s="14">
        <v>0</v>
      </c>
    </row>
    <row r="6988" spans="1:6" x14ac:dyDescent="0.3">
      <c r="A6988" s="8">
        <v>6986</v>
      </c>
      <c r="B6988" s="8" t="s">
        <v>9478</v>
      </c>
      <c r="C6988" s="8" t="s">
        <v>14053</v>
      </c>
      <c r="D6988" s="8" t="s">
        <v>14054</v>
      </c>
      <c r="E6988" s="13">
        <v>0</v>
      </c>
      <c r="F6988" s="14">
        <v>0</v>
      </c>
    </row>
    <row r="6989" spans="1:6" x14ac:dyDescent="0.3">
      <c r="A6989" s="8">
        <v>6987</v>
      </c>
      <c r="B6989" s="8" t="s">
        <v>9478</v>
      </c>
      <c r="C6989" s="8" t="s">
        <v>14055</v>
      </c>
      <c r="D6989" s="8" t="s">
        <v>14056</v>
      </c>
      <c r="E6989" s="13">
        <v>0</v>
      </c>
      <c r="F6989" s="14">
        <v>0</v>
      </c>
    </row>
    <row r="6990" spans="1:6" x14ac:dyDescent="0.3">
      <c r="A6990" s="8">
        <v>6988</v>
      </c>
      <c r="B6990" s="8" t="s">
        <v>9478</v>
      </c>
      <c r="C6990" s="8" t="s">
        <v>14057</v>
      </c>
      <c r="D6990" s="8" t="s">
        <v>14058</v>
      </c>
      <c r="E6990" s="13">
        <v>0</v>
      </c>
      <c r="F6990" s="14">
        <v>0</v>
      </c>
    </row>
    <row r="6991" spans="1:6" x14ac:dyDescent="0.3">
      <c r="A6991" s="8">
        <v>6989</v>
      </c>
      <c r="B6991" s="8" t="s">
        <v>9478</v>
      </c>
      <c r="C6991" s="8" t="s">
        <v>14059</v>
      </c>
      <c r="D6991" s="8" t="s">
        <v>14060</v>
      </c>
      <c r="E6991" s="13">
        <v>0</v>
      </c>
      <c r="F6991" s="14">
        <v>0</v>
      </c>
    </row>
    <row r="6992" spans="1:6" x14ac:dyDescent="0.3">
      <c r="A6992" s="8">
        <v>6990</v>
      </c>
      <c r="B6992" s="8" t="s">
        <v>9478</v>
      </c>
      <c r="C6992" s="8" t="s">
        <v>14061</v>
      </c>
      <c r="D6992" s="8" t="s">
        <v>14062</v>
      </c>
      <c r="E6992" s="13">
        <v>0</v>
      </c>
      <c r="F6992" s="14">
        <v>0</v>
      </c>
    </row>
    <row r="6993" spans="1:6" x14ac:dyDescent="0.3">
      <c r="A6993" s="8">
        <v>6991</v>
      </c>
      <c r="B6993" s="8" t="s">
        <v>9478</v>
      </c>
      <c r="C6993" s="8" t="s">
        <v>14063</v>
      </c>
      <c r="D6993" s="8" t="s">
        <v>102</v>
      </c>
      <c r="E6993" s="13">
        <v>0</v>
      </c>
      <c r="F6993" s="14">
        <v>236111</v>
      </c>
    </row>
    <row r="6994" spans="1:6" x14ac:dyDescent="0.3">
      <c r="A6994" s="8">
        <v>6992</v>
      </c>
      <c r="B6994" s="8" t="s">
        <v>9478</v>
      </c>
      <c r="C6994" s="8" t="s">
        <v>14064</v>
      </c>
      <c r="D6994" s="8" t="s">
        <v>14065</v>
      </c>
      <c r="E6994" s="13">
        <v>0</v>
      </c>
      <c r="F6994" s="14">
        <v>0</v>
      </c>
    </row>
    <row r="6995" spans="1:6" x14ac:dyDescent="0.3">
      <c r="A6995" s="8">
        <v>6993</v>
      </c>
      <c r="B6995" s="8" t="s">
        <v>9478</v>
      </c>
      <c r="C6995" s="8" t="s">
        <v>14066</v>
      </c>
      <c r="D6995" s="8" t="s">
        <v>14067</v>
      </c>
      <c r="E6995" s="13">
        <v>0</v>
      </c>
      <c r="F6995" s="14">
        <v>0</v>
      </c>
    </row>
    <row r="6996" spans="1:6" x14ac:dyDescent="0.3">
      <c r="A6996" s="8">
        <v>6994</v>
      </c>
      <c r="B6996" s="8" t="s">
        <v>9478</v>
      </c>
      <c r="C6996" s="8" t="s">
        <v>14068</v>
      </c>
      <c r="D6996" s="8" t="s">
        <v>108</v>
      </c>
      <c r="E6996" s="13">
        <v>58800</v>
      </c>
      <c r="F6996" s="14">
        <v>117593</v>
      </c>
    </row>
    <row r="6997" spans="1:6" x14ac:dyDescent="0.3">
      <c r="A6997" s="8">
        <v>6995</v>
      </c>
      <c r="B6997" s="8" t="s">
        <v>9478</v>
      </c>
      <c r="C6997" s="8" t="s">
        <v>14069</v>
      </c>
      <c r="D6997" s="8" t="s">
        <v>113</v>
      </c>
      <c r="E6997" s="13">
        <v>135000</v>
      </c>
      <c r="F6997" s="14">
        <v>270370</v>
      </c>
    </row>
    <row r="6998" spans="1:6" x14ac:dyDescent="0.3">
      <c r="A6998" s="8">
        <v>6996</v>
      </c>
      <c r="B6998" s="8" t="s">
        <v>9478</v>
      </c>
      <c r="C6998" s="8" t="s">
        <v>14070</v>
      </c>
      <c r="D6998" s="8" t="s">
        <v>14071</v>
      </c>
      <c r="E6998" s="13">
        <v>0</v>
      </c>
      <c r="F6998" s="14">
        <v>0</v>
      </c>
    </row>
    <row r="6999" spans="1:6" x14ac:dyDescent="0.3">
      <c r="A6999" s="8">
        <v>6997</v>
      </c>
      <c r="B6999" s="8" t="s">
        <v>9478</v>
      </c>
      <c r="C6999" s="8" t="s">
        <v>14072</v>
      </c>
      <c r="D6999" s="8" t="s">
        <v>14073</v>
      </c>
      <c r="E6999" s="13">
        <v>111000</v>
      </c>
      <c r="F6999" s="14">
        <v>221818</v>
      </c>
    </row>
    <row r="7000" spans="1:6" x14ac:dyDescent="0.3">
      <c r="A7000" s="8">
        <v>6998</v>
      </c>
      <c r="B7000" s="8" t="s">
        <v>9478</v>
      </c>
      <c r="C7000" s="8" t="s">
        <v>14074</v>
      </c>
      <c r="D7000" s="8" t="s">
        <v>14075</v>
      </c>
      <c r="E7000" s="13">
        <v>0</v>
      </c>
      <c r="F7000" s="14">
        <v>0</v>
      </c>
    </row>
    <row r="7001" spans="1:6" x14ac:dyDescent="0.3">
      <c r="A7001" s="8">
        <v>6999</v>
      </c>
      <c r="B7001" s="8" t="s">
        <v>9478</v>
      </c>
      <c r="C7001" s="8" t="s">
        <v>14076</v>
      </c>
      <c r="D7001" s="8" t="s">
        <v>14077</v>
      </c>
      <c r="E7001" s="13">
        <v>0</v>
      </c>
      <c r="F7001" s="14">
        <v>0</v>
      </c>
    </row>
    <row r="7002" spans="1:6" x14ac:dyDescent="0.3">
      <c r="A7002" s="8">
        <v>7000</v>
      </c>
      <c r="B7002" s="8" t="s">
        <v>9478</v>
      </c>
      <c r="C7002" s="8" t="s">
        <v>14078</v>
      </c>
      <c r="D7002" s="8" t="s">
        <v>14079</v>
      </c>
      <c r="E7002" s="13">
        <v>0</v>
      </c>
      <c r="F7002" s="14">
        <v>0</v>
      </c>
    </row>
    <row r="7003" spans="1:6" x14ac:dyDescent="0.3">
      <c r="A7003" s="8">
        <v>7001</v>
      </c>
      <c r="B7003" s="8" t="s">
        <v>9478</v>
      </c>
      <c r="C7003" s="8" t="s">
        <v>14080</v>
      </c>
      <c r="D7003" s="8" t="s">
        <v>14081</v>
      </c>
      <c r="E7003" s="13">
        <v>0</v>
      </c>
      <c r="F7003" s="14">
        <v>0</v>
      </c>
    </row>
    <row r="7004" spans="1:6" x14ac:dyDescent="0.3">
      <c r="A7004" s="8">
        <v>7002</v>
      </c>
      <c r="B7004" s="8" t="s">
        <v>9478</v>
      </c>
      <c r="C7004" s="8" t="s">
        <v>14082</v>
      </c>
      <c r="D7004" s="8" t="s">
        <v>122</v>
      </c>
      <c r="E7004" s="13">
        <v>75000</v>
      </c>
      <c r="F7004" s="14">
        <v>150000</v>
      </c>
    </row>
    <row r="7005" spans="1:6" x14ac:dyDescent="0.3">
      <c r="A7005" s="8">
        <v>7003</v>
      </c>
      <c r="B7005" s="8" t="s">
        <v>9478</v>
      </c>
      <c r="C7005" s="8" t="s">
        <v>14083</v>
      </c>
      <c r="D7005" s="8" t="s">
        <v>14084</v>
      </c>
      <c r="E7005" s="13">
        <v>0</v>
      </c>
      <c r="F7005" s="14">
        <v>0</v>
      </c>
    </row>
    <row r="7006" spans="1:6" x14ac:dyDescent="0.3">
      <c r="A7006" s="8">
        <v>7004</v>
      </c>
      <c r="B7006" s="8" t="s">
        <v>9478</v>
      </c>
      <c r="C7006" s="8" t="s">
        <v>14085</v>
      </c>
      <c r="D7006" s="8" t="s">
        <v>133</v>
      </c>
      <c r="E7006" s="13">
        <v>118000</v>
      </c>
      <c r="F7006" s="14">
        <v>236111</v>
      </c>
    </row>
    <row r="7007" spans="1:6" x14ac:dyDescent="0.3">
      <c r="A7007" s="8">
        <v>7005</v>
      </c>
      <c r="B7007" s="8" t="s">
        <v>9478</v>
      </c>
      <c r="C7007" s="8" t="s">
        <v>14086</v>
      </c>
      <c r="D7007" s="8" t="s">
        <v>14087</v>
      </c>
      <c r="E7007" s="13">
        <v>173000</v>
      </c>
      <c r="F7007" s="14">
        <v>346364</v>
      </c>
    </row>
    <row r="7008" spans="1:6" x14ac:dyDescent="0.3">
      <c r="A7008" s="8">
        <v>7006</v>
      </c>
      <c r="B7008" s="8" t="s">
        <v>10667</v>
      </c>
      <c r="C7008" s="8" t="s">
        <v>14088</v>
      </c>
      <c r="D7008" s="8" t="s">
        <v>14089</v>
      </c>
      <c r="E7008" s="13">
        <v>0</v>
      </c>
      <c r="F7008" s="14">
        <v>0</v>
      </c>
    </row>
    <row r="7009" spans="1:6" x14ac:dyDescent="0.3">
      <c r="A7009" s="8">
        <v>7007</v>
      </c>
      <c r="B7009" s="8" t="s">
        <v>10667</v>
      </c>
      <c r="C7009" s="8" t="s">
        <v>14090</v>
      </c>
      <c r="D7009" s="8" t="s">
        <v>14091</v>
      </c>
      <c r="E7009" s="13">
        <v>0</v>
      </c>
      <c r="F7009" s="14">
        <v>0</v>
      </c>
    </row>
    <row r="7010" spans="1:6" x14ac:dyDescent="0.3">
      <c r="A7010" s="8">
        <v>7008</v>
      </c>
      <c r="B7010" s="8" t="s">
        <v>10667</v>
      </c>
      <c r="C7010" s="8" t="s">
        <v>14092</v>
      </c>
      <c r="D7010" s="8" t="s">
        <v>14093</v>
      </c>
      <c r="E7010" s="13">
        <v>0</v>
      </c>
      <c r="F7010" s="14">
        <v>0</v>
      </c>
    </row>
    <row r="7011" spans="1:6" x14ac:dyDescent="0.3">
      <c r="A7011" s="8">
        <v>7009</v>
      </c>
      <c r="B7011" s="8" t="s">
        <v>10667</v>
      </c>
      <c r="C7011" s="8" t="s">
        <v>14094</v>
      </c>
      <c r="D7011" s="8" t="s">
        <v>14095</v>
      </c>
      <c r="E7011" s="13">
        <v>0</v>
      </c>
      <c r="F7011" s="14">
        <v>0</v>
      </c>
    </row>
    <row r="7012" spans="1:6" x14ac:dyDescent="0.3">
      <c r="A7012" s="8">
        <v>7010</v>
      </c>
      <c r="B7012" s="8" t="s">
        <v>10667</v>
      </c>
      <c r="C7012" s="8" t="s">
        <v>14096</v>
      </c>
      <c r="D7012" s="8" t="s">
        <v>14097</v>
      </c>
      <c r="E7012" s="13">
        <v>0</v>
      </c>
      <c r="F7012" s="14">
        <v>0</v>
      </c>
    </row>
    <row r="7013" spans="1:6" x14ac:dyDescent="0.3">
      <c r="A7013" s="8">
        <v>7011</v>
      </c>
      <c r="B7013" s="8" t="s">
        <v>10667</v>
      </c>
      <c r="C7013" s="8" t="s">
        <v>14098</v>
      </c>
      <c r="D7013" s="8" t="s">
        <v>14099</v>
      </c>
      <c r="E7013" s="13">
        <v>0</v>
      </c>
      <c r="F7013" s="14">
        <v>0</v>
      </c>
    </row>
    <row r="7014" spans="1:6" x14ac:dyDescent="0.3">
      <c r="A7014" s="8">
        <v>7012</v>
      </c>
      <c r="B7014" s="8" t="s">
        <v>10667</v>
      </c>
      <c r="C7014" s="8" t="s">
        <v>14100</v>
      </c>
      <c r="D7014" s="8" t="s">
        <v>14101</v>
      </c>
      <c r="E7014" s="13">
        <v>0</v>
      </c>
      <c r="F7014" s="14">
        <v>0</v>
      </c>
    </row>
    <row r="7015" spans="1:6" x14ac:dyDescent="0.3">
      <c r="A7015" s="8">
        <v>7013</v>
      </c>
      <c r="B7015" s="8" t="s">
        <v>10667</v>
      </c>
      <c r="C7015" s="8" t="s">
        <v>14102</v>
      </c>
      <c r="D7015" s="8" t="s">
        <v>14103</v>
      </c>
      <c r="E7015" s="13">
        <v>0</v>
      </c>
      <c r="F7015" s="14">
        <v>0</v>
      </c>
    </row>
    <row r="7016" spans="1:6" x14ac:dyDescent="0.3">
      <c r="A7016" s="8">
        <v>7014</v>
      </c>
      <c r="B7016" s="8" t="s">
        <v>10667</v>
      </c>
      <c r="C7016" s="8" t="s">
        <v>14104</v>
      </c>
      <c r="D7016" s="8" t="s">
        <v>14105</v>
      </c>
      <c r="E7016" s="13">
        <v>0</v>
      </c>
      <c r="F7016" s="14">
        <v>0</v>
      </c>
    </row>
    <row r="7017" spans="1:6" x14ac:dyDescent="0.3">
      <c r="A7017" s="8">
        <v>7015</v>
      </c>
      <c r="B7017" s="8" t="s">
        <v>10684</v>
      </c>
      <c r="C7017" s="8" t="s">
        <v>14106</v>
      </c>
      <c r="D7017" s="8" t="s">
        <v>14107</v>
      </c>
      <c r="E7017" s="13">
        <v>0</v>
      </c>
      <c r="F7017" s="14">
        <v>0</v>
      </c>
    </row>
    <row r="7018" spans="1:6" x14ac:dyDescent="0.3">
      <c r="A7018" s="8">
        <v>7016</v>
      </c>
      <c r="B7018" s="8" t="s">
        <v>10697</v>
      </c>
      <c r="C7018" s="8" t="s">
        <v>14108</v>
      </c>
      <c r="D7018" s="8" t="s">
        <v>14109</v>
      </c>
      <c r="E7018" s="13">
        <v>0</v>
      </c>
      <c r="F7018" s="14">
        <v>0</v>
      </c>
    </row>
    <row r="7019" spans="1:6" x14ac:dyDescent="0.3">
      <c r="A7019" s="8">
        <v>7017</v>
      </c>
      <c r="B7019" s="8" t="s">
        <v>10928</v>
      </c>
      <c r="C7019" s="8" t="s">
        <v>14110</v>
      </c>
      <c r="D7019" s="8" t="s">
        <v>14111</v>
      </c>
      <c r="E7019" s="13">
        <v>0</v>
      </c>
      <c r="F7019" s="14">
        <v>0</v>
      </c>
    </row>
    <row r="7020" spans="1:6" x14ac:dyDescent="0.3">
      <c r="A7020" s="8">
        <v>7018</v>
      </c>
      <c r="B7020" s="8" t="s">
        <v>10928</v>
      </c>
      <c r="C7020" s="8" t="s">
        <v>14112</v>
      </c>
      <c r="D7020" s="8" t="s">
        <v>14113</v>
      </c>
      <c r="E7020" s="13">
        <v>0</v>
      </c>
      <c r="F7020" s="14">
        <v>0</v>
      </c>
    </row>
    <row r="7021" spans="1:6" x14ac:dyDescent="0.3">
      <c r="A7021" s="8">
        <v>7019</v>
      </c>
      <c r="B7021" s="8" t="s">
        <v>10928</v>
      </c>
      <c r="C7021" s="8" t="s">
        <v>14114</v>
      </c>
      <c r="D7021" s="8" t="s">
        <v>14115</v>
      </c>
      <c r="E7021" s="13">
        <v>0</v>
      </c>
      <c r="F7021" s="14">
        <v>0</v>
      </c>
    </row>
    <row r="7022" spans="1:6" x14ac:dyDescent="0.3">
      <c r="A7022" s="8">
        <v>7020</v>
      </c>
      <c r="B7022" s="8" t="s">
        <v>10697</v>
      </c>
      <c r="C7022" s="8" t="s">
        <v>14116</v>
      </c>
      <c r="D7022" s="8" t="s">
        <v>14117</v>
      </c>
      <c r="E7022" s="13">
        <v>0</v>
      </c>
      <c r="F7022" s="14">
        <v>0</v>
      </c>
    </row>
    <row r="7023" spans="1:6" x14ac:dyDescent="0.3">
      <c r="A7023" s="8">
        <v>7021</v>
      </c>
      <c r="B7023" s="8" t="s">
        <v>10697</v>
      </c>
      <c r="C7023" s="8" t="s">
        <v>14118</v>
      </c>
      <c r="D7023" s="8" t="s">
        <v>14119</v>
      </c>
      <c r="E7023" s="13">
        <v>0</v>
      </c>
      <c r="F7023" s="14">
        <v>0</v>
      </c>
    </row>
    <row r="7024" spans="1:6" x14ac:dyDescent="0.3">
      <c r="A7024" s="8">
        <v>7022</v>
      </c>
      <c r="B7024" s="8" t="s">
        <v>10697</v>
      </c>
      <c r="C7024" s="8" t="s">
        <v>14120</v>
      </c>
      <c r="D7024" s="8" t="s">
        <v>14121</v>
      </c>
      <c r="E7024" s="13">
        <v>0</v>
      </c>
      <c r="F7024" s="14">
        <v>0</v>
      </c>
    </row>
    <row r="7025" spans="1:6" x14ac:dyDescent="0.3">
      <c r="A7025" s="8">
        <v>7023</v>
      </c>
      <c r="B7025" s="8" t="s">
        <v>10697</v>
      </c>
      <c r="C7025" s="8" t="s">
        <v>14122</v>
      </c>
      <c r="D7025" s="8" t="s">
        <v>14123</v>
      </c>
      <c r="E7025" s="13">
        <v>0</v>
      </c>
      <c r="F7025" s="14">
        <v>0</v>
      </c>
    </row>
    <row r="7026" spans="1:6" x14ac:dyDescent="0.3">
      <c r="A7026" s="8">
        <v>7024</v>
      </c>
      <c r="B7026" s="8" t="s">
        <v>10697</v>
      </c>
      <c r="C7026" s="8" t="s">
        <v>14124</v>
      </c>
      <c r="D7026" s="8" t="s">
        <v>14125</v>
      </c>
      <c r="E7026" s="13">
        <v>0</v>
      </c>
      <c r="F7026" s="14">
        <v>0</v>
      </c>
    </row>
    <row r="7027" spans="1:6" x14ac:dyDescent="0.3">
      <c r="A7027" s="8">
        <v>7025</v>
      </c>
      <c r="B7027" s="8" t="s">
        <v>10697</v>
      </c>
      <c r="C7027" s="8" t="s">
        <v>14126</v>
      </c>
      <c r="D7027" s="8" t="s">
        <v>14127</v>
      </c>
      <c r="E7027" s="13">
        <v>0</v>
      </c>
      <c r="F7027" s="14">
        <v>0</v>
      </c>
    </row>
    <row r="7028" spans="1:6" x14ac:dyDescent="0.3">
      <c r="A7028" s="8">
        <v>7026</v>
      </c>
      <c r="B7028" s="8" t="s">
        <v>10697</v>
      </c>
      <c r="C7028" s="8" t="s">
        <v>14128</v>
      </c>
      <c r="D7028" s="8" t="s">
        <v>14129</v>
      </c>
      <c r="E7028" s="13">
        <v>4000</v>
      </c>
      <c r="F7028" s="14">
        <v>7963</v>
      </c>
    </row>
    <row r="7029" spans="1:6" x14ac:dyDescent="0.3">
      <c r="A7029" s="8">
        <v>7027</v>
      </c>
      <c r="B7029" s="8" t="s">
        <v>10697</v>
      </c>
      <c r="C7029" s="8" t="s">
        <v>14130</v>
      </c>
      <c r="D7029" s="8" t="s">
        <v>14131</v>
      </c>
      <c r="E7029" s="13">
        <v>0</v>
      </c>
      <c r="F7029" s="14">
        <v>0</v>
      </c>
    </row>
    <row r="7030" spans="1:6" x14ac:dyDescent="0.3">
      <c r="A7030" s="8">
        <v>7028</v>
      </c>
      <c r="B7030" s="8" t="s">
        <v>10697</v>
      </c>
      <c r="C7030" s="8" t="s">
        <v>14132</v>
      </c>
      <c r="D7030" s="8" t="s">
        <v>14133</v>
      </c>
      <c r="E7030" s="13">
        <v>0</v>
      </c>
      <c r="F7030" s="14">
        <v>0</v>
      </c>
    </row>
    <row r="7031" spans="1:6" x14ac:dyDescent="0.3">
      <c r="A7031" s="8">
        <v>7029</v>
      </c>
      <c r="B7031" s="8" t="s">
        <v>6516</v>
      </c>
      <c r="C7031" s="8" t="s">
        <v>14134</v>
      </c>
      <c r="D7031" s="8" t="s">
        <v>14135</v>
      </c>
      <c r="E7031" s="13">
        <v>0</v>
      </c>
      <c r="F7031" s="14">
        <v>0</v>
      </c>
    </row>
    <row r="7032" spans="1:6" x14ac:dyDescent="0.3">
      <c r="A7032" s="8">
        <v>7030</v>
      </c>
      <c r="B7032" s="8" t="s">
        <v>6516</v>
      </c>
      <c r="C7032" s="8" t="s">
        <v>14136</v>
      </c>
      <c r="D7032" s="8" t="s">
        <v>14137</v>
      </c>
      <c r="E7032" s="13">
        <v>0</v>
      </c>
      <c r="F7032" s="14">
        <v>1501852</v>
      </c>
    </row>
    <row r="7033" spans="1:6" x14ac:dyDescent="0.3">
      <c r="A7033" s="8">
        <v>7031</v>
      </c>
      <c r="B7033" s="8" t="s">
        <v>6516</v>
      </c>
      <c r="C7033" s="8" t="s">
        <v>14138</v>
      </c>
      <c r="D7033" s="8" t="s">
        <v>14139</v>
      </c>
      <c r="E7033" s="13">
        <v>0</v>
      </c>
      <c r="F7033" s="14">
        <v>0</v>
      </c>
    </row>
    <row r="7034" spans="1:6" x14ac:dyDescent="0.3">
      <c r="A7034" s="8">
        <v>7032</v>
      </c>
      <c r="B7034" s="8" t="s">
        <v>6516</v>
      </c>
      <c r="C7034" s="8" t="s">
        <v>14140</v>
      </c>
      <c r="D7034" s="8" t="s">
        <v>14141</v>
      </c>
      <c r="E7034" s="13">
        <v>0</v>
      </c>
      <c r="F7034" s="14">
        <v>0</v>
      </c>
    </row>
    <row r="7035" spans="1:6" x14ac:dyDescent="0.3">
      <c r="A7035" s="8">
        <v>7033</v>
      </c>
      <c r="B7035" s="8" t="s">
        <v>6516</v>
      </c>
      <c r="C7035" s="8" t="s">
        <v>14142</v>
      </c>
      <c r="D7035" s="8" t="s">
        <v>14143</v>
      </c>
      <c r="E7035" s="13">
        <v>0</v>
      </c>
      <c r="F7035" s="14">
        <v>0</v>
      </c>
    </row>
    <row r="7036" spans="1:6" x14ac:dyDescent="0.3">
      <c r="A7036" s="8">
        <v>7034</v>
      </c>
      <c r="B7036" s="8" t="s">
        <v>6516</v>
      </c>
      <c r="C7036" s="8" t="s">
        <v>14144</v>
      </c>
      <c r="D7036" s="8" t="s">
        <v>14145</v>
      </c>
      <c r="E7036" s="13">
        <v>537000</v>
      </c>
      <c r="F7036" s="14">
        <v>1074074</v>
      </c>
    </row>
    <row r="7037" spans="1:6" x14ac:dyDescent="0.3">
      <c r="A7037" s="8">
        <v>7035</v>
      </c>
      <c r="B7037" s="8" t="s">
        <v>6516</v>
      </c>
      <c r="C7037" s="8" t="s">
        <v>14146</v>
      </c>
      <c r="D7037" s="8" t="s">
        <v>14147</v>
      </c>
      <c r="E7037" s="13">
        <v>481000</v>
      </c>
      <c r="F7037" s="14">
        <v>962037</v>
      </c>
    </row>
    <row r="7038" spans="1:6" x14ac:dyDescent="0.3">
      <c r="A7038" s="8">
        <v>7036</v>
      </c>
      <c r="B7038" s="8" t="s">
        <v>6516</v>
      </c>
      <c r="C7038" s="8" t="s">
        <v>14148</v>
      </c>
      <c r="D7038" s="8" t="s">
        <v>14149</v>
      </c>
      <c r="E7038" s="13">
        <v>0</v>
      </c>
      <c r="F7038" s="14">
        <v>1501852</v>
      </c>
    </row>
    <row r="7039" spans="1:6" x14ac:dyDescent="0.3">
      <c r="A7039" s="8">
        <v>7037</v>
      </c>
      <c r="B7039" s="8" t="s">
        <v>6516</v>
      </c>
      <c r="C7039" s="8" t="s">
        <v>14150</v>
      </c>
      <c r="D7039" s="8" t="s">
        <v>14151</v>
      </c>
      <c r="E7039" s="13">
        <v>0</v>
      </c>
      <c r="F7039" s="14">
        <v>0</v>
      </c>
    </row>
    <row r="7040" spans="1:6" x14ac:dyDescent="0.3">
      <c r="A7040" s="8">
        <v>7038</v>
      </c>
      <c r="B7040" s="8" t="s">
        <v>6516</v>
      </c>
      <c r="C7040" s="8" t="s">
        <v>14152</v>
      </c>
      <c r="D7040" s="8" t="s">
        <v>14153</v>
      </c>
      <c r="E7040" s="13">
        <v>0</v>
      </c>
      <c r="F7040" s="14">
        <v>0</v>
      </c>
    </row>
    <row r="7041" spans="1:6" x14ac:dyDescent="0.3">
      <c r="A7041" s="8">
        <v>7039</v>
      </c>
      <c r="B7041" s="8" t="s">
        <v>6516</v>
      </c>
      <c r="C7041" s="8" t="s">
        <v>14154</v>
      </c>
      <c r="D7041" s="8" t="s">
        <v>14155</v>
      </c>
      <c r="E7041" s="13">
        <v>0</v>
      </c>
      <c r="F7041" s="14">
        <v>0</v>
      </c>
    </row>
    <row r="7042" spans="1:6" x14ac:dyDescent="0.3">
      <c r="A7042" s="8">
        <v>7040</v>
      </c>
      <c r="B7042" s="8" t="s">
        <v>6516</v>
      </c>
      <c r="C7042" s="8" t="s">
        <v>14156</v>
      </c>
      <c r="D7042" s="8" t="s">
        <v>14157</v>
      </c>
      <c r="E7042" s="13">
        <v>0</v>
      </c>
      <c r="F7042" s="14">
        <v>0</v>
      </c>
    </row>
    <row r="7043" spans="1:6" x14ac:dyDescent="0.3">
      <c r="A7043" s="8">
        <v>7041</v>
      </c>
      <c r="B7043" s="8" t="s">
        <v>6516</v>
      </c>
      <c r="C7043" s="8" t="s">
        <v>14158</v>
      </c>
      <c r="D7043" s="8" t="s">
        <v>14159</v>
      </c>
      <c r="E7043" s="13">
        <v>0</v>
      </c>
      <c r="F7043" s="14">
        <v>0</v>
      </c>
    </row>
    <row r="7044" spans="1:6" x14ac:dyDescent="0.3">
      <c r="A7044" s="8">
        <v>7042</v>
      </c>
      <c r="B7044" s="8" t="s">
        <v>6516</v>
      </c>
      <c r="C7044" s="8" t="s">
        <v>14160</v>
      </c>
      <c r="D7044" s="8" t="s">
        <v>14161</v>
      </c>
      <c r="E7044" s="13">
        <v>0</v>
      </c>
      <c r="F7044" s="14">
        <v>0</v>
      </c>
    </row>
    <row r="7045" spans="1:6" x14ac:dyDescent="0.3">
      <c r="A7045" s="8">
        <v>7043</v>
      </c>
      <c r="B7045" s="8" t="s">
        <v>6516</v>
      </c>
      <c r="C7045" s="8" t="s">
        <v>14162</v>
      </c>
      <c r="D7045" s="8" t="s">
        <v>14163</v>
      </c>
      <c r="E7045" s="13">
        <v>0</v>
      </c>
      <c r="F7045" s="14">
        <v>0</v>
      </c>
    </row>
    <row r="7046" spans="1:6" x14ac:dyDescent="0.3">
      <c r="A7046" s="8">
        <v>7044</v>
      </c>
      <c r="B7046" s="8" t="s">
        <v>6516</v>
      </c>
      <c r="C7046" s="8" t="s">
        <v>14164</v>
      </c>
      <c r="D7046" s="8" t="s">
        <v>14165</v>
      </c>
      <c r="E7046" s="13">
        <v>0</v>
      </c>
      <c r="F7046" s="14">
        <v>0</v>
      </c>
    </row>
    <row r="7047" spans="1:6" x14ac:dyDescent="0.3">
      <c r="A7047" s="8">
        <v>7045</v>
      </c>
      <c r="B7047" s="8" t="s">
        <v>6516</v>
      </c>
      <c r="C7047" s="8" t="s">
        <v>14166</v>
      </c>
      <c r="D7047" s="8" t="s">
        <v>14167</v>
      </c>
      <c r="E7047" s="13">
        <v>537000</v>
      </c>
      <c r="F7047" s="14">
        <v>1074074</v>
      </c>
    </row>
    <row r="7048" spans="1:6" x14ac:dyDescent="0.3">
      <c r="A7048" s="8">
        <v>7046</v>
      </c>
      <c r="B7048" s="8" t="s">
        <v>6516</v>
      </c>
      <c r="C7048" s="8" t="s">
        <v>14168</v>
      </c>
      <c r="D7048" s="8" t="s">
        <v>14169</v>
      </c>
      <c r="E7048" s="13">
        <v>0</v>
      </c>
      <c r="F7048" s="14">
        <v>0</v>
      </c>
    </row>
    <row r="7049" spans="1:6" x14ac:dyDescent="0.3">
      <c r="A7049" s="8">
        <v>7047</v>
      </c>
      <c r="B7049" s="8" t="s">
        <v>6516</v>
      </c>
      <c r="C7049" s="8" t="s">
        <v>14170</v>
      </c>
      <c r="D7049" s="8" t="s">
        <v>14171</v>
      </c>
      <c r="E7049" s="13">
        <v>0</v>
      </c>
      <c r="F7049" s="14">
        <v>0</v>
      </c>
    </row>
    <row r="7050" spans="1:6" x14ac:dyDescent="0.3">
      <c r="A7050" s="8">
        <v>7048</v>
      </c>
      <c r="B7050" s="8" t="s">
        <v>7355</v>
      </c>
      <c r="C7050" s="8" t="s">
        <v>14172</v>
      </c>
      <c r="D7050" s="8" t="s">
        <v>14173</v>
      </c>
      <c r="E7050" s="13">
        <v>371000</v>
      </c>
      <c r="F7050" s="14">
        <v>639000</v>
      </c>
    </row>
    <row r="7051" spans="1:6" x14ac:dyDescent="0.3">
      <c r="A7051" s="8">
        <v>7049</v>
      </c>
      <c r="B7051" s="8" t="s">
        <v>7355</v>
      </c>
      <c r="C7051" s="8" t="s">
        <v>14174</v>
      </c>
      <c r="D7051" s="8" t="s">
        <v>14175</v>
      </c>
      <c r="E7051" s="13">
        <v>126000</v>
      </c>
      <c r="F7051" s="14">
        <v>252000</v>
      </c>
    </row>
    <row r="7052" spans="1:6" x14ac:dyDescent="0.3">
      <c r="A7052" s="8">
        <v>7050</v>
      </c>
      <c r="B7052" s="8" t="s">
        <v>7355</v>
      </c>
      <c r="C7052" s="8" t="s">
        <v>14176</v>
      </c>
      <c r="D7052" s="8" t="s">
        <v>14177</v>
      </c>
      <c r="E7052" s="13">
        <v>0</v>
      </c>
      <c r="F7052" s="14">
        <v>0</v>
      </c>
    </row>
    <row r="7053" spans="1:6" x14ac:dyDescent="0.3">
      <c r="A7053" s="8">
        <v>7051</v>
      </c>
      <c r="B7053" s="8" t="s">
        <v>7355</v>
      </c>
      <c r="C7053" s="8" t="s">
        <v>14178</v>
      </c>
      <c r="D7053" s="8" t="s">
        <v>14179</v>
      </c>
      <c r="E7053" s="13">
        <v>267000</v>
      </c>
      <c r="F7053" s="14">
        <v>534259</v>
      </c>
    </row>
    <row r="7054" spans="1:6" x14ac:dyDescent="0.3">
      <c r="A7054" s="8">
        <v>7052</v>
      </c>
      <c r="B7054" s="8" t="s">
        <v>6516</v>
      </c>
      <c r="C7054" s="8" t="s">
        <v>14180</v>
      </c>
      <c r="D7054" s="8" t="s">
        <v>14181</v>
      </c>
      <c r="E7054" s="13">
        <v>1205000</v>
      </c>
      <c r="F7054" s="14">
        <v>2072000</v>
      </c>
    </row>
    <row r="7055" spans="1:6" x14ac:dyDescent="0.3">
      <c r="A7055" s="8">
        <v>7053</v>
      </c>
      <c r="B7055" s="8" t="s">
        <v>6516</v>
      </c>
      <c r="C7055" s="8" t="s">
        <v>14182</v>
      </c>
      <c r="D7055" s="8" t="s">
        <v>14183</v>
      </c>
      <c r="E7055" s="13">
        <v>0</v>
      </c>
      <c r="F7055" s="14">
        <v>1213000</v>
      </c>
    </row>
    <row r="7056" spans="1:6" x14ac:dyDescent="0.3">
      <c r="A7056" s="8">
        <v>7054</v>
      </c>
      <c r="B7056" s="8" t="s">
        <v>6516</v>
      </c>
      <c r="C7056" s="8" t="s">
        <v>14184</v>
      </c>
      <c r="D7056" s="8" t="s">
        <v>14185</v>
      </c>
      <c r="E7056" s="13">
        <v>0</v>
      </c>
      <c r="F7056" s="14">
        <v>0</v>
      </c>
    </row>
    <row r="7057" spans="1:6" x14ac:dyDescent="0.3">
      <c r="A7057" s="8">
        <v>7055</v>
      </c>
      <c r="B7057" s="8" t="s">
        <v>6516</v>
      </c>
      <c r="C7057" s="8" t="s">
        <v>14186</v>
      </c>
      <c r="D7057" s="8" t="s">
        <v>14187</v>
      </c>
      <c r="E7057" s="13">
        <v>537000</v>
      </c>
      <c r="F7057" s="14">
        <v>1074074</v>
      </c>
    </row>
    <row r="7058" spans="1:6" x14ac:dyDescent="0.3">
      <c r="A7058" s="8">
        <v>7056</v>
      </c>
      <c r="B7058" s="8" t="s">
        <v>6516</v>
      </c>
      <c r="C7058" s="8" t="s">
        <v>14188</v>
      </c>
      <c r="D7058" s="8" t="s">
        <v>14189</v>
      </c>
      <c r="E7058" s="13">
        <v>0</v>
      </c>
      <c r="F7058" s="14">
        <v>0</v>
      </c>
    </row>
    <row r="7059" spans="1:6" x14ac:dyDescent="0.3">
      <c r="A7059" s="8">
        <v>7057</v>
      </c>
      <c r="B7059" s="8" t="s">
        <v>6516</v>
      </c>
      <c r="C7059" s="8" t="s">
        <v>14190</v>
      </c>
      <c r="D7059" s="8" t="s">
        <v>14191</v>
      </c>
      <c r="E7059" s="13">
        <v>0</v>
      </c>
      <c r="F7059" s="14">
        <v>0</v>
      </c>
    </row>
    <row r="7060" spans="1:6" x14ac:dyDescent="0.3">
      <c r="A7060" s="8">
        <v>7058</v>
      </c>
      <c r="B7060" s="8" t="s">
        <v>6516</v>
      </c>
      <c r="C7060" s="8" t="s">
        <v>14192</v>
      </c>
      <c r="D7060" s="8" t="s">
        <v>14193</v>
      </c>
      <c r="E7060" s="13">
        <v>0</v>
      </c>
      <c r="F7060" s="14">
        <v>0</v>
      </c>
    </row>
    <row r="7061" spans="1:6" x14ac:dyDescent="0.3">
      <c r="A7061" s="8">
        <v>7059</v>
      </c>
      <c r="B7061" s="8" t="s">
        <v>6516</v>
      </c>
      <c r="C7061" s="8" t="s">
        <v>14194</v>
      </c>
      <c r="D7061" s="8" t="s">
        <v>14195</v>
      </c>
      <c r="E7061" s="13">
        <v>0</v>
      </c>
      <c r="F7061" s="14">
        <v>1502000</v>
      </c>
    </row>
    <row r="7062" spans="1:6" x14ac:dyDescent="0.3">
      <c r="A7062" s="8">
        <v>7060</v>
      </c>
      <c r="B7062" s="8" t="s">
        <v>6516</v>
      </c>
      <c r="C7062" s="8" t="s">
        <v>14196</v>
      </c>
      <c r="D7062" s="8" t="s">
        <v>14197</v>
      </c>
      <c r="E7062" s="13">
        <v>0</v>
      </c>
      <c r="F7062" s="14">
        <v>0</v>
      </c>
    </row>
    <row r="7063" spans="1:6" x14ac:dyDescent="0.3">
      <c r="A7063" s="8">
        <v>7061</v>
      </c>
      <c r="B7063" s="8" t="s">
        <v>6516</v>
      </c>
      <c r="C7063" s="8" t="s">
        <v>14198</v>
      </c>
      <c r="D7063" s="8" t="s">
        <v>14199</v>
      </c>
      <c r="E7063" s="13">
        <v>0</v>
      </c>
      <c r="F7063" s="14">
        <v>0</v>
      </c>
    </row>
    <row r="7064" spans="1:6" x14ac:dyDescent="0.3">
      <c r="A7064" s="8">
        <v>7062</v>
      </c>
      <c r="B7064" s="8" t="s">
        <v>6516</v>
      </c>
      <c r="C7064" s="8" t="s">
        <v>14200</v>
      </c>
      <c r="D7064" s="8" t="s">
        <v>14201</v>
      </c>
      <c r="E7064" s="13">
        <v>0</v>
      </c>
      <c r="F7064" s="14">
        <v>0</v>
      </c>
    </row>
    <row r="7065" spans="1:6" x14ac:dyDescent="0.3">
      <c r="A7065" s="8">
        <v>7063</v>
      </c>
      <c r="B7065" s="8" t="s">
        <v>6516</v>
      </c>
      <c r="C7065" s="8" t="s">
        <v>14202</v>
      </c>
      <c r="D7065" s="8" t="s">
        <v>14203</v>
      </c>
      <c r="E7065" s="13">
        <v>0</v>
      </c>
      <c r="F7065" s="14">
        <v>1501852</v>
      </c>
    </row>
    <row r="7066" spans="1:6" x14ac:dyDescent="0.3">
      <c r="A7066" s="8">
        <v>7064</v>
      </c>
      <c r="B7066" s="8" t="s">
        <v>6516</v>
      </c>
      <c r="C7066" s="8" t="s">
        <v>14204</v>
      </c>
      <c r="D7066" s="8" t="s">
        <v>14205</v>
      </c>
      <c r="E7066" s="13">
        <v>0</v>
      </c>
      <c r="F7066" s="14">
        <v>1733333</v>
      </c>
    </row>
    <row r="7067" spans="1:6" x14ac:dyDescent="0.3">
      <c r="A7067" s="8">
        <v>7065</v>
      </c>
      <c r="B7067" s="8" t="s">
        <v>6516</v>
      </c>
      <c r="C7067" s="8" t="s">
        <v>14206</v>
      </c>
      <c r="D7067" s="8" t="s">
        <v>14207</v>
      </c>
      <c r="E7067" s="13">
        <v>0</v>
      </c>
      <c r="F7067" s="14">
        <v>0</v>
      </c>
    </row>
    <row r="7068" spans="1:6" x14ac:dyDescent="0.3">
      <c r="A7068" s="8">
        <v>7066</v>
      </c>
      <c r="B7068" s="8" t="s">
        <v>6516</v>
      </c>
      <c r="C7068" s="8" t="s">
        <v>14208</v>
      </c>
      <c r="D7068" s="8" t="s">
        <v>14209</v>
      </c>
      <c r="E7068" s="13">
        <v>0</v>
      </c>
      <c r="F7068" s="14">
        <v>0</v>
      </c>
    </row>
    <row r="7069" spans="1:6" x14ac:dyDescent="0.3">
      <c r="A7069" s="8">
        <v>7067</v>
      </c>
      <c r="B7069" s="8" t="s">
        <v>6516</v>
      </c>
      <c r="C7069" s="8" t="s">
        <v>14210</v>
      </c>
      <c r="D7069" s="8" t="s">
        <v>14211</v>
      </c>
      <c r="E7069" s="13">
        <v>0</v>
      </c>
      <c r="F7069" s="14">
        <v>0</v>
      </c>
    </row>
    <row r="7070" spans="1:6" x14ac:dyDescent="0.3">
      <c r="A7070" s="8">
        <v>7068</v>
      </c>
      <c r="B7070" s="8" t="s">
        <v>6516</v>
      </c>
      <c r="C7070" s="8" t="s">
        <v>14212</v>
      </c>
      <c r="D7070" s="8" t="s">
        <v>14213</v>
      </c>
      <c r="E7070" s="13">
        <v>0</v>
      </c>
      <c r="F7070" s="14">
        <v>0</v>
      </c>
    </row>
    <row r="7071" spans="1:6" x14ac:dyDescent="0.3">
      <c r="A7071" s="8">
        <v>7069</v>
      </c>
      <c r="B7071" s="8" t="s">
        <v>6516</v>
      </c>
      <c r="C7071" s="8" t="s">
        <v>14214</v>
      </c>
      <c r="D7071" s="8" t="s">
        <v>14215</v>
      </c>
      <c r="E7071" s="13">
        <v>0</v>
      </c>
      <c r="F7071" s="14">
        <v>0</v>
      </c>
    </row>
    <row r="7072" spans="1:6" x14ac:dyDescent="0.3">
      <c r="A7072" s="8">
        <v>7070</v>
      </c>
      <c r="B7072" s="8" t="s">
        <v>6516</v>
      </c>
      <c r="C7072" s="8" t="s">
        <v>14216</v>
      </c>
      <c r="D7072" s="8" t="s">
        <v>14217</v>
      </c>
      <c r="E7072" s="13">
        <v>0</v>
      </c>
      <c r="F7072" s="14">
        <v>0</v>
      </c>
    </row>
    <row r="7073" spans="1:6" x14ac:dyDescent="0.3">
      <c r="A7073" s="8">
        <v>7071</v>
      </c>
      <c r="B7073" s="8" t="s">
        <v>6516</v>
      </c>
      <c r="C7073" s="8" t="s">
        <v>14218</v>
      </c>
      <c r="D7073" s="8" t="s">
        <v>14219</v>
      </c>
      <c r="E7073" s="13">
        <v>0</v>
      </c>
      <c r="F7073" s="14">
        <v>1212963</v>
      </c>
    </row>
    <row r="7074" spans="1:6" x14ac:dyDescent="0.3">
      <c r="A7074" s="8">
        <v>7072</v>
      </c>
      <c r="B7074" s="8" t="s">
        <v>6516</v>
      </c>
      <c r="C7074" s="8" t="s">
        <v>14220</v>
      </c>
      <c r="D7074" s="8" t="s">
        <v>14221</v>
      </c>
      <c r="E7074" s="13">
        <v>509000</v>
      </c>
      <c r="F7074" s="14">
        <v>1017593</v>
      </c>
    </row>
    <row r="7075" spans="1:6" x14ac:dyDescent="0.3">
      <c r="A7075" s="8">
        <v>7073</v>
      </c>
      <c r="B7075" s="8" t="s">
        <v>6516</v>
      </c>
      <c r="C7075" s="8" t="s">
        <v>14222</v>
      </c>
      <c r="D7075" s="8" t="s">
        <v>14223</v>
      </c>
      <c r="E7075" s="13">
        <v>495000</v>
      </c>
      <c r="F7075" s="14">
        <v>989815</v>
      </c>
    </row>
    <row r="7076" spans="1:6" x14ac:dyDescent="0.3">
      <c r="A7076" s="8">
        <v>7074</v>
      </c>
      <c r="B7076" s="8" t="s">
        <v>6516</v>
      </c>
      <c r="C7076" s="8" t="s">
        <v>14224</v>
      </c>
      <c r="D7076" s="8" t="s">
        <v>14225</v>
      </c>
      <c r="E7076" s="13">
        <v>481000</v>
      </c>
      <c r="F7076" s="14">
        <v>962037</v>
      </c>
    </row>
    <row r="7077" spans="1:6" x14ac:dyDescent="0.3">
      <c r="A7077" s="8">
        <v>7075</v>
      </c>
      <c r="B7077" s="8" t="s">
        <v>9478</v>
      </c>
      <c r="C7077" s="8" t="s">
        <v>14226</v>
      </c>
      <c r="D7077" s="8" t="s">
        <v>14227</v>
      </c>
      <c r="E7077" s="13">
        <v>88900</v>
      </c>
      <c r="F7077" s="14">
        <v>177778</v>
      </c>
    </row>
    <row r="7078" spans="1:6" x14ac:dyDescent="0.3">
      <c r="A7078" s="8">
        <v>7076</v>
      </c>
      <c r="B7078" s="8" t="s">
        <v>9478</v>
      </c>
      <c r="C7078" s="8" t="s">
        <v>14228</v>
      </c>
      <c r="D7078" s="8" t="s">
        <v>14229</v>
      </c>
      <c r="E7078" s="13">
        <v>205000</v>
      </c>
      <c r="F7078" s="14">
        <v>410185</v>
      </c>
    </row>
    <row r="7079" spans="1:6" x14ac:dyDescent="0.3">
      <c r="A7079" s="8">
        <v>7077</v>
      </c>
      <c r="B7079" s="8" t="s">
        <v>9478</v>
      </c>
      <c r="C7079" s="8" t="s">
        <v>14230</v>
      </c>
      <c r="D7079" s="8" t="s">
        <v>14231</v>
      </c>
      <c r="E7079" s="13">
        <v>0</v>
      </c>
      <c r="F7079" s="14">
        <v>0</v>
      </c>
    </row>
    <row r="7080" spans="1:6" x14ac:dyDescent="0.3">
      <c r="A7080" s="8">
        <v>7078</v>
      </c>
      <c r="B7080" s="8" t="s">
        <v>9478</v>
      </c>
      <c r="C7080" s="8" t="s">
        <v>14232</v>
      </c>
      <c r="D7080" s="8" t="s">
        <v>14233</v>
      </c>
      <c r="E7080" s="13">
        <v>88900</v>
      </c>
      <c r="F7080" s="14">
        <v>177778</v>
      </c>
    </row>
    <row r="7081" spans="1:6" x14ac:dyDescent="0.3">
      <c r="A7081" s="8">
        <v>7079</v>
      </c>
      <c r="B7081" s="8" t="s">
        <v>9478</v>
      </c>
      <c r="C7081" s="8" t="s">
        <v>14234</v>
      </c>
      <c r="D7081" s="8" t="s">
        <v>14235</v>
      </c>
      <c r="E7081" s="13">
        <v>0</v>
      </c>
      <c r="F7081" s="14">
        <v>0</v>
      </c>
    </row>
    <row r="7082" spans="1:6" x14ac:dyDescent="0.3">
      <c r="A7082" s="8">
        <v>7080</v>
      </c>
      <c r="B7082" s="8" t="s">
        <v>9478</v>
      </c>
      <c r="C7082" s="8" t="s">
        <v>14236</v>
      </c>
      <c r="D7082" s="8" t="s">
        <v>14237</v>
      </c>
      <c r="E7082" s="13">
        <v>0</v>
      </c>
      <c r="F7082" s="14">
        <v>0</v>
      </c>
    </row>
    <row r="7083" spans="1:6" x14ac:dyDescent="0.3">
      <c r="A7083" s="8">
        <v>7081</v>
      </c>
      <c r="B7083" s="8" t="s">
        <v>9478</v>
      </c>
      <c r="C7083" s="8" t="s">
        <v>14238</v>
      </c>
      <c r="D7083" s="8" t="s">
        <v>14239</v>
      </c>
      <c r="E7083" s="13">
        <v>0</v>
      </c>
      <c r="F7083" s="14">
        <v>0</v>
      </c>
    </row>
    <row r="7084" spans="1:6" x14ac:dyDescent="0.3">
      <c r="A7084" s="8">
        <v>7082</v>
      </c>
      <c r="B7084" s="8" t="s">
        <v>9478</v>
      </c>
      <c r="C7084" s="8" t="s">
        <v>14240</v>
      </c>
      <c r="D7084" s="8" t="s">
        <v>14241</v>
      </c>
      <c r="E7084" s="13">
        <v>0</v>
      </c>
      <c r="F7084" s="14">
        <v>0</v>
      </c>
    </row>
    <row r="7085" spans="1:6" x14ac:dyDescent="0.3">
      <c r="A7085" s="8">
        <v>7083</v>
      </c>
      <c r="B7085" s="8" t="s">
        <v>9478</v>
      </c>
      <c r="C7085" s="8" t="s">
        <v>14242</v>
      </c>
      <c r="D7085" s="8" t="s">
        <v>14243</v>
      </c>
      <c r="E7085" s="13">
        <v>0</v>
      </c>
      <c r="F7085" s="14">
        <v>0</v>
      </c>
    </row>
    <row r="7086" spans="1:6" x14ac:dyDescent="0.3">
      <c r="A7086" s="8">
        <v>7084</v>
      </c>
      <c r="B7086" s="8" t="s">
        <v>9478</v>
      </c>
      <c r="C7086" s="8" t="s">
        <v>14244</v>
      </c>
      <c r="D7086" s="8" t="s">
        <v>14245</v>
      </c>
      <c r="E7086" s="13">
        <v>0</v>
      </c>
      <c r="F7086" s="14">
        <v>0</v>
      </c>
    </row>
    <row r="7087" spans="1:6" x14ac:dyDescent="0.3">
      <c r="A7087" s="8">
        <v>7085</v>
      </c>
      <c r="B7087" s="8" t="s">
        <v>9478</v>
      </c>
      <c r="C7087" s="8" t="s">
        <v>14246</v>
      </c>
      <c r="D7087" s="8" t="s">
        <v>14247</v>
      </c>
      <c r="E7087" s="13">
        <v>0</v>
      </c>
      <c r="F7087" s="14">
        <v>0</v>
      </c>
    </row>
    <row r="7088" spans="1:6" x14ac:dyDescent="0.3">
      <c r="A7088" s="8">
        <v>7086</v>
      </c>
      <c r="B7088" s="8" t="s">
        <v>9478</v>
      </c>
      <c r="C7088" s="8" t="s">
        <v>14248</v>
      </c>
      <c r="D7088" s="8" t="s">
        <v>14249</v>
      </c>
      <c r="E7088" s="13">
        <v>0</v>
      </c>
      <c r="F7088" s="14">
        <v>0</v>
      </c>
    </row>
    <row r="7089" spans="1:6" x14ac:dyDescent="0.3">
      <c r="A7089" s="8">
        <v>7087</v>
      </c>
      <c r="B7089" s="8" t="s">
        <v>9478</v>
      </c>
      <c r="C7089" s="8" t="s">
        <v>14250</v>
      </c>
      <c r="D7089" s="8" t="s">
        <v>14251</v>
      </c>
      <c r="E7089" s="13">
        <v>0</v>
      </c>
      <c r="F7089" s="14">
        <v>0</v>
      </c>
    </row>
    <row r="7090" spans="1:6" x14ac:dyDescent="0.3">
      <c r="A7090" s="8">
        <v>7088</v>
      </c>
      <c r="B7090" s="8" t="s">
        <v>9478</v>
      </c>
      <c r="C7090" s="8" t="s">
        <v>14252</v>
      </c>
      <c r="D7090" s="8" t="s">
        <v>78</v>
      </c>
      <c r="E7090" s="13">
        <v>157000</v>
      </c>
      <c r="F7090" s="14">
        <v>313889</v>
      </c>
    </row>
    <row r="7091" spans="1:6" x14ac:dyDescent="0.3">
      <c r="A7091" s="8">
        <v>7089</v>
      </c>
      <c r="B7091" s="8" t="s">
        <v>9478</v>
      </c>
      <c r="C7091" s="8" t="s">
        <v>14253</v>
      </c>
      <c r="D7091" s="8" t="s">
        <v>14254</v>
      </c>
      <c r="E7091" s="13">
        <v>0</v>
      </c>
      <c r="F7091" s="14">
        <v>0</v>
      </c>
    </row>
    <row r="7092" spans="1:6" x14ac:dyDescent="0.3">
      <c r="A7092" s="8">
        <v>7090</v>
      </c>
      <c r="B7092" s="8" t="s">
        <v>9478</v>
      </c>
      <c r="C7092" s="8" t="s">
        <v>14255</v>
      </c>
      <c r="D7092" s="8" t="s">
        <v>14256</v>
      </c>
      <c r="E7092" s="13">
        <v>0</v>
      </c>
      <c r="F7092" s="14">
        <v>0</v>
      </c>
    </row>
    <row r="7093" spans="1:6" x14ac:dyDescent="0.3">
      <c r="A7093" s="8">
        <v>7091</v>
      </c>
      <c r="B7093" s="8" t="s">
        <v>9478</v>
      </c>
      <c r="C7093" s="8" t="s">
        <v>14257</v>
      </c>
      <c r="D7093" s="8" t="s">
        <v>14258</v>
      </c>
      <c r="E7093" s="13">
        <v>0</v>
      </c>
      <c r="F7093" s="14">
        <v>0</v>
      </c>
    </row>
    <row r="7094" spans="1:6" x14ac:dyDescent="0.3">
      <c r="A7094" s="8">
        <v>7092</v>
      </c>
      <c r="B7094" s="8" t="s">
        <v>9478</v>
      </c>
      <c r="C7094" s="8" t="s">
        <v>14259</v>
      </c>
      <c r="D7094" s="8" t="s">
        <v>14260</v>
      </c>
      <c r="E7094" s="13">
        <v>0</v>
      </c>
      <c r="F7094" s="14">
        <v>0</v>
      </c>
    </row>
    <row r="7095" spans="1:6" x14ac:dyDescent="0.3">
      <c r="A7095" s="8">
        <v>7093</v>
      </c>
      <c r="B7095" s="8" t="s">
        <v>9478</v>
      </c>
      <c r="C7095" s="8" t="s">
        <v>14261</v>
      </c>
      <c r="D7095" s="8" t="s">
        <v>14262</v>
      </c>
      <c r="E7095" s="13">
        <v>0</v>
      </c>
      <c r="F7095" s="14">
        <v>0</v>
      </c>
    </row>
    <row r="7096" spans="1:6" x14ac:dyDescent="0.3">
      <c r="A7096" s="8">
        <v>7094</v>
      </c>
      <c r="B7096" s="8" t="s">
        <v>9478</v>
      </c>
      <c r="C7096" s="8" t="s">
        <v>14263</v>
      </c>
      <c r="D7096" s="8" t="s">
        <v>14264</v>
      </c>
      <c r="E7096" s="13">
        <v>0</v>
      </c>
      <c r="F7096" s="14">
        <v>0</v>
      </c>
    </row>
    <row r="7097" spans="1:6" x14ac:dyDescent="0.3">
      <c r="A7097" s="8">
        <v>7095</v>
      </c>
      <c r="B7097" s="8" t="s">
        <v>9478</v>
      </c>
      <c r="C7097" s="8" t="s">
        <v>14265</v>
      </c>
      <c r="D7097" s="8" t="s">
        <v>14266</v>
      </c>
      <c r="E7097" s="13">
        <v>0</v>
      </c>
      <c r="F7097" s="14">
        <v>0</v>
      </c>
    </row>
    <row r="7098" spans="1:6" x14ac:dyDescent="0.3">
      <c r="A7098" s="8">
        <v>7096</v>
      </c>
      <c r="B7098" s="8" t="s">
        <v>9478</v>
      </c>
      <c r="C7098" s="8" t="s">
        <v>14267</v>
      </c>
      <c r="D7098" s="8" t="s">
        <v>14268</v>
      </c>
      <c r="E7098" s="13">
        <v>0</v>
      </c>
      <c r="F7098" s="14">
        <v>0</v>
      </c>
    </row>
    <row r="7099" spans="1:6" x14ac:dyDescent="0.3">
      <c r="A7099" s="8">
        <v>7097</v>
      </c>
      <c r="B7099" s="8" t="s">
        <v>9478</v>
      </c>
      <c r="C7099" s="8" t="s">
        <v>14269</v>
      </c>
      <c r="D7099" s="8" t="s">
        <v>14270</v>
      </c>
      <c r="E7099" s="13">
        <v>0</v>
      </c>
      <c r="F7099" s="14">
        <v>0</v>
      </c>
    </row>
    <row r="7100" spans="1:6" x14ac:dyDescent="0.3">
      <c r="A7100" s="8">
        <v>7098</v>
      </c>
      <c r="B7100" s="8" t="s">
        <v>9478</v>
      </c>
      <c r="C7100" s="8" t="s">
        <v>14271</v>
      </c>
      <c r="D7100" s="8" t="s">
        <v>14272</v>
      </c>
      <c r="E7100" s="13">
        <v>0</v>
      </c>
      <c r="F7100" s="14">
        <v>0</v>
      </c>
    </row>
    <row r="7101" spans="1:6" x14ac:dyDescent="0.3">
      <c r="A7101" s="8">
        <v>7099</v>
      </c>
      <c r="B7101" s="8" t="s">
        <v>9478</v>
      </c>
      <c r="C7101" s="8" t="s">
        <v>14273</v>
      </c>
      <c r="D7101" s="8" t="s">
        <v>14274</v>
      </c>
      <c r="E7101" s="13">
        <v>0</v>
      </c>
      <c r="F7101" s="14">
        <v>0</v>
      </c>
    </row>
    <row r="7102" spans="1:6" x14ac:dyDescent="0.3">
      <c r="A7102" s="8">
        <v>7100</v>
      </c>
      <c r="B7102" s="8" t="s">
        <v>9478</v>
      </c>
      <c r="C7102" s="8" t="s">
        <v>14275</v>
      </c>
      <c r="D7102" s="8" t="s">
        <v>14276</v>
      </c>
      <c r="E7102" s="13">
        <v>0</v>
      </c>
      <c r="F7102" s="14">
        <v>0</v>
      </c>
    </row>
    <row r="7103" spans="1:6" x14ac:dyDescent="0.3">
      <c r="A7103" s="8">
        <v>7101</v>
      </c>
      <c r="B7103" s="8" t="s">
        <v>10667</v>
      </c>
      <c r="C7103" s="8" t="s">
        <v>14277</v>
      </c>
      <c r="D7103" s="8" t="s">
        <v>14278</v>
      </c>
      <c r="E7103" s="13">
        <v>0</v>
      </c>
      <c r="F7103" s="14">
        <v>0</v>
      </c>
    </row>
    <row r="7104" spans="1:6" x14ac:dyDescent="0.3">
      <c r="A7104" s="8">
        <v>7102</v>
      </c>
      <c r="B7104" s="8" t="s">
        <v>10667</v>
      </c>
      <c r="C7104" s="8" t="s">
        <v>14279</v>
      </c>
      <c r="D7104" s="8" t="s">
        <v>14280</v>
      </c>
      <c r="E7104" s="13">
        <v>0</v>
      </c>
      <c r="F7104" s="14">
        <v>0</v>
      </c>
    </row>
    <row r="7105" spans="1:6" x14ac:dyDescent="0.3">
      <c r="A7105" s="8">
        <v>7103</v>
      </c>
      <c r="B7105" s="8" t="s">
        <v>10667</v>
      </c>
      <c r="C7105" s="8" t="s">
        <v>14281</v>
      </c>
      <c r="D7105" s="8" t="s">
        <v>14282</v>
      </c>
      <c r="E7105" s="13">
        <v>0</v>
      </c>
      <c r="F7105" s="14">
        <v>0</v>
      </c>
    </row>
    <row r="7106" spans="1:6" x14ac:dyDescent="0.3">
      <c r="A7106" s="8">
        <v>7104</v>
      </c>
      <c r="B7106" s="8" t="s">
        <v>10667</v>
      </c>
      <c r="C7106" s="8" t="s">
        <v>14283</v>
      </c>
      <c r="D7106" s="8" t="s">
        <v>14284</v>
      </c>
      <c r="E7106" s="13">
        <v>0</v>
      </c>
      <c r="F7106" s="14">
        <v>0</v>
      </c>
    </row>
    <row r="7107" spans="1:6" x14ac:dyDescent="0.3">
      <c r="A7107" s="8">
        <v>7105</v>
      </c>
      <c r="B7107" s="8" t="s">
        <v>10667</v>
      </c>
      <c r="C7107" s="8" t="s">
        <v>14285</v>
      </c>
      <c r="D7107" s="8" t="s">
        <v>14286</v>
      </c>
      <c r="E7107" s="13">
        <v>0</v>
      </c>
      <c r="F7107" s="14">
        <v>0</v>
      </c>
    </row>
    <row r="7108" spans="1:6" x14ac:dyDescent="0.3">
      <c r="A7108" s="8">
        <v>7106</v>
      </c>
      <c r="B7108" s="8" t="s">
        <v>7368</v>
      </c>
      <c r="C7108" s="8" t="s">
        <v>14287</v>
      </c>
      <c r="D7108" s="8" t="s">
        <v>14288</v>
      </c>
      <c r="E7108" s="13">
        <v>0</v>
      </c>
      <c r="F7108" s="14">
        <v>0</v>
      </c>
    </row>
    <row r="7109" spans="1:6" x14ac:dyDescent="0.3">
      <c r="A7109" s="8">
        <v>7107</v>
      </c>
      <c r="B7109" s="8" t="s">
        <v>7368</v>
      </c>
      <c r="C7109" s="8" t="s">
        <v>14289</v>
      </c>
      <c r="D7109" s="8" t="s">
        <v>14290</v>
      </c>
      <c r="E7109" s="13">
        <v>35400</v>
      </c>
      <c r="F7109" s="14">
        <v>70833</v>
      </c>
    </row>
    <row r="7110" spans="1:6" x14ac:dyDescent="0.3">
      <c r="A7110" s="8">
        <v>7108</v>
      </c>
      <c r="B7110" s="8" t="s">
        <v>7368</v>
      </c>
      <c r="C7110" s="8" t="s">
        <v>14291</v>
      </c>
      <c r="D7110" s="8" t="s">
        <v>14292</v>
      </c>
      <c r="E7110" s="13">
        <v>35400</v>
      </c>
      <c r="F7110" s="14">
        <v>70833</v>
      </c>
    </row>
    <row r="7111" spans="1:6" x14ac:dyDescent="0.3">
      <c r="A7111" s="8">
        <v>7109</v>
      </c>
      <c r="B7111" s="8" t="s">
        <v>7368</v>
      </c>
      <c r="C7111" s="8" t="s">
        <v>14293</v>
      </c>
      <c r="D7111" s="8" t="s">
        <v>14294</v>
      </c>
      <c r="E7111" s="13">
        <v>0</v>
      </c>
      <c r="F7111" s="14">
        <v>0</v>
      </c>
    </row>
    <row r="7112" spans="1:6" x14ac:dyDescent="0.3">
      <c r="A7112" s="8">
        <v>7110</v>
      </c>
      <c r="B7112" s="8" t="s">
        <v>7368</v>
      </c>
      <c r="C7112" s="8" t="s">
        <v>14295</v>
      </c>
      <c r="D7112" s="8" t="s">
        <v>14296</v>
      </c>
      <c r="E7112" s="13">
        <v>0</v>
      </c>
      <c r="F7112" s="14">
        <v>0</v>
      </c>
    </row>
    <row r="7113" spans="1:6" x14ac:dyDescent="0.3">
      <c r="A7113" s="8">
        <v>7111</v>
      </c>
      <c r="B7113" s="8" t="s">
        <v>7368</v>
      </c>
      <c r="C7113" s="8" t="s">
        <v>14297</v>
      </c>
      <c r="D7113" s="8" t="s">
        <v>14298</v>
      </c>
      <c r="E7113" s="13">
        <v>0</v>
      </c>
      <c r="F7113" s="14">
        <v>0</v>
      </c>
    </row>
    <row r="7114" spans="1:6" x14ac:dyDescent="0.3">
      <c r="A7114" s="8">
        <v>7112</v>
      </c>
      <c r="B7114" s="8" t="s">
        <v>7368</v>
      </c>
      <c r="C7114" s="8" t="s">
        <v>14299</v>
      </c>
      <c r="D7114" s="8" t="s">
        <v>14300</v>
      </c>
      <c r="E7114" s="13">
        <v>0</v>
      </c>
      <c r="F7114" s="14">
        <v>0</v>
      </c>
    </row>
    <row r="7115" spans="1:6" x14ac:dyDescent="0.3">
      <c r="A7115" s="8">
        <v>7113</v>
      </c>
      <c r="B7115" s="8" t="s">
        <v>12392</v>
      </c>
      <c r="C7115" s="8" t="s">
        <v>14301</v>
      </c>
      <c r="D7115" s="8" t="s">
        <v>14302</v>
      </c>
      <c r="E7115" s="13">
        <v>105000</v>
      </c>
      <c r="F7115" s="14">
        <v>210185</v>
      </c>
    </row>
    <row r="7116" spans="1:6" x14ac:dyDescent="0.3">
      <c r="A7116" s="8">
        <v>7114</v>
      </c>
      <c r="B7116" s="8" t="s">
        <v>7681</v>
      </c>
      <c r="C7116" s="8" t="s">
        <v>14303</v>
      </c>
      <c r="D7116" s="8" t="s">
        <v>14304</v>
      </c>
      <c r="E7116" s="13">
        <v>0</v>
      </c>
      <c r="F7116" s="14">
        <v>0</v>
      </c>
    </row>
    <row r="7117" spans="1:6" x14ac:dyDescent="0.3">
      <c r="A7117" s="8">
        <v>7115</v>
      </c>
      <c r="B7117" s="8" t="s">
        <v>7681</v>
      </c>
      <c r="C7117" s="8" t="s">
        <v>14305</v>
      </c>
      <c r="D7117" s="8" t="s">
        <v>14306</v>
      </c>
      <c r="E7117" s="13">
        <v>13200</v>
      </c>
      <c r="F7117" s="14">
        <v>23000</v>
      </c>
    </row>
    <row r="7118" spans="1:6" x14ac:dyDescent="0.3">
      <c r="A7118" s="8">
        <v>7116</v>
      </c>
      <c r="B7118" s="8" t="s">
        <v>7681</v>
      </c>
      <c r="C7118" s="8" t="s">
        <v>14307</v>
      </c>
      <c r="D7118" s="8" t="s">
        <v>14308</v>
      </c>
      <c r="E7118" s="13">
        <v>73000</v>
      </c>
      <c r="F7118" s="14">
        <v>146000</v>
      </c>
    </row>
    <row r="7119" spans="1:6" x14ac:dyDescent="0.3">
      <c r="A7119" s="8">
        <v>7117</v>
      </c>
      <c r="B7119" s="8" t="s">
        <v>7681</v>
      </c>
      <c r="C7119" s="8" t="s">
        <v>14309</v>
      </c>
      <c r="D7119" s="8" t="s">
        <v>14310</v>
      </c>
      <c r="E7119" s="13">
        <v>0</v>
      </c>
      <c r="F7119" s="14">
        <v>0</v>
      </c>
    </row>
    <row r="7120" spans="1:6" x14ac:dyDescent="0.3">
      <c r="A7120" s="8">
        <v>7118</v>
      </c>
      <c r="B7120" s="8" t="s">
        <v>7681</v>
      </c>
      <c r="C7120" s="8" t="s">
        <v>14311</v>
      </c>
      <c r="D7120" s="8" t="s">
        <v>14312</v>
      </c>
      <c r="E7120" s="13">
        <v>104000</v>
      </c>
      <c r="F7120" s="14">
        <v>208000</v>
      </c>
    </row>
    <row r="7121" spans="1:6" x14ac:dyDescent="0.3">
      <c r="A7121" s="8">
        <v>7119</v>
      </c>
      <c r="B7121" s="8" t="s">
        <v>7681</v>
      </c>
      <c r="C7121" s="8" t="s">
        <v>14313</v>
      </c>
      <c r="D7121" s="8" t="s">
        <v>14314</v>
      </c>
      <c r="E7121" s="13">
        <v>0</v>
      </c>
      <c r="F7121" s="14">
        <v>0</v>
      </c>
    </row>
    <row r="7122" spans="1:6" x14ac:dyDescent="0.3">
      <c r="A7122" s="8">
        <v>7120</v>
      </c>
      <c r="B7122" s="8" t="s">
        <v>7681</v>
      </c>
      <c r="C7122" s="8" t="s">
        <v>14315</v>
      </c>
      <c r="D7122" s="8" t="s">
        <v>14316</v>
      </c>
      <c r="E7122" s="13">
        <v>0</v>
      </c>
      <c r="F7122" s="14">
        <v>0</v>
      </c>
    </row>
    <row r="7123" spans="1:6" x14ac:dyDescent="0.3">
      <c r="A7123" s="8">
        <v>7121</v>
      </c>
      <c r="B7123" s="8" t="s">
        <v>7681</v>
      </c>
      <c r="C7123" s="8" t="s">
        <v>14317</v>
      </c>
      <c r="D7123" s="8" t="s">
        <v>14318</v>
      </c>
      <c r="E7123" s="13">
        <v>1050000</v>
      </c>
      <c r="F7123" s="14">
        <v>2100000</v>
      </c>
    </row>
    <row r="7124" spans="1:6" x14ac:dyDescent="0.3">
      <c r="A7124" s="8">
        <v>7122</v>
      </c>
      <c r="B7124" s="8" t="s">
        <v>7681</v>
      </c>
      <c r="C7124" s="8" t="s">
        <v>14319</v>
      </c>
      <c r="D7124" s="8" t="s">
        <v>14320</v>
      </c>
      <c r="E7124" s="13">
        <v>0</v>
      </c>
      <c r="F7124" s="14">
        <v>0</v>
      </c>
    </row>
    <row r="7125" spans="1:6" x14ac:dyDescent="0.3">
      <c r="A7125" s="8">
        <v>7123</v>
      </c>
      <c r="B7125" s="8" t="s">
        <v>7681</v>
      </c>
      <c r="C7125" s="8" t="s">
        <v>14321</v>
      </c>
      <c r="D7125" s="8" t="s">
        <v>14322</v>
      </c>
      <c r="E7125" s="13">
        <v>54000</v>
      </c>
      <c r="F7125" s="14">
        <v>108333</v>
      </c>
    </row>
    <row r="7126" spans="1:6" x14ac:dyDescent="0.3">
      <c r="A7126" s="8">
        <v>7124</v>
      </c>
      <c r="B7126" s="8" t="s">
        <v>7694</v>
      </c>
      <c r="C7126" s="8" t="s">
        <v>14323</v>
      </c>
      <c r="D7126" s="8" t="s">
        <v>14324</v>
      </c>
      <c r="E7126" s="13">
        <v>0</v>
      </c>
      <c r="F7126" s="14">
        <v>0</v>
      </c>
    </row>
    <row r="7127" spans="1:6" x14ac:dyDescent="0.3">
      <c r="A7127" s="8">
        <v>7125</v>
      </c>
      <c r="B7127" s="8" t="s">
        <v>7694</v>
      </c>
      <c r="C7127" s="8" t="s">
        <v>14325</v>
      </c>
      <c r="D7127" s="8" t="s">
        <v>14326</v>
      </c>
      <c r="E7127" s="13">
        <v>230000</v>
      </c>
      <c r="F7127" s="14">
        <v>460185</v>
      </c>
    </row>
    <row r="7128" spans="1:6" x14ac:dyDescent="0.3">
      <c r="A7128" s="8">
        <v>7126</v>
      </c>
      <c r="B7128" s="8" t="s">
        <v>7694</v>
      </c>
      <c r="C7128" s="8" t="s">
        <v>14327</v>
      </c>
      <c r="D7128" s="8" t="s">
        <v>14328</v>
      </c>
      <c r="E7128" s="13">
        <v>206500</v>
      </c>
      <c r="F7128" s="14">
        <v>372222</v>
      </c>
    </row>
    <row r="7129" spans="1:6" x14ac:dyDescent="0.3">
      <c r="A7129" s="8">
        <v>7127</v>
      </c>
      <c r="B7129" s="8" t="s">
        <v>7694</v>
      </c>
      <c r="C7129" s="8" t="s">
        <v>14329</v>
      </c>
      <c r="D7129" s="8" t="s">
        <v>14330</v>
      </c>
      <c r="E7129" s="13">
        <v>0</v>
      </c>
      <c r="F7129" s="14">
        <v>0</v>
      </c>
    </row>
    <row r="7130" spans="1:6" x14ac:dyDescent="0.3">
      <c r="A7130" s="8">
        <v>7128</v>
      </c>
      <c r="B7130" s="8" t="s">
        <v>7694</v>
      </c>
      <c r="C7130" s="8" t="s">
        <v>14331</v>
      </c>
      <c r="D7130" s="8" t="s">
        <v>14332</v>
      </c>
      <c r="E7130" s="13">
        <v>0</v>
      </c>
      <c r="F7130" s="14">
        <v>1350000</v>
      </c>
    </row>
    <row r="7131" spans="1:6" x14ac:dyDescent="0.3">
      <c r="A7131" s="8">
        <v>7129</v>
      </c>
      <c r="B7131" s="8" t="s">
        <v>7694</v>
      </c>
      <c r="C7131" s="8" t="s">
        <v>14333</v>
      </c>
      <c r="D7131" s="8" t="s">
        <v>14334</v>
      </c>
      <c r="E7131" s="13">
        <v>0</v>
      </c>
      <c r="F7131" s="14">
        <v>0</v>
      </c>
    </row>
    <row r="7132" spans="1:6" x14ac:dyDescent="0.3">
      <c r="A7132" s="8">
        <v>7130</v>
      </c>
      <c r="B7132" s="8" t="s">
        <v>7694</v>
      </c>
      <c r="C7132" s="8" t="s">
        <v>14335</v>
      </c>
      <c r="D7132" s="8" t="s">
        <v>14336</v>
      </c>
      <c r="E7132" s="13">
        <v>0</v>
      </c>
      <c r="F7132" s="14">
        <v>802727</v>
      </c>
    </row>
    <row r="7133" spans="1:6" x14ac:dyDescent="0.3">
      <c r="A7133" s="8">
        <v>7131</v>
      </c>
      <c r="B7133" s="8" t="s">
        <v>7694</v>
      </c>
      <c r="C7133" s="8" t="s">
        <v>14337</v>
      </c>
      <c r="D7133" s="8" t="s">
        <v>14338</v>
      </c>
      <c r="E7133" s="13">
        <v>0</v>
      </c>
      <c r="F7133" s="14">
        <v>500000</v>
      </c>
    </row>
    <row r="7134" spans="1:6" x14ac:dyDescent="0.3">
      <c r="A7134" s="8">
        <v>7132</v>
      </c>
      <c r="B7134" s="8" t="s">
        <v>9478</v>
      </c>
      <c r="C7134" s="8" t="s">
        <v>14339</v>
      </c>
      <c r="D7134" s="8" t="s">
        <v>14340</v>
      </c>
      <c r="E7134" s="13">
        <v>0</v>
      </c>
      <c r="F7134" s="14">
        <v>0</v>
      </c>
    </row>
    <row r="7135" spans="1:6" x14ac:dyDescent="0.3">
      <c r="A7135" s="8">
        <v>7133</v>
      </c>
      <c r="B7135" s="8" t="s">
        <v>9478</v>
      </c>
      <c r="C7135" s="8" t="s">
        <v>14341</v>
      </c>
      <c r="D7135" s="8" t="s">
        <v>14342</v>
      </c>
      <c r="E7135" s="13">
        <v>0</v>
      </c>
      <c r="F7135" s="14">
        <v>0</v>
      </c>
    </row>
    <row r="7136" spans="1:6" x14ac:dyDescent="0.3">
      <c r="A7136" s="8">
        <v>7134</v>
      </c>
      <c r="B7136" s="8" t="s">
        <v>9478</v>
      </c>
      <c r="C7136" s="8" t="s">
        <v>14343</v>
      </c>
      <c r="D7136" s="8" t="s">
        <v>14344</v>
      </c>
      <c r="E7136" s="13">
        <v>0</v>
      </c>
      <c r="F7136" s="14">
        <v>0</v>
      </c>
    </row>
    <row r="7137" spans="1:6" x14ac:dyDescent="0.3">
      <c r="A7137" s="8">
        <v>7135</v>
      </c>
      <c r="B7137" s="8" t="s">
        <v>9478</v>
      </c>
      <c r="C7137" s="8" t="s">
        <v>14345</v>
      </c>
      <c r="D7137" s="8" t="s">
        <v>14346</v>
      </c>
      <c r="E7137" s="13">
        <v>0</v>
      </c>
      <c r="F7137" s="14">
        <v>0</v>
      </c>
    </row>
    <row r="7138" spans="1:6" x14ac:dyDescent="0.3">
      <c r="A7138" s="8">
        <v>7136</v>
      </c>
      <c r="B7138" s="8" t="s">
        <v>9478</v>
      </c>
      <c r="C7138" s="8" t="s">
        <v>14347</v>
      </c>
      <c r="D7138" s="8" t="s">
        <v>14348</v>
      </c>
      <c r="E7138" s="13">
        <v>0</v>
      </c>
      <c r="F7138" s="14">
        <v>0</v>
      </c>
    </row>
    <row r="7139" spans="1:6" x14ac:dyDescent="0.3">
      <c r="A7139" s="8">
        <v>7137</v>
      </c>
      <c r="B7139" s="8" t="s">
        <v>9478</v>
      </c>
      <c r="C7139" s="8" t="s">
        <v>14349</v>
      </c>
      <c r="D7139" s="8" t="s">
        <v>14350</v>
      </c>
      <c r="E7139" s="13">
        <v>0</v>
      </c>
      <c r="F7139" s="14">
        <v>0</v>
      </c>
    </row>
    <row r="7140" spans="1:6" x14ac:dyDescent="0.3">
      <c r="A7140" s="8">
        <v>7138</v>
      </c>
      <c r="B7140" s="8" t="s">
        <v>9478</v>
      </c>
      <c r="C7140" s="8" t="s">
        <v>14351</v>
      </c>
      <c r="D7140" s="8" t="s">
        <v>14352</v>
      </c>
      <c r="E7140" s="13">
        <v>0</v>
      </c>
      <c r="F7140" s="14">
        <v>0</v>
      </c>
    </row>
    <row r="7141" spans="1:6" x14ac:dyDescent="0.3">
      <c r="A7141" s="8">
        <v>7139</v>
      </c>
      <c r="B7141" s="8" t="s">
        <v>9478</v>
      </c>
      <c r="C7141" s="8" t="s">
        <v>14353</v>
      </c>
      <c r="D7141" s="8" t="s">
        <v>14354</v>
      </c>
      <c r="E7141" s="13">
        <v>0</v>
      </c>
      <c r="F7141" s="14">
        <v>0</v>
      </c>
    </row>
    <row r="7142" spans="1:6" x14ac:dyDescent="0.3">
      <c r="A7142" s="8">
        <v>7140</v>
      </c>
      <c r="B7142" s="8" t="s">
        <v>9478</v>
      </c>
      <c r="C7142" s="8" t="s">
        <v>14355</v>
      </c>
      <c r="D7142" s="8" t="s">
        <v>14356</v>
      </c>
      <c r="E7142" s="13">
        <v>0</v>
      </c>
      <c r="F7142" s="14">
        <v>0</v>
      </c>
    </row>
    <row r="7143" spans="1:6" x14ac:dyDescent="0.3">
      <c r="A7143" s="8">
        <v>7141</v>
      </c>
      <c r="B7143" s="8" t="s">
        <v>9478</v>
      </c>
      <c r="C7143" s="8" t="s">
        <v>14357</v>
      </c>
      <c r="D7143" s="8" t="s">
        <v>125</v>
      </c>
      <c r="E7143" s="13">
        <v>171000</v>
      </c>
      <c r="F7143" s="14">
        <v>341667</v>
      </c>
    </row>
    <row r="7144" spans="1:6" x14ac:dyDescent="0.3">
      <c r="A7144" s="8">
        <v>7142</v>
      </c>
      <c r="B7144" s="8" t="s">
        <v>9478</v>
      </c>
      <c r="C7144" s="8" t="s">
        <v>14358</v>
      </c>
      <c r="D7144" s="8" t="s">
        <v>14359</v>
      </c>
      <c r="E7144" s="13">
        <v>0</v>
      </c>
      <c r="F7144" s="14">
        <v>0</v>
      </c>
    </row>
    <row r="7145" spans="1:6" x14ac:dyDescent="0.3">
      <c r="A7145" s="8">
        <v>7143</v>
      </c>
      <c r="B7145" s="8" t="s">
        <v>10667</v>
      </c>
      <c r="C7145" s="8" t="s">
        <v>14360</v>
      </c>
      <c r="D7145" s="8" t="s">
        <v>14361</v>
      </c>
      <c r="E7145" s="13">
        <v>0</v>
      </c>
      <c r="F7145" s="14">
        <v>0</v>
      </c>
    </row>
    <row r="7146" spans="1:6" x14ac:dyDescent="0.3">
      <c r="A7146" s="8">
        <v>7144</v>
      </c>
      <c r="B7146" s="8" t="s">
        <v>10667</v>
      </c>
      <c r="C7146" s="8" t="s">
        <v>14362</v>
      </c>
      <c r="D7146" s="8" t="s">
        <v>14363</v>
      </c>
      <c r="E7146" s="13">
        <v>0</v>
      </c>
      <c r="F7146" s="14">
        <v>0</v>
      </c>
    </row>
    <row r="7147" spans="1:6" x14ac:dyDescent="0.3">
      <c r="A7147" s="8">
        <v>7145</v>
      </c>
      <c r="B7147" s="8" t="s">
        <v>10667</v>
      </c>
      <c r="C7147" s="8" t="s">
        <v>14364</v>
      </c>
      <c r="D7147" s="8" t="s">
        <v>14365</v>
      </c>
      <c r="E7147" s="13">
        <v>0</v>
      </c>
      <c r="F7147" s="14">
        <v>0</v>
      </c>
    </row>
    <row r="7148" spans="1:6" x14ac:dyDescent="0.3">
      <c r="A7148" s="8">
        <v>7146</v>
      </c>
      <c r="B7148" s="8" t="s">
        <v>10667</v>
      </c>
      <c r="C7148" s="8" t="s">
        <v>14366</v>
      </c>
      <c r="D7148" s="8" t="s">
        <v>14367</v>
      </c>
      <c r="E7148" s="13">
        <v>0</v>
      </c>
      <c r="F7148" s="14">
        <v>0</v>
      </c>
    </row>
    <row r="7149" spans="1:6" x14ac:dyDescent="0.3">
      <c r="A7149" s="8">
        <v>7147</v>
      </c>
      <c r="B7149" s="8" t="s">
        <v>10667</v>
      </c>
      <c r="C7149" s="8" t="s">
        <v>14368</v>
      </c>
      <c r="D7149" s="8" t="s">
        <v>14369</v>
      </c>
      <c r="E7149" s="13">
        <v>0</v>
      </c>
      <c r="F7149" s="14">
        <v>0</v>
      </c>
    </row>
    <row r="7150" spans="1:6" x14ac:dyDescent="0.3">
      <c r="A7150" s="8">
        <v>7148</v>
      </c>
      <c r="B7150" s="8" t="s">
        <v>10667</v>
      </c>
      <c r="C7150" s="8" t="s">
        <v>14370</v>
      </c>
      <c r="D7150" s="8" t="s">
        <v>14371</v>
      </c>
      <c r="E7150" s="13">
        <v>0</v>
      </c>
      <c r="F7150" s="14">
        <v>0</v>
      </c>
    </row>
    <row r="7151" spans="1:6" x14ac:dyDescent="0.3">
      <c r="A7151" s="8">
        <v>7149</v>
      </c>
      <c r="B7151" s="8" t="s">
        <v>10667</v>
      </c>
      <c r="C7151" s="8" t="s">
        <v>14372</v>
      </c>
      <c r="D7151" s="8" t="s">
        <v>14373</v>
      </c>
      <c r="E7151" s="13">
        <v>0</v>
      </c>
      <c r="F7151" s="14">
        <v>0</v>
      </c>
    </row>
    <row r="7152" spans="1:6" x14ac:dyDescent="0.3">
      <c r="A7152" s="8">
        <v>7150</v>
      </c>
      <c r="B7152" s="8" t="s">
        <v>10684</v>
      </c>
      <c r="C7152" s="8" t="s">
        <v>14374</v>
      </c>
      <c r="D7152" s="8" t="s">
        <v>14375</v>
      </c>
      <c r="E7152" s="13">
        <v>0</v>
      </c>
      <c r="F7152" s="14">
        <v>0</v>
      </c>
    </row>
    <row r="7153" spans="1:6" x14ac:dyDescent="0.3">
      <c r="A7153" s="8">
        <v>7151</v>
      </c>
      <c r="B7153" s="8" t="s">
        <v>10684</v>
      </c>
      <c r="C7153" s="8" t="s">
        <v>14376</v>
      </c>
      <c r="D7153" s="8" t="s">
        <v>14377</v>
      </c>
      <c r="E7153" s="13">
        <v>0</v>
      </c>
      <c r="F7153" s="14">
        <v>0</v>
      </c>
    </row>
    <row r="7154" spans="1:6" x14ac:dyDescent="0.3">
      <c r="A7154" s="8">
        <v>7152</v>
      </c>
      <c r="B7154" s="8" t="s">
        <v>10684</v>
      </c>
      <c r="C7154" s="8" t="s">
        <v>14378</v>
      </c>
      <c r="D7154" s="8" t="s">
        <v>14379</v>
      </c>
      <c r="E7154" s="13">
        <v>0</v>
      </c>
      <c r="F7154" s="14">
        <v>0</v>
      </c>
    </row>
    <row r="7155" spans="1:6" x14ac:dyDescent="0.3">
      <c r="A7155" s="8">
        <v>7153</v>
      </c>
      <c r="B7155" s="8" t="s">
        <v>10684</v>
      </c>
      <c r="C7155" s="8" t="s">
        <v>14380</v>
      </c>
      <c r="D7155" s="8" t="s">
        <v>14381</v>
      </c>
      <c r="E7155" s="13">
        <v>0</v>
      </c>
      <c r="F7155" s="14">
        <v>0</v>
      </c>
    </row>
    <row r="7156" spans="1:6" x14ac:dyDescent="0.3">
      <c r="A7156" s="8">
        <v>7154</v>
      </c>
      <c r="B7156" s="8" t="s">
        <v>10684</v>
      </c>
      <c r="C7156" s="8" t="s">
        <v>14382</v>
      </c>
      <c r="D7156" s="8" t="s">
        <v>14383</v>
      </c>
      <c r="E7156" s="13">
        <v>0</v>
      </c>
      <c r="F7156" s="14">
        <v>0</v>
      </c>
    </row>
    <row r="7157" spans="1:6" x14ac:dyDescent="0.3">
      <c r="A7157" s="8">
        <v>7155</v>
      </c>
      <c r="B7157" s="8" t="s">
        <v>10684</v>
      </c>
      <c r="C7157" s="8" t="s">
        <v>14384</v>
      </c>
      <c r="D7157" s="8" t="s">
        <v>14385</v>
      </c>
      <c r="E7157" s="13">
        <v>0</v>
      </c>
      <c r="F7157" s="14">
        <v>0</v>
      </c>
    </row>
    <row r="7158" spans="1:6" x14ac:dyDescent="0.3">
      <c r="A7158" s="8">
        <v>7156</v>
      </c>
      <c r="B7158" s="8" t="s">
        <v>10684</v>
      </c>
      <c r="C7158" s="8" t="s">
        <v>14386</v>
      </c>
      <c r="D7158" s="8" t="s">
        <v>14387</v>
      </c>
      <c r="E7158" s="13">
        <v>0</v>
      </c>
      <c r="F7158" s="14">
        <v>0</v>
      </c>
    </row>
    <row r="7159" spans="1:6" x14ac:dyDescent="0.3">
      <c r="A7159" s="8">
        <v>7157</v>
      </c>
      <c r="B7159" s="8" t="s">
        <v>10684</v>
      </c>
      <c r="C7159" s="8" t="s">
        <v>14388</v>
      </c>
      <c r="D7159" s="8" t="s">
        <v>23</v>
      </c>
      <c r="E7159" s="13">
        <v>76900</v>
      </c>
      <c r="F7159" s="14">
        <v>153704</v>
      </c>
    </row>
    <row r="7160" spans="1:6" x14ac:dyDescent="0.3">
      <c r="A7160" s="8">
        <v>7158</v>
      </c>
      <c r="B7160" s="8" t="s">
        <v>10684</v>
      </c>
      <c r="C7160" s="8" t="s">
        <v>14389</v>
      </c>
      <c r="D7160" s="8" t="s">
        <v>14390</v>
      </c>
      <c r="E7160" s="13">
        <v>0</v>
      </c>
      <c r="F7160" s="14">
        <v>0</v>
      </c>
    </row>
    <row r="7161" spans="1:6" x14ac:dyDescent="0.3">
      <c r="A7161" s="8">
        <v>7159</v>
      </c>
      <c r="B7161" s="8" t="s">
        <v>10684</v>
      </c>
      <c r="C7161" s="8" t="s">
        <v>14391</v>
      </c>
      <c r="D7161" s="8" t="s">
        <v>14392</v>
      </c>
      <c r="E7161" s="13">
        <v>0</v>
      </c>
      <c r="F7161" s="14">
        <v>0</v>
      </c>
    </row>
    <row r="7162" spans="1:6" x14ac:dyDescent="0.3">
      <c r="A7162" s="8">
        <v>7160</v>
      </c>
      <c r="B7162" s="8" t="s">
        <v>10697</v>
      </c>
      <c r="C7162" s="8" t="s">
        <v>14393</v>
      </c>
      <c r="D7162" s="8" t="s">
        <v>14394</v>
      </c>
      <c r="E7162" s="13">
        <v>0</v>
      </c>
      <c r="F7162" s="14">
        <v>0</v>
      </c>
    </row>
    <row r="7163" spans="1:6" x14ac:dyDescent="0.3">
      <c r="A7163" s="8">
        <v>7161</v>
      </c>
      <c r="B7163" s="8" t="s">
        <v>10697</v>
      </c>
      <c r="C7163" s="8" t="s">
        <v>14395</v>
      </c>
      <c r="D7163" s="8" t="s">
        <v>14396</v>
      </c>
      <c r="E7163" s="13">
        <v>0</v>
      </c>
      <c r="F7163" s="14">
        <v>0</v>
      </c>
    </row>
    <row r="7164" spans="1:6" x14ac:dyDescent="0.3">
      <c r="A7164" s="8">
        <v>7162</v>
      </c>
      <c r="B7164" s="8" t="s">
        <v>10697</v>
      </c>
      <c r="C7164" s="8" t="s">
        <v>14397</v>
      </c>
      <c r="D7164" s="8" t="s">
        <v>14398</v>
      </c>
      <c r="E7164" s="13">
        <v>0</v>
      </c>
      <c r="F7164" s="14">
        <v>0</v>
      </c>
    </row>
    <row r="7165" spans="1:6" x14ac:dyDescent="0.3">
      <c r="A7165" s="8">
        <v>7163</v>
      </c>
      <c r="B7165" s="8" t="s">
        <v>10684</v>
      </c>
      <c r="C7165" s="8" t="s">
        <v>14399</v>
      </c>
      <c r="D7165" s="8" t="s">
        <v>8</v>
      </c>
      <c r="E7165" s="13">
        <v>0</v>
      </c>
      <c r="F7165" s="14">
        <v>0</v>
      </c>
    </row>
    <row r="7166" spans="1:6" x14ac:dyDescent="0.3">
      <c r="A7166" s="8">
        <v>7164</v>
      </c>
      <c r="B7166" s="8" t="s">
        <v>10684</v>
      </c>
      <c r="C7166" s="8" t="s">
        <v>14400</v>
      </c>
      <c r="D7166" s="8" t="s">
        <v>14401</v>
      </c>
      <c r="E7166" s="13">
        <v>0</v>
      </c>
      <c r="F7166" s="14">
        <v>0</v>
      </c>
    </row>
    <row r="7167" spans="1:6" x14ac:dyDescent="0.3">
      <c r="A7167" s="8">
        <v>7165</v>
      </c>
      <c r="B7167" s="8" t="s">
        <v>10684</v>
      </c>
      <c r="C7167" s="8" t="s">
        <v>14402</v>
      </c>
      <c r="D7167" s="8" t="s">
        <v>14403</v>
      </c>
      <c r="E7167" s="13">
        <v>0</v>
      </c>
      <c r="F7167" s="14">
        <v>0</v>
      </c>
    </row>
    <row r="7168" spans="1:6" x14ac:dyDescent="0.3">
      <c r="A7168" s="8">
        <v>7166</v>
      </c>
      <c r="B7168" s="8" t="s">
        <v>10684</v>
      </c>
      <c r="C7168" s="8" t="s">
        <v>14404</v>
      </c>
      <c r="D7168" s="8" t="s">
        <v>14405</v>
      </c>
      <c r="E7168" s="13">
        <v>0</v>
      </c>
      <c r="F7168" s="14">
        <v>0</v>
      </c>
    </row>
    <row r="7169" spans="1:6" x14ac:dyDescent="0.3">
      <c r="A7169" s="8">
        <v>7167</v>
      </c>
      <c r="B7169" s="8" t="s">
        <v>10684</v>
      </c>
      <c r="C7169" s="8" t="s">
        <v>14406</v>
      </c>
      <c r="D7169" s="8" t="s">
        <v>19</v>
      </c>
      <c r="E7169" s="13">
        <v>39900</v>
      </c>
      <c r="F7169" s="14">
        <v>79815</v>
      </c>
    </row>
    <row r="7170" spans="1:6" x14ac:dyDescent="0.3">
      <c r="A7170" s="8">
        <v>7168</v>
      </c>
      <c r="B7170" s="8" t="s">
        <v>10684</v>
      </c>
      <c r="C7170" s="8" t="s">
        <v>14407</v>
      </c>
      <c r="D7170" s="8" t="s">
        <v>14408</v>
      </c>
      <c r="E7170" s="13">
        <v>0</v>
      </c>
      <c r="F7170" s="14">
        <v>0</v>
      </c>
    </row>
    <row r="7171" spans="1:6" x14ac:dyDescent="0.3">
      <c r="A7171" s="8">
        <v>7169</v>
      </c>
      <c r="B7171" s="8" t="s">
        <v>10684</v>
      </c>
      <c r="C7171" s="8" t="s">
        <v>14409</v>
      </c>
      <c r="D7171" s="8" t="s">
        <v>14410</v>
      </c>
      <c r="E7171" s="13">
        <v>0</v>
      </c>
      <c r="F7171" s="14">
        <v>0</v>
      </c>
    </row>
    <row r="7172" spans="1:6" x14ac:dyDescent="0.3">
      <c r="A7172" s="8">
        <v>7170</v>
      </c>
      <c r="B7172" s="8" t="s">
        <v>10684</v>
      </c>
      <c r="C7172" s="8" t="s">
        <v>14411</v>
      </c>
      <c r="D7172" s="8" t="s">
        <v>14412</v>
      </c>
      <c r="E7172" s="13">
        <v>0</v>
      </c>
      <c r="F7172" s="14">
        <v>0</v>
      </c>
    </row>
    <row r="7173" spans="1:6" x14ac:dyDescent="0.3">
      <c r="A7173" s="8">
        <v>7171</v>
      </c>
      <c r="B7173" s="8" t="s">
        <v>10697</v>
      </c>
      <c r="C7173" s="8" t="s">
        <v>14413</v>
      </c>
      <c r="D7173" s="8" t="s">
        <v>14414</v>
      </c>
      <c r="E7173" s="13">
        <v>0</v>
      </c>
      <c r="F7173" s="14">
        <v>0</v>
      </c>
    </row>
    <row r="7174" spans="1:6" x14ac:dyDescent="0.3">
      <c r="A7174" s="8">
        <v>7172</v>
      </c>
      <c r="B7174" s="8" t="s">
        <v>10697</v>
      </c>
      <c r="C7174" s="8" t="s">
        <v>14415</v>
      </c>
      <c r="D7174" s="8" t="s">
        <v>14416</v>
      </c>
      <c r="E7174" s="13">
        <v>0</v>
      </c>
      <c r="F7174" s="14">
        <v>0</v>
      </c>
    </row>
    <row r="7175" spans="1:6" x14ac:dyDescent="0.3">
      <c r="A7175" s="8">
        <v>7173</v>
      </c>
      <c r="B7175" s="8" t="s">
        <v>10697</v>
      </c>
      <c r="C7175" s="8" t="s">
        <v>14417</v>
      </c>
      <c r="D7175" s="8" t="s">
        <v>14418</v>
      </c>
      <c r="E7175" s="13">
        <v>398200</v>
      </c>
      <c r="F7175" s="14">
        <v>796296</v>
      </c>
    </row>
    <row r="7176" spans="1:6" x14ac:dyDescent="0.3">
      <c r="A7176" s="8">
        <v>7174</v>
      </c>
      <c r="B7176" s="8" t="s">
        <v>10697</v>
      </c>
      <c r="C7176" s="8" t="s">
        <v>14419</v>
      </c>
      <c r="D7176" s="8" t="s">
        <v>14420</v>
      </c>
      <c r="E7176" s="13">
        <v>0</v>
      </c>
      <c r="F7176" s="14">
        <v>0</v>
      </c>
    </row>
    <row r="7177" spans="1:6" x14ac:dyDescent="0.3">
      <c r="A7177" s="8">
        <v>7175</v>
      </c>
      <c r="B7177" s="8" t="s">
        <v>10697</v>
      </c>
      <c r="C7177" s="8" t="s">
        <v>14421</v>
      </c>
      <c r="D7177" s="8" t="s">
        <v>14422</v>
      </c>
      <c r="E7177" s="13">
        <v>0</v>
      </c>
      <c r="F7177" s="14">
        <v>0</v>
      </c>
    </row>
    <row r="7178" spans="1:6" x14ac:dyDescent="0.3">
      <c r="A7178" s="8">
        <v>7176</v>
      </c>
      <c r="B7178" s="8" t="s">
        <v>10697</v>
      </c>
      <c r="C7178" s="8" t="s">
        <v>14423</v>
      </c>
      <c r="D7178" s="8" t="s">
        <v>14424</v>
      </c>
      <c r="E7178" s="13">
        <v>0</v>
      </c>
      <c r="F7178" s="14">
        <v>0</v>
      </c>
    </row>
    <row r="7179" spans="1:6" x14ac:dyDescent="0.3">
      <c r="A7179" s="8">
        <v>7177</v>
      </c>
      <c r="B7179" s="8" t="s">
        <v>10697</v>
      </c>
      <c r="C7179" s="8" t="s">
        <v>14425</v>
      </c>
      <c r="D7179" s="8" t="s">
        <v>14426</v>
      </c>
      <c r="E7179" s="13">
        <v>0</v>
      </c>
      <c r="F7179" s="14">
        <v>0</v>
      </c>
    </row>
    <row r="7180" spans="1:6" x14ac:dyDescent="0.3">
      <c r="A7180" s="8">
        <v>7178</v>
      </c>
      <c r="B7180" s="8" t="s">
        <v>10697</v>
      </c>
      <c r="C7180" s="8" t="s">
        <v>14427</v>
      </c>
      <c r="D7180" s="8" t="s">
        <v>14428</v>
      </c>
      <c r="E7180" s="13">
        <v>0</v>
      </c>
      <c r="F7180" s="14">
        <v>0</v>
      </c>
    </row>
    <row r="7181" spans="1:6" x14ac:dyDescent="0.3">
      <c r="A7181" s="8">
        <v>7179</v>
      </c>
      <c r="B7181" s="8" t="s">
        <v>10697</v>
      </c>
      <c r="C7181" s="8" t="s">
        <v>14429</v>
      </c>
      <c r="D7181" s="8" t="s">
        <v>14430</v>
      </c>
      <c r="E7181" s="13">
        <v>33000</v>
      </c>
      <c r="F7181" s="14">
        <v>66667</v>
      </c>
    </row>
    <row r="7182" spans="1:6" x14ac:dyDescent="0.3">
      <c r="A7182" s="8">
        <v>7180</v>
      </c>
      <c r="B7182" s="8" t="s">
        <v>10697</v>
      </c>
      <c r="C7182" s="8" t="s">
        <v>14431</v>
      </c>
      <c r="D7182" s="8" t="s">
        <v>14432</v>
      </c>
      <c r="E7182" s="13">
        <v>0</v>
      </c>
      <c r="F7182" s="14">
        <v>0</v>
      </c>
    </row>
    <row r="7183" spans="1:6" x14ac:dyDescent="0.3">
      <c r="A7183" s="8">
        <v>7181</v>
      </c>
      <c r="B7183" s="8" t="s">
        <v>10697</v>
      </c>
      <c r="C7183" s="8" t="s">
        <v>14433</v>
      </c>
      <c r="D7183" s="8" t="s">
        <v>14434</v>
      </c>
      <c r="E7183" s="13">
        <v>5846000</v>
      </c>
      <c r="F7183" s="14">
        <v>9280000</v>
      </c>
    </row>
    <row r="7184" spans="1:6" x14ac:dyDescent="0.3">
      <c r="A7184" s="8">
        <v>7182</v>
      </c>
      <c r="B7184" s="8" t="s">
        <v>10697</v>
      </c>
      <c r="C7184" s="8" t="s">
        <v>14435</v>
      </c>
      <c r="D7184" s="8" t="s">
        <v>14436</v>
      </c>
      <c r="E7184" s="13">
        <v>0</v>
      </c>
      <c r="F7184" s="14">
        <v>0</v>
      </c>
    </row>
    <row r="7185" spans="1:6" x14ac:dyDescent="0.3">
      <c r="A7185" s="8">
        <v>7183</v>
      </c>
      <c r="B7185" s="8" t="s">
        <v>10697</v>
      </c>
      <c r="C7185" s="8" t="s">
        <v>14437</v>
      </c>
      <c r="D7185" s="8" t="s">
        <v>14438</v>
      </c>
      <c r="E7185" s="13">
        <v>1865000</v>
      </c>
      <c r="F7185" s="14">
        <v>2960000</v>
      </c>
    </row>
    <row r="7186" spans="1:6" x14ac:dyDescent="0.3">
      <c r="A7186" s="8">
        <v>7184</v>
      </c>
      <c r="B7186" s="8" t="s">
        <v>10697</v>
      </c>
      <c r="C7186" s="8" t="s">
        <v>14439</v>
      </c>
      <c r="D7186" s="8" t="s">
        <v>14440</v>
      </c>
      <c r="E7186" s="13">
        <v>0</v>
      </c>
      <c r="F7186" s="14">
        <v>0</v>
      </c>
    </row>
    <row r="7187" spans="1:6" x14ac:dyDescent="0.3">
      <c r="A7187" s="8">
        <v>7185</v>
      </c>
      <c r="B7187" s="8" t="s">
        <v>10697</v>
      </c>
      <c r="C7187" s="8" t="s">
        <v>14441</v>
      </c>
      <c r="D7187" s="8" t="s">
        <v>14442</v>
      </c>
      <c r="E7187" s="13">
        <v>0</v>
      </c>
      <c r="F7187" s="14">
        <v>0</v>
      </c>
    </row>
    <row r="7188" spans="1:6" x14ac:dyDescent="0.3">
      <c r="A7188" s="8">
        <v>7186</v>
      </c>
      <c r="B7188" s="8" t="s">
        <v>10697</v>
      </c>
      <c r="C7188" s="8" t="s">
        <v>14443</v>
      </c>
      <c r="D7188" s="8" t="s">
        <v>14444</v>
      </c>
      <c r="E7188" s="13">
        <v>0</v>
      </c>
      <c r="F7188" s="14">
        <v>0</v>
      </c>
    </row>
    <row r="7189" spans="1:6" x14ac:dyDescent="0.3">
      <c r="A7189" s="8">
        <v>7187</v>
      </c>
      <c r="B7189" s="8" t="s">
        <v>10697</v>
      </c>
      <c r="C7189" s="8" t="s">
        <v>14445</v>
      </c>
      <c r="D7189" s="8" t="s">
        <v>14446</v>
      </c>
      <c r="E7189" s="13">
        <v>28000</v>
      </c>
      <c r="F7189" s="14">
        <v>55556</v>
      </c>
    </row>
    <row r="7190" spans="1:6" x14ac:dyDescent="0.3">
      <c r="A7190" s="8">
        <v>7188</v>
      </c>
      <c r="B7190" s="8" t="s">
        <v>10697</v>
      </c>
      <c r="C7190" s="8" t="s">
        <v>14447</v>
      </c>
      <c r="D7190" s="8" t="s">
        <v>14448</v>
      </c>
      <c r="E7190" s="13">
        <v>0</v>
      </c>
      <c r="F7190" s="14">
        <v>0</v>
      </c>
    </row>
    <row r="7191" spans="1:6" x14ac:dyDescent="0.3">
      <c r="A7191" s="8">
        <v>7189</v>
      </c>
      <c r="B7191" s="8" t="s">
        <v>10928</v>
      </c>
      <c r="C7191" s="8" t="s">
        <v>14449</v>
      </c>
      <c r="D7191" s="8" t="s">
        <v>14450</v>
      </c>
      <c r="E7191" s="13">
        <v>0</v>
      </c>
      <c r="F7191" s="14">
        <v>0</v>
      </c>
    </row>
    <row r="7192" spans="1:6" x14ac:dyDescent="0.3">
      <c r="A7192" s="8">
        <v>7190</v>
      </c>
      <c r="B7192" s="8" t="s">
        <v>7694</v>
      </c>
      <c r="C7192" s="8" t="s">
        <v>14451</v>
      </c>
      <c r="D7192" s="8" t="s">
        <v>14452</v>
      </c>
      <c r="E7192" s="13">
        <v>0</v>
      </c>
      <c r="F7192" s="14">
        <v>390909</v>
      </c>
    </row>
    <row r="7193" spans="1:6" x14ac:dyDescent="0.3">
      <c r="A7193" s="8">
        <v>7191</v>
      </c>
      <c r="B7193" s="8" t="s">
        <v>7694</v>
      </c>
      <c r="C7193" s="8" t="s">
        <v>14453</v>
      </c>
      <c r="D7193" s="8" t="s">
        <v>14454</v>
      </c>
      <c r="E7193" s="13">
        <v>0</v>
      </c>
      <c r="F7193" s="14">
        <v>418182</v>
      </c>
    </row>
    <row r="7194" spans="1:6" x14ac:dyDescent="0.3">
      <c r="A7194" s="8">
        <v>7192</v>
      </c>
      <c r="B7194" s="8" t="s">
        <v>7694</v>
      </c>
      <c r="C7194" s="8" t="s">
        <v>14455</v>
      </c>
      <c r="D7194" s="8" t="s">
        <v>14456</v>
      </c>
      <c r="E7194" s="13">
        <v>0</v>
      </c>
      <c r="F7194" s="14">
        <v>0</v>
      </c>
    </row>
    <row r="7195" spans="1:6" x14ac:dyDescent="0.3">
      <c r="A7195" s="8">
        <v>7193</v>
      </c>
      <c r="B7195" s="8" t="s">
        <v>7694</v>
      </c>
      <c r="C7195" s="8" t="s">
        <v>14457</v>
      </c>
      <c r="D7195" s="8" t="s">
        <v>14458</v>
      </c>
      <c r="E7195" s="13">
        <v>0</v>
      </c>
      <c r="F7195" s="14">
        <v>2740000</v>
      </c>
    </row>
    <row r="7196" spans="1:6" x14ac:dyDescent="0.3">
      <c r="A7196" s="8">
        <v>7194</v>
      </c>
      <c r="B7196" s="8" t="s">
        <v>7694</v>
      </c>
      <c r="C7196" s="8" t="s">
        <v>14459</v>
      </c>
      <c r="D7196" s="8" t="s">
        <v>14460</v>
      </c>
      <c r="E7196" s="13">
        <v>300000</v>
      </c>
      <c r="F7196" s="14">
        <v>600000</v>
      </c>
    </row>
    <row r="7197" spans="1:6" x14ac:dyDescent="0.3">
      <c r="A7197" s="8">
        <v>7195</v>
      </c>
      <c r="B7197" s="8" t="s">
        <v>7694</v>
      </c>
      <c r="C7197" s="8" t="s">
        <v>14461</v>
      </c>
      <c r="D7197" s="8" t="s">
        <v>14462</v>
      </c>
      <c r="E7197" s="13">
        <v>1050000</v>
      </c>
      <c r="F7197" s="14">
        <v>2100000</v>
      </c>
    </row>
    <row r="7198" spans="1:6" x14ac:dyDescent="0.3">
      <c r="A7198" s="8">
        <v>7196</v>
      </c>
      <c r="B7198" s="8" t="s">
        <v>7694</v>
      </c>
      <c r="C7198" s="8" t="s">
        <v>14463</v>
      </c>
      <c r="D7198" s="8" t="s">
        <v>14464</v>
      </c>
      <c r="E7198" s="13">
        <v>0</v>
      </c>
      <c r="F7198" s="14">
        <v>0</v>
      </c>
    </row>
    <row r="7199" spans="1:6" x14ac:dyDescent="0.3">
      <c r="A7199" s="8">
        <v>7197</v>
      </c>
      <c r="B7199" s="8" t="s">
        <v>7694</v>
      </c>
      <c r="C7199" s="8" t="s">
        <v>14465</v>
      </c>
      <c r="D7199" s="8" t="s">
        <v>14466</v>
      </c>
      <c r="E7199" s="13">
        <v>0</v>
      </c>
      <c r="F7199" s="14">
        <v>0</v>
      </c>
    </row>
    <row r="7200" spans="1:6" x14ac:dyDescent="0.3">
      <c r="A7200" s="8">
        <v>7198</v>
      </c>
      <c r="B7200" s="8" t="s">
        <v>7694</v>
      </c>
      <c r="C7200" s="8" t="s">
        <v>14467</v>
      </c>
      <c r="D7200" s="8" t="s">
        <v>14468</v>
      </c>
      <c r="E7200" s="13">
        <v>0</v>
      </c>
      <c r="F7200" s="14">
        <v>0</v>
      </c>
    </row>
    <row r="7201" spans="1:6" x14ac:dyDescent="0.3">
      <c r="A7201" s="8">
        <v>7199</v>
      </c>
      <c r="B7201" s="8" t="s">
        <v>7694</v>
      </c>
      <c r="C7201" s="8" t="s">
        <v>14469</v>
      </c>
      <c r="D7201" s="8" t="s">
        <v>14470</v>
      </c>
      <c r="E7201" s="13">
        <v>1385200</v>
      </c>
      <c r="F7201" s="14">
        <v>2314815</v>
      </c>
    </row>
    <row r="7202" spans="1:6" x14ac:dyDescent="0.3">
      <c r="A7202" s="8">
        <v>7200</v>
      </c>
      <c r="B7202" s="8" t="s">
        <v>7694</v>
      </c>
      <c r="C7202" s="8" t="s">
        <v>14471</v>
      </c>
      <c r="D7202" s="8" t="s">
        <v>14472</v>
      </c>
      <c r="E7202" s="13">
        <v>0</v>
      </c>
      <c r="F7202" s="14">
        <v>8700000</v>
      </c>
    </row>
    <row r="7203" spans="1:6" x14ac:dyDescent="0.3">
      <c r="A7203" s="8">
        <v>7201</v>
      </c>
      <c r="B7203" s="8" t="s">
        <v>7694</v>
      </c>
      <c r="C7203" s="8" t="s">
        <v>14473</v>
      </c>
      <c r="D7203" s="8" t="s">
        <v>14474</v>
      </c>
      <c r="E7203" s="13">
        <v>0</v>
      </c>
      <c r="F7203" s="14">
        <v>0</v>
      </c>
    </row>
    <row r="7204" spans="1:6" x14ac:dyDescent="0.3">
      <c r="A7204" s="8">
        <v>7202</v>
      </c>
      <c r="B7204" s="8" t="s">
        <v>7694</v>
      </c>
      <c r="C7204" s="8" t="s">
        <v>14475</v>
      </c>
      <c r="D7204" s="8" t="s">
        <v>14476</v>
      </c>
      <c r="E7204" s="13">
        <v>2094000</v>
      </c>
      <c r="F7204" s="14">
        <v>3500000</v>
      </c>
    </row>
    <row r="7205" spans="1:6" x14ac:dyDescent="0.3">
      <c r="A7205" s="8">
        <v>7203</v>
      </c>
      <c r="B7205" s="8" t="s">
        <v>7694</v>
      </c>
      <c r="C7205" s="8" t="s">
        <v>14477</v>
      </c>
      <c r="D7205" s="8" t="s">
        <v>14478</v>
      </c>
      <c r="E7205" s="13">
        <v>2214000</v>
      </c>
      <c r="F7205" s="14">
        <v>3700000</v>
      </c>
    </row>
    <row r="7206" spans="1:6" x14ac:dyDescent="0.3">
      <c r="A7206" s="8">
        <v>7204</v>
      </c>
      <c r="B7206" s="8" t="s">
        <v>7694</v>
      </c>
      <c r="C7206" s="8" t="s">
        <v>14479</v>
      </c>
      <c r="D7206" s="8" t="s">
        <v>14480</v>
      </c>
      <c r="E7206" s="13">
        <v>2753000</v>
      </c>
      <c r="F7206" s="14">
        <v>4600000</v>
      </c>
    </row>
    <row r="7207" spans="1:6" x14ac:dyDescent="0.3">
      <c r="A7207" s="8">
        <v>7205</v>
      </c>
      <c r="B7207" s="8" t="s">
        <v>7694</v>
      </c>
      <c r="C7207" s="8" t="s">
        <v>14481</v>
      </c>
      <c r="D7207" s="8" t="s">
        <v>14482</v>
      </c>
      <c r="E7207" s="13">
        <v>0</v>
      </c>
      <c r="F7207" s="14">
        <v>0</v>
      </c>
    </row>
    <row r="7208" spans="1:6" x14ac:dyDescent="0.3">
      <c r="A7208" s="8">
        <v>7206</v>
      </c>
      <c r="B7208" s="8" t="s">
        <v>7694</v>
      </c>
      <c r="C7208" s="8" t="s">
        <v>14483</v>
      </c>
      <c r="D7208" s="8" t="s">
        <v>14484</v>
      </c>
      <c r="E7208" s="13">
        <v>0</v>
      </c>
      <c r="F7208" s="14">
        <v>0</v>
      </c>
    </row>
    <row r="7209" spans="1:6" x14ac:dyDescent="0.3">
      <c r="A7209" s="8">
        <v>7207</v>
      </c>
      <c r="B7209" s="8" t="s">
        <v>7694</v>
      </c>
      <c r="C7209" s="8" t="s">
        <v>14485</v>
      </c>
      <c r="D7209" s="8" t="s">
        <v>14486</v>
      </c>
      <c r="E7209" s="13">
        <v>0</v>
      </c>
      <c r="F7209" s="14">
        <v>0</v>
      </c>
    </row>
    <row r="7210" spans="1:6" x14ac:dyDescent="0.3">
      <c r="A7210" s="8">
        <v>7208</v>
      </c>
      <c r="B7210" s="8" t="s">
        <v>7694</v>
      </c>
      <c r="C7210" s="8" t="s">
        <v>14487</v>
      </c>
      <c r="D7210" s="8" t="s">
        <v>14488</v>
      </c>
      <c r="E7210" s="13">
        <v>0</v>
      </c>
      <c r="F7210" s="14">
        <v>0</v>
      </c>
    </row>
    <row r="7211" spans="1:6" x14ac:dyDescent="0.3">
      <c r="A7211" s="8">
        <v>7209</v>
      </c>
      <c r="B7211" s="8" t="s">
        <v>7694</v>
      </c>
      <c r="C7211" s="8" t="s">
        <v>14489</v>
      </c>
      <c r="D7211" s="8" t="s">
        <v>14490</v>
      </c>
      <c r="E7211" s="13">
        <v>351900</v>
      </c>
      <c r="F7211" s="14">
        <v>703636</v>
      </c>
    </row>
    <row r="7212" spans="1:6" x14ac:dyDescent="0.3">
      <c r="A7212" s="8">
        <v>7210</v>
      </c>
      <c r="B7212" s="8" t="s">
        <v>7694</v>
      </c>
      <c r="C7212" s="8" t="s">
        <v>14491</v>
      </c>
      <c r="D7212" s="8" t="s">
        <v>14492</v>
      </c>
      <c r="E7212" s="13">
        <v>0</v>
      </c>
      <c r="F7212" s="14">
        <v>0</v>
      </c>
    </row>
    <row r="7213" spans="1:6" x14ac:dyDescent="0.3">
      <c r="A7213" s="8">
        <v>7211</v>
      </c>
      <c r="B7213" s="8" t="s">
        <v>7694</v>
      </c>
      <c r="C7213" s="8" t="s">
        <v>14493</v>
      </c>
      <c r="D7213" s="8" t="s">
        <v>14494</v>
      </c>
      <c r="E7213" s="13">
        <v>0</v>
      </c>
      <c r="F7213" s="14">
        <v>0</v>
      </c>
    </row>
    <row r="7214" spans="1:6" x14ac:dyDescent="0.3">
      <c r="A7214" s="8">
        <v>7212</v>
      </c>
      <c r="B7214" s="8" t="s">
        <v>7694</v>
      </c>
      <c r="C7214" s="8" t="s">
        <v>14495</v>
      </c>
      <c r="D7214" s="8" t="s">
        <v>14496</v>
      </c>
      <c r="E7214" s="13">
        <v>95000</v>
      </c>
      <c r="F7214" s="14">
        <v>190000</v>
      </c>
    </row>
    <row r="7215" spans="1:6" x14ac:dyDescent="0.3">
      <c r="A7215" s="8">
        <v>7213</v>
      </c>
      <c r="B7215" s="8" t="s">
        <v>7694</v>
      </c>
      <c r="C7215" s="8" t="s">
        <v>14497</v>
      </c>
      <c r="D7215" s="8" t="s">
        <v>14498</v>
      </c>
      <c r="E7215" s="13">
        <v>0</v>
      </c>
      <c r="F7215" s="14">
        <v>0</v>
      </c>
    </row>
    <row r="7216" spans="1:6" x14ac:dyDescent="0.3">
      <c r="A7216" s="8">
        <v>7214</v>
      </c>
      <c r="B7216" s="8" t="s">
        <v>10684</v>
      </c>
      <c r="C7216" s="8" t="s">
        <v>14499</v>
      </c>
      <c r="D7216" s="8" t="s">
        <v>14500</v>
      </c>
      <c r="E7216" s="13">
        <v>0</v>
      </c>
      <c r="F7216" s="14">
        <v>0</v>
      </c>
    </row>
    <row r="7217" spans="1:6" x14ac:dyDescent="0.3">
      <c r="A7217" s="8">
        <v>7215</v>
      </c>
      <c r="B7217" s="8" t="s">
        <v>10684</v>
      </c>
      <c r="C7217" s="8" t="s">
        <v>14501</v>
      </c>
      <c r="D7217" s="8" t="s">
        <v>18</v>
      </c>
      <c r="E7217" s="13">
        <v>35200</v>
      </c>
      <c r="F7217" s="14">
        <v>70370</v>
      </c>
    </row>
    <row r="7218" spans="1:6" x14ac:dyDescent="0.3">
      <c r="A7218" s="8">
        <v>7216</v>
      </c>
      <c r="B7218" s="8" t="s">
        <v>10684</v>
      </c>
      <c r="C7218" s="8" t="s">
        <v>14502</v>
      </c>
      <c r="D7218" s="8" t="s">
        <v>17</v>
      </c>
      <c r="E7218" s="13">
        <v>51000</v>
      </c>
      <c r="F7218" s="14">
        <v>101852</v>
      </c>
    </row>
    <row r="7219" spans="1:6" x14ac:dyDescent="0.3">
      <c r="A7219" s="8">
        <v>7217</v>
      </c>
      <c r="B7219" s="8" t="s">
        <v>10684</v>
      </c>
      <c r="C7219" s="8" t="s">
        <v>14503</v>
      </c>
      <c r="D7219" s="8" t="s">
        <v>14504</v>
      </c>
      <c r="E7219" s="13">
        <v>0</v>
      </c>
      <c r="F7219" s="14">
        <v>0</v>
      </c>
    </row>
    <row r="7220" spans="1:6" x14ac:dyDescent="0.3">
      <c r="A7220" s="8">
        <v>7218</v>
      </c>
      <c r="B7220" s="8" t="s">
        <v>10684</v>
      </c>
      <c r="C7220" s="8" t="s">
        <v>14505</v>
      </c>
      <c r="D7220" s="8" t="s">
        <v>14506</v>
      </c>
      <c r="E7220" s="13">
        <v>0</v>
      </c>
      <c r="F7220" s="14">
        <v>0</v>
      </c>
    </row>
    <row r="7221" spans="1:6" x14ac:dyDescent="0.3">
      <c r="A7221" s="8">
        <v>7219</v>
      </c>
      <c r="B7221" s="8" t="s">
        <v>10684</v>
      </c>
      <c r="C7221" s="8" t="s">
        <v>14507</v>
      </c>
      <c r="D7221" s="8" t="s">
        <v>14508</v>
      </c>
      <c r="E7221" s="13">
        <v>0</v>
      </c>
      <c r="F7221" s="14">
        <v>0</v>
      </c>
    </row>
    <row r="7222" spans="1:6" x14ac:dyDescent="0.3">
      <c r="A7222" s="8">
        <v>7220</v>
      </c>
      <c r="B7222" s="8" t="s">
        <v>10684</v>
      </c>
      <c r="C7222" s="8" t="s">
        <v>14509</v>
      </c>
      <c r="D7222" s="8" t="s">
        <v>14510</v>
      </c>
      <c r="E7222" s="13">
        <v>0</v>
      </c>
      <c r="F7222" s="14">
        <v>0</v>
      </c>
    </row>
    <row r="7223" spans="1:6" x14ac:dyDescent="0.3">
      <c r="A7223" s="8">
        <v>7221</v>
      </c>
      <c r="B7223" s="8" t="s">
        <v>10684</v>
      </c>
      <c r="C7223" s="8" t="s">
        <v>14511</v>
      </c>
      <c r="D7223" s="8" t="s">
        <v>14512</v>
      </c>
      <c r="E7223" s="13">
        <v>0</v>
      </c>
      <c r="F7223" s="14">
        <v>0</v>
      </c>
    </row>
    <row r="7224" spans="1:6" x14ac:dyDescent="0.3">
      <c r="A7224" s="8">
        <v>7222</v>
      </c>
      <c r="B7224" s="8" t="s">
        <v>10684</v>
      </c>
      <c r="C7224" s="8" t="s">
        <v>14513</v>
      </c>
      <c r="D7224" s="8" t="s">
        <v>14514</v>
      </c>
      <c r="E7224" s="13">
        <v>0</v>
      </c>
      <c r="F7224" s="14">
        <v>0</v>
      </c>
    </row>
    <row r="7225" spans="1:6" x14ac:dyDescent="0.3">
      <c r="A7225" s="8">
        <v>7223</v>
      </c>
      <c r="B7225" s="8" t="s">
        <v>10684</v>
      </c>
      <c r="C7225" s="8" t="s">
        <v>14515</v>
      </c>
      <c r="D7225" s="8" t="s">
        <v>14516</v>
      </c>
      <c r="E7225" s="13">
        <v>0</v>
      </c>
      <c r="F7225" s="14">
        <v>0</v>
      </c>
    </row>
    <row r="7226" spans="1:6" x14ac:dyDescent="0.3">
      <c r="A7226" s="8">
        <v>7224</v>
      </c>
      <c r="B7226" s="8" t="s">
        <v>10684</v>
      </c>
      <c r="C7226" s="8" t="s">
        <v>14517</v>
      </c>
      <c r="D7226" s="8" t="s">
        <v>14518</v>
      </c>
      <c r="E7226" s="13">
        <v>0</v>
      </c>
      <c r="F7226" s="14">
        <v>0</v>
      </c>
    </row>
    <row r="7227" spans="1:6" x14ac:dyDescent="0.3">
      <c r="A7227" s="8">
        <v>7225</v>
      </c>
      <c r="B7227" s="8" t="s">
        <v>10697</v>
      </c>
      <c r="C7227" s="8" t="s">
        <v>14519</v>
      </c>
      <c r="D7227" s="8" t="s">
        <v>14520</v>
      </c>
      <c r="E7227" s="13">
        <v>230000</v>
      </c>
      <c r="F7227" s="14">
        <v>460185</v>
      </c>
    </row>
    <row r="7228" spans="1:6" x14ac:dyDescent="0.3">
      <c r="A7228" s="8">
        <v>7226</v>
      </c>
      <c r="B7228" s="8" t="s">
        <v>10697</v>
      </c>
      <c r="C7228" s="8" t="s">
        <v>14521</v>
      </c>
      <c r="D7228" s="8" t="s">
        <v>14522</v>
      </c>
      <c r="E7228" s="13">
        <v>0</v>
      </c>
      <c r="F7228" s="14">
        <v>0</v>
      </c>
    </row>
    <row r="7229" spans="1:6" x14ac:dyDescent="0.3">
      <c r="A7229" s="8">
        <v>7227</v>
      </c>
      <c r="B7229" s="8" t="s">
        <v>10697</v>
      </c>
      <c r="C7229" s="8" t="s">
        <v>14523</v>
      </c>
      <c r="D7229" s="8" t="s">
        <v>14524</v>
      </c>
      <c r="E7229" s="13">
        <v>0</v>
      </c>
      <c r="F7229" s="14">
        <v>750000</v>
      </c>
    </row>
    <row r="7230" spans="1:6" x14ac:dyDescent="0.3">
      <c r="A7230" s="8">
        <v>7228</v>
      </c>
      <c r="B7230" s="8" t="s">
        <v>10697</v>
      </c>
      <c r="C7230" s="8" t="s">
        <v>14525</v>
      </c>
      <c r="D7230" s="8" t="s">
        <v>14526</v>
      </c>
      <c r="E7230" s="13">
        <v>38000</v>
      </c>
      <c r="F7230" s="14">
        <v>76000</v>
      </c>
    </row>
    <row r="7231" spans="1:6" x14ac:dyDescent="0.3">
      <c r="A7231" s="8">
        <v>7229</v>
      </c>
      <c r="B7231" s="8" t="s">
        <v>10697</v>
      </c>
      <c r="C7231" s="8" t="s">
        <v>14527</v>
      </c>
      <c r="D7231" s="8" t="s">
        <v>14528</v>
      </c>
      <c r="E7231" s="13">
        <v>190000</v>
      </c>
      <c r="F7231" s="14">
        <v>379630</v>
      </c>
    </row>
    <row r="7232" spans="1:6" x14ac:dyDescent="0.3">
      <c r="A7232" s="8">
        <v>7230</v>
      </c>
      <c r="B7232" s="8" t="s">
        <v>10697</v>
      </c>
      <c r="C7232" s="8" t="s">
        <v>14529</v>
      </c>
      <c r="D7232" s="8" t="s">
        <v>14530</v>
      </c>
      <c r="E7232" s="13">
        <v>20000</v>
      </c>
      <c r="F7232" s="14">
        <v>40000</v>
      </c>
    </row>
    <row r="7233" spans="1:6" x14ac:dyDescent="0.3">
      <c r="A7233" s="8">
        <v>7231</v>
      </c>
      <c r="B7233" s="8" t="s">
        <v>10697</v>
      </c>
      <c r="C7233" s="8" t="s">
        <v>14531</v>
      </c>
      <c r="D7233" s="8" t="s">
        <v>14532</v>
      </c>
      <c r="E7233" s="13">
        <v>0</v>
      </c>
      <c r="F7233" s="14">
        <v>0</v>
      </c>
    </row>
    <row r="7234" spans="1:6" x14ac:dyDescent="0.3">
      <c r="A7234" s="8">
        <v>7232</v>
      </c>
      <c r="B7234" s="8" t="s">
        <v>10697</v>
      </c>
      <c r="C7234" s="8" t="s">
        <v>14533</v>
      </c>
      <c r="D7234" s="8" t="s">
        <v>14534</v>
      </c>
      <c r="E7234" s="13">
        <v>22000</v>
      </c>
      <c r="F7234" s="14">
        <v>43519</v>
      </c>
    </row>
    <row r="7235" spans="1:6" x14ac:dyDescent="0.3">
      <c r="A7235" s="8">
        <v>7233</v>
      </c>
      <c r="B7235" s="8" t="s">
        <v>10697</v>
      </c>
      <c r="C7235" s="8" t="s">
        <v>14535</v>
      </c>
      <c r="D7235" s="8" t="s">
        <v>14536</v>
      </c>
      <c r="E7235" s="13">
        <v>57000</v>
      </c>
      <c r="F7235" s="14">
        <v>90000</v>
      </c>
    </row>
    <row r="7236" spans="1:6" x14ac:dyDescent="0.3">
      <c r="A7236" s="8">
        <v>7234</v>
      </c>
      <c r="B7236" s="8" t="s">
        <v>10697</v>
      </c>
      <c r="C7236" s="8" t="s">
        <v>14537</v>
      </c>
      <c r="D7236" s="8" t="s">
        <v>14538</v>
      </c>
      <c r="E7236" s="13">
        <v>0</v>
      </c>
      <c r="F7236" s="14">
        <v>1111111</v>
      </c>
    </row>
    <row r="7237" spans="1:6" x14ac:dyDescent="0.3">
      <c r="A7237" s="8">
        <v>7235</v>
      </c>
      <c r="B7237" s="8" t="s">
        <v>10697</v>
      </c>
      <c r="C7237" s="8" t="s">
        <v>14539</v>
      </c>
      <c r="D7237" s="8" t="s">
        <v>14540</v>
      </c>
      <c r="E7237" s="13">
        <v>0</v>
      </c>
      <c r="F7237" s="14">
        <v>0</v>
      </c>
    </row>
    <row r="7238" spans="1:6" x14ac:dyDescent="0.3">
      <c r="A7238" s="8">
        <v>7236</v>
      </c>
      <c r="B7238" s="8" t="s">
        <v>10697</v>
      </c>
      <c r="C7238" s="8" t="s">
        <v>14541</v>
      </c>
      <c r="D7238" s="8" t="s">
        <v>14542</v>
      </c>
      <c r="E7238" s="13">
        <v>0</v>
      </c>
      <c r="F7238" s="14">
        <v>0</v>
      </c>
    </row>
    <row r="7239" spans="1:6" x14ac:dyDescent="0.3">
      <c r="A7239" s="8">
        <v>7237</v>
      </c>
      <c r="B7239" s="8" t="s">
        <v>10697</v>
      </c>
      <c r="C7239" s="8" t="s">
        <v>14543</v>
      </c>
      <c r="D7239" s="8" t="s">
        <v>14544</v>
      </c>
      <c r="E7239" s="13">
        <v>0</v>
      </c>
      <c r="F7239" s="14">
        <v>0</v>
      </c>
    </row>
    <row r="7240" spans="1:6" x14ac:dyDescent="0.3">
      <c r="A7240" s="8">
        <v>7238</v>
      </c>
      <c r="B7240" s="8" t="s">
        <v>10697</v>
      </c>
      <c r="C7240" s="8" t="s">
        <v>14545</v>
      </c>
      <c r="D7240" s="8" t="s">
        <v>14546</v>
      </c>
      <c r="E7240" s="13">
        <v>0</v>
      </c>
      <c r="F7240" s="14">
        <v>0</v>
      </c>
    </row>
    <row r="7241" spans="1:6" x14ac:dyDescent="0.3">
      <c r="A7241" s="8">
        <v>7239</v>
      </c>
      <c r="B7241" s="8" t="s">
        <v>10697</v>
      </c>
      <c r="C7241" s="8" t="s">
        <v>14547</v>
      </c>
      <c r="D7241" s="8" t="s">
        <v>14548</v>
      </c>
      <c r="E7241" s="13">
        <v>0</v>
      </c>
      <c r="F7241" s="14">
        <v>0</v>
      </c>
    </row>
    <row r="7242" spans="1:6" x14ac:dyDescent="0.3">
      <c r="A7242" s="8">
        <v>7240</v>
      </c>
      <c r="B7242" s="8" t="s">
        <v>6516</v>
      </c>
      <c r="C7242" s="8" t="s">
        <v>14549</v>
      </c>
      <c r="D7242" s="8" t="s">
        <v>14550</v>
      </c>
      <c r="E7242" s="13">
        <v>0</v>
      </c>
      <c r="F7242" s="14">
        <v>0</v>
      </c>
    </row>
    <row r="7243" spans="1:6" x14ac:dyDescent="0.3">
      <c r="A7243" s="8">
        <v>7241</v>
      </c>
      <c r="B7243" s="8" t="s">
        <v>6516</v>
      </c>
      <c r="C7243" s="8" t="s">
        <v>14551</v>
      </c>
      <c r="D7243" s="8" t="s">
        <v>14552</v>
      </c>
      <c r="E7243" s="13">
        <v>0</v>
      </c>
      <c r="F7243" s="14">
        <v>0</v>
      </c>
    </row>
    <row r="7244" spans="1:6" x14ac:dyDescent="0.3">
      <c r="A7244" s="8">
        <v>7242</v>
      </c>
      <c r="B7244" s="8" t="s">
        <v>6516</v>
      </c>
      <c r="C7244" s="8" t="s">
        <v>14553</v>
      </c>
      <c r="D7244" s="8" t="s">
        <v>14554</v>
      </c>
      <c r="E7244" s="13">
        <v>0</v>
      </c>
      <c r="F7244" s="14">
        <v>0</v>
      </c>
    </row>
    <row r="7245" spans="1:6" x14ac:dyDescent="0.3">
      <c r="A7245" s="8">
        <v>7243</v>
      </c>
      <c r="B7245" s="8" t="s">
        <v>6516</v>
      </c>
      <c r="C7245" s="8" t="s">
        <v>14555</v>
      </c>
      <c r="D7245" s="8" t="s">
        <v>14556</v>
      </c>
      <c r="E7245" s="13">
        <v>0</v>
      </c>
      <c r="F7245" s="14">
        <v>0</v>
      </c>
    </row>
    <row r="7246" spans="1:6" x14ac:dyDescent="0.3">
      <c r="A7246" s="8">
        <v>7244</v>
      </c>
      <c r="B7246" s="8" t="s">
        <v>6516</v>
      </c>
      <c r="C7246" s="8" t="s">
        <v>14557</v>
      </c>
      <c r="D7246" s="8" t="s">
        <v>14558</v>
      </c>
      <c r="E7246" s="13">
        <v>0</v>
      </c>
      <c r="F7246" s="14">
        <v>0</v>
      </c>
    </row>
    <row r="7247" spans="1:6" x14ac:dyDescent="0.3">
      <c r="A7247" s="8">
        <v>7245</v>
      </c>
      <c r="B7247" s="8" t="s">
        <v>6516</v>
      </c>
      <c r="C7247" s="8" t="s">
        <v>14559</v>
      </c>
      <c r="D7247" s="8" t="s">
        <v>14560</v>
      </c>
      <c r="E7247" s="13">
        <v>0</v>
      </c>
      <c r="F7247" s="14">
        <v>0</v>
      </c>
    </row>
    <row r="7248" spans="1:6" x14ac:dyDescent="0.3">
      <c r="A7248" s="8">
        <v>7246</v>
      </c>
      <c r="B7248" s="8" t="s">
        <v>6516</v>
      </c>
      <c r="C7248" s="8" t="s">
        <v>14561</v>
      </c>
      <c r="D7248" s="8" t="s">
        <v>14562</v>
      </c>
      <c r="E7248" s="13">
        <v>0</v>
      </c>
      <c r="F7248" s="14">
        <v>0</v>
      </c>
    </row>
    <row r="7249" spans="1:6" x14ac:dyDescent="0.3">
      <c r="A7249" s="8">
        <v>7247</v>
      </c>
      <c r="B7249" s="8" t="s">
        <v>6516</v>
      </c>
      <c r="C7249" s="8" t="s">
        <v>14563</v>
      </c>
      <c r="D7249" s="8" t="s">
        <v>14564</v>
      </c>
      <c r="E7249" s="13">
        <v>0</v>
      </c>
      <c r="F7249" s="14">
        <v>0</v>
      </c>
    </row>
    <row r="7250" spans="1:6" x14ac:dyDescent="0.3">
      <c r="A7250" s="8">
        <v>7248</v>
      </c>
      <c r="B7250" s="8" t="s">
        <v>6516</v>
      </c>
      <c r="C7250" s="8" t="s">
        <v>14565</v>
      </c>
      <c r="D7250" s="8" t="s">
        <v>14566</v>
      </c>
      <c r="E7250" s="13">
        <v>0</v>
      </c>
      <c r="F7250" s="14">
        <v>0</v>
      </c>
    </row>
    <row r="7251" spans="1:6" x14ac:dyDescent="0.3">
      <c r="A7251" s="8">
        <v>7249</v>
      </c>
      <c r="B7251" s="8" t="s">
        <v>6516</v>
      </c>
      <c r="C7251" s="8" t="s">
        <v>14567</v>
      </c>
      <c r="D7251" s="8" t="s">
        <v>14568</v>
      </c>
      <c r="E7251" s="13">
        <v>0</v>
      </c>
      <c r="F7251" s="14">
        <v>0</v>
      </c>
    </row>
    <row r="7252" spans="1:6" x14ac:dyDescent="0.3">
      <c r="A7252" s="8">
        <v>7250</v>
      </c>
      <c r="B7252" s="8" t="s">
        <v>6516</v>
      </c>
      <c r="C7252" s="8" t="s">
        <v>14569</v>
      </c>
      <c r="D7252" s="8" t="s">
        <v>14570</v>
      </c>
      <c r="E7252" s="13">
        <v>0</v>
      </c>
      <c r="F7252" s="14">
        <v>0</v>
      </c>
    </row>
    <row r="7253" spans="1:6" x14ac:dyDescent="0.3">
      <c r="A7253" s="8">
        <v>7251</v>
      </c>
      <c r="B7253" s="8" t="s">
        <v>6516</v>
      </c>
      <c r="C7253" s="8" t="s">
        <v>14571</v>
      </c>
      <c r="D7253" s="8" t="s">
        <v>14572</v>
      </c>
      <c r="E7253" s="13">
        <v>0</v>
      </c>
      <c r="F7253" s="14">
        <v>0</v>
      </c>
    </row>
    <row r="7254" spans="1:6" x14ac:dyDescent="0.3">
      <c r="A7254" s="8">
        <v>7252</v>
      </c>
      <c r="B7254" s="8" t="s">
        <v>6516</v>
      </c>
      <c r="C7254" s="8" t="s">
        <v>14573</v>
      </c>
      <c r="D7254" s="8" t="s">
        <v>14574</v>
      </c>
      <c r="E7254" s="13">
        <v>0</v>
      </c>
      <c r="F7254" s="14">
        <v>0</v>
      </c>
    </row>
    <row r="7255" spans="1:6" x14ac:dyDescent="0.3">
      <c r="A7255" s="8">
        <v>7253</v>
      </c>
      <c r="B7255" s="8" t="s">
        <v>6516</v>
      </c>
      <c r="C7255" s="8" t="s">
        <v>14575</v>
      </c>
      <c r="D7255" s="8" t="s">
        <v>14576</v>
      </c>
      <c r="E7255" s="13">
        <v>0</v>
      </c>
      <c r="F7255" s="14">
        <v>0</v>
      </c>
    </row>
    <row r="7256" spans="1:6" x14ac:dyDescent="0.3">
      <c r="A7256" s="8">
        <v>7254</v>
      </c>
      <c r="B7256" s="8" t="s">
        <v>6516</v>
      </c>
      <c r="C7256" s="8" t="s">
        <v>14577</v>
      </c>
      <c r="D7256" s="8" t="s">
        <v>14578</v>
      </c>
      <c r="E7256" s="13">
        <v>0</v>
      </c>
      <c r="F7256" s="14">
        <v>1212963</v>
      </c>
    </row>
    <row r="7257" spans="1:6" x14ac:dyDescent="0.3">
      <c r="A7257" s="8">
        <v>7255</v>
      </c>
      <c r="B7257" s="8" t="s">
        <v>6516</v>
      </c>
      <c r="C7257" s="8" t="s">
        <v>14579</v>
      </c>
      <c r="D7257" s="8" t="s">
        <v>14580</v>
      </c>
      <c r="E7257" s="13">
        <v>0</v>
      </c>
      <c r="F7257" s="14">
        <v>0</v>
      </c>
    </row>
    <row r="7258" spans="1:6" x14ac:dyDescent="0.3">
      <c r="A7258" s="8">
        <v>7256</v>
      </c>
      <c r="B7258" s="8" t="s">
        <v>6516</v>
      </c>
      <c r="C7258" s="8" t="s">
        <v>14581</v>
      </c>
      <c r="D7258" s="8" t="s">
        <v>14582</v>
      </c>
      <c r="E7258" s="13">
        <v>0</v>
      </c>
      <c r="F7258" s="14">
        <v>0</v>
      </c>
    </row>
    <row r="7259" spans="1:6" x14ac:dyDescent="0.3">
      <c r="A7259" s="8">
        <v>7257</v>
      </c>
      <c r="B7259" s="8" t="s">
        <v>6516</v>
      </c>
      <c r="C7259" s="8" t="s">
        <v>14583</v>
      </c>
      <c r="D7259" s="8" t="s">
        <v>14584</v>
      </c>
      <c r="E7259" s="13">
        <v>0</v>
      </c>
      <c r="F7259" s="14">
        <v>0</v>
      </c>
    </row>
    <row r="7260" spans="1:6" x14ac:dyDescent="0.3">
      <c r="A7260" s="8">
        <v>7258</v>
      </c>
      <c r="B7260" s="8" t="s">
        <v>6516</v>
      </c>
      <c r="C7260" s="8" t="s">
        <v>14585</v>
      </c>
      <c r="D7260" s="8" t="s">
        <v>14586</v>
      </c>
      <c r="E7260" s="13">
        <v>0</v>
      </c>
      <c r="F7260" s="14">
        <v>0</v>
      </c>
    </row>
    <row r="7261" spans="1:6" x14ac:dyDescent="0.3">
      <c r="A7261" s="8">
        <v>7259</v>
      </c>
      <c r="B7261" s="8" t="s">
        <v>7355</v>
      </c>
      <c r="C7261" s="8" t="s">
        <v>14587</v>
      </c>
      <c r="D7261" s="8" t="s">
        <v>14588</v>
      </c>
      <c r="E7261" s="13">
        <v>309000</v>
      </c>
      <c r="F7261" s="14">
        <v>497000</v>
      </c>
    </row>
    <row r="7262" spans="1:6" x14ac:dyDescent="0.3">
      <c r="A7262" s="8">
        <v>7260</v>
      </c>
      <c r="B7262" s="8" t="s">
        <v>7355</v>
      </c>
      <c r="C7262" s="8" t="s">
        <v>14589</v>
      </c>
      <c r="D7262" s="8" t="s">
        <v>14590</v>
      </c>
      <c r="E7262" s="13">
        <v>191000</v>
      </c>
      <c r="F7262" s="14">
        <v>382407</v>
      </c>
    </row>
    <row r="7263" spans="1:6" x14ac:dyDescent="0.3">
      <c r="A7263" s="8">
        <v>7261</v>
      </c>
      <c r="B7263" s="8" t="s">
        <v>7355</v>
      </c>
      <c r="C7263" s="8" t="s">
        <v>14591</v>
      </c>
      <c r="D7263" s="8" t="s">
        <v>14592</v>
      </c>
      <c r="E7263" s="13">
        <v>103000</v>
      </c>
      <c r="F7263" s="14">
        <v>205556</v>
      </c>
    </row>
    <row r="7264" spans="1:6" x14ac:dyDescent="0.3">
      <c r="A7264" s="8">
        <v>7262</v>
      </c>
      <c r="B7264" s="8" t="s">
        <v>12392</v>
      </c>
      <c r="C7264" s="8" t="s">
        <v>14593</v>
      </c>
      <c r="D7264" s="8" t="s">
        <v>14594</v>
      </c>
      <c r="E7264" s="13">
        <v>150600</v>
      </c>
      <c r="F7264" s="14">
        <v>301000</v>
      </c>
    </row>
    <row r="7265" spans="1:6" x14ac:dyDescent="0.3">
      <c r="A7265" s="8">
        <v>7263</v>
      </c>
      <c r="B7265" s="8" t="s">
        <v>7694</v>
      </c>
      <c r="C7265" s="8" t="s">
        <v>14595</v>
      </c>
      <c r="D7265" s="8" t="s">
        <v>14596</v>
      </c>
      <c r="E7265" s="13">
        <v>0</v>
      </c>
      <c r="F7265" s="14">
        <v>631818</v>
      </c>
    </row>
    <row r="7266" spans="1:6" x14ac:dyDescent="0.3">
      <c r="A7266" s="8">
        <v>7264</v>
      </c>
      <c r="B7266" s="8" t="s">
        <v>7694</v>
      </c>
      <c r="C7266" s="8" t="s">
        <v>14597</v>
      </c>
      <c r="D7266" s="8" t="s">
        <v>14598</v>
      </c>
      <c r="E7266" s="13">
        <v>0</v>
      </c>
      <c r="F7266" s="14">
        <v>1107273</v>
      </c>
    </row>
    <row r="7267" spans="1:6" x14ac:dyDescent="0.3">
      <c r="A7267" s="8">
        <v>7265</v>
      </c>
      <c r="B7267" s="8" t="s">
        <v>7694</v>
      </c>
      <c r="C7267" s="8" t="s">
        <v>14599</v>
      </c>
      <c r="D7267" s="8" t="s">
        <v>14600</v>
      </c>
      <c r="E7267" s="13">
        <v>0</v>
      </c>
      <c r="F7267" s="14">
        <v>0</v>
      </c>
    </row>
    <row r="7268" spans="1:6" x14ac:dyDescent="0.3">
      <c r="A7268" s="8">
        <v>7266</v>
      </c>
      <c r="B7268" s="8" t="s">
        <v>7694</v>
      </c>
      <c r="C7268" s="8" t="s">
        <v>14601</v>
      </c>
      <c r="D7268" s="8" t="s">
        <v>14602</v>
      </c>
      <c r="E7268" s="13">
        <v>0</v>
      </c>
      <c r="F7268" s="14">
        <v>0</v>
      </c>
    </row>
    <row r="7269" spans="1:6" x14ac:dyDescent="0.3">
      <c r="A7269" s="8">
        <v>7267</v>
      </c>
      <c r="B7269" s="8" t="s">
        <v>7694</v>
      </c>
      <c r="C7269" s="8" t="s">
        <v>14603</v>
      </c>
      <c r="D7269" s="8" t="s">
        <v>14604</v>
      </c>
      <c r="E7269" s="13">
        <v>0</v>
      </c>
      <c r="F7269" s="14">
        <v>0</v>
      </c>
    </row>
    <row r="7270" spans="1:6" x14ac:dyDescent="0.3">
      <c r="A7270" s="8">
        <v>7268</v>
      </c>
      <c r="B7270" s="8" t="s">
        <v>7694</v>
      </c>
      <c r="C7270" s="8" t="s">
        <v>14605</v>
      </c>
      <c r="D7270" s="8" t="s">
        <v>14606</v>
      </c>
      <c r="E7270" s="13">
        <v>141000</v>
      </c>
      <c r="F7270" s="14">
        <v>281818</v>
      </c>
    </row>
    <row r="7271" spans="1:6" x14ac:dyDescent="0.3">
      <c r="A7271" s="8">
        <v>7269</v>
      </c>
      <c r="B7271" s="8" t="s">
        <v>7694</v>
      </c>
      <c r="C7271" s="8" t="s">
        <v>14607</v>
      </c>
      <c r="D7271" s="8" t="s">
        <v>14608</v>
      </c>
      <c r="E7271" s="13">
        <v>0</v>
      </c>
      <c r="F7271" s="14">
        <v>0</v>
      </c>
    </row>
    <row r="7272" spans="1:6" x14ac:dyDescent="0.3">
      <c r="A7272" s="8">
        <v>7270</v>
      </c>
      <c r="B7272" s="8" t="s">
        <v>7694</v>
      </c>
      <c r="C7272" s="8" t="s">
        <v>14609</v>
      </c>
      <c r="D7272" s="8" t="s">
        <v>14610</v>
      </c>
      <c r="E7272" s="13">
        <v>260000</v>
      </c>
      <c r="F7272" s="14">
        <v>520370</v>
      </c>
    </row>
    <row r="7273" spans="1:6" x14ac:dyDescent="0.3">
      <c r="A7273" s="8">
        <v>7271</v>
      </c>
      <c r="B7273" s="8" t="s">
        <v>7694</v>
      </c>
      <c r="C7273" s="8" t="s">
        <v>14611</v>
      </c>
      <c r="D7273" s="8" t="s">
        <v>14612</v>
      </c>
      <c r="E7273" s="13">
        <v>170000</v>
      </c>
      <c r="F7273" s="14">
        <v>339815</v>
      </c>
    </row>
    <row r="7274" spans="1:6" x14ac:dyDescent="0.3">
      <c r="A7274" s="8">
        <v>7272</v>
      </c>
      <c r="B7274" s="8" t="s">
        <v>7694</v>
      </c>
      <c r="C7274" s="8" t="s">
        <v>14613</v>
      </c>
      <c r="D7274" s="8" t="s">
        <v>14614</v>
      </c>
      <c r="E7274" s="13">
        <v>310200</v>
      </c>
      <c r="F7274" s="14">
        <v>620000</v>
      </c>
    </row>
    <row r="7275" spans="1:6" x14ac:dyDescent="0.3">
      <c r="A7275" s="8">
        <v>7273</v>
      </c>
      <c r="B7275" s="8" t="s">
        <v>7694</v>
      </c>
      <c r="C7275" s="8" t="s">
        <v>14615</v>
      </c>
      <c r="D7275" s="8" t="s">
        <v>14616</v>
      </c>
      <c r="E7275" s="13">
        <v>850000</v>
      </c>
      <c r="F7275" s="14">
        <v>1700000</v>
      </c>
    </row>
    <row r="7276" spans="1:6" x14ac:dyDescent="0.3">
      <c r="A7276" s="8">
        <v>7274</v>
      </c>
      <c r="B7276" s="8" t="s">
        <v>7694</v>
      </c>
      <c r="C7276" s="8" t="s">
        <v>14617</v>
      </c>
      <c r="D7276" s="8" t="s">
        <v>14618</v>
      </c>
      <c r="E7276" s="13">
        <v>0</v>
      </c>
      <c r="F7276" s="14">
        <v>0</v>
      </c>
    </row>
    <row r="7277" spans="1:6" x14ac:dyDescent="0.3">
      <c r="A7277" s="8">
        <v>7275</v>
      </c>
      <c r="B7277" s="8" t="s">
        <v>7694</v>
      </c>
      <c r="C7277" s="8" t="s">
        <v>14619</v>
      </c>
      <c r="D7277" s="8" t="s">
        <v>14620</v>
      </c>
      <c r="E7277" s="13">
        <v>0</v>
      </c>
      <c r="F7277" s="14">
        <v>0</v>
      </c>
    </row>
    <row r="7278" spans="1:6" x14ac:dyDescent="0.3">
      <c r="A7278" s="8">
        <v>7276</v>
      </c>
      <c r="B7278" s="8" t="s">
        <v>7694</v>
      </c>
      <c r="C7278" s="8" t="s">
        <v>14621</v>
      </c>
      <c r="D7278" s="8" t="s">
        <v>14622</v>
      </c>
      <c r="E7278" s="13">
        <v>0</v>
      </c>
      <c r="F7278" s="14">
        <v>0</v>
      </c>
    </row>
    <row r="7279" spans="1:6" x14ac:dyDescent="0.3">
      <c r="A7279" s="8">
        <v>7277</v>
      </c>
      <c r="B7279" s="8" t="s">
        <v>7694</v>
      </c>
      <c r="C7279" s="8" t="s">
        <v>14623</v>
      </c>
      <c r="D7279" s="8" t="s">
        <v>14624</v>
      </c>
      <c r="E7279" s="13">
        <v>189900</v>
      </c>
      <c r="F7279" s="14">
        <v>379630</v>
      </c>
    </row>
    <row r="7280" spans="1:6" x14ac:dyDescent="0.3">
      <c r="A7280" s="8">
        <v>7278</v>
      </c>
      <c r="B7280" s="8" t="s">
        <v>7694</v>
      </c>
      <c r="C7280" s="8" t="s">
        <v>14625</v>
      </c>
      <c r="D7280" s="8" t="s">
        <v>14626</v>
      </c>
      <c r="E7280" s="13">
        <v>0</v>
      </c>
      <c r="F7280" s="14">
        <v>620000</v>
      </c>
    </row>
    <row r="7281" spans="1:6" x14ac:dyDescent="0.3">
      <c r="A7281" s="8">
        <v>7279</v>
      </c>
      <c r="B7281" s="8" t="s">
        <v>7694</v>
      </c>
      <c r="C7281" s="8" t="s">
        <v>14627</v>
      </c>
      <c r="D7281" s="8" t="s">
        <v>14628</v>
      </c>
      <c r="E7281" s="13">
        <v>246300</v>
      </c>
      <c r="F7281" s="14">
        <v>492593</v>
      </c>
    </row>
    <row r="7282" spans="1:6" x14ac:dyDescent="0.3">
      <c r="A7282" s="8">
        <v>7280</v>
      </c>
      <c r="B7282" s="8" t="s">
        <v>7694</v>
      </c>
      <c r="C7282" s="8" t="s">
        <v>14629</v>
      </c>
      <c r="D7282" s="8" t="s">
        <v>14630</v>
      </c>
      <c r="E7282" s="13">
        <v>342600</v>
      </c>
      <c r="F7282" s="14">
        <v>685455</v>
      </c>
    </row>
    <row r="7283" spans="1:6" x14ac:dyDescent="0.3">
      <c r="A7283" s="8">
        <v>7281</v>
      </c>
      <c r="B7283" s="8" t="s">
        <v>7694</v>
      </c>
      <c r="C7283" s="8" t="s">
        <v>14631</v>
      </c>
      <c r="D7283" s="8" t="s">
        <v>14632</v>
      </c>
      <c r="E7283" s="13">
        <v>0</v>
      </c>
      <c r="F7283" s="14">
        <v>0</v>
      </c>
    </row>
    <row r="7284" spans="1:6" x14ac:dyDescent="0.3">
      <c r="A7284" s="8">
        <v>7282</v>
      </c>
      <c r="B7284" s="8" t="s">
        <v>7694</v>
      </c>
      <c r="C7284" s="8" t="s">
        <v>14633</v>
      </c>
      <c r="D7284" s="8" t="s">
        <v>14634</v>
      </c>
      <c r="E7284" s="13">
        <v>4189000</v>
      </c>
      <c r="F7284" s="14">
        <v>7000000</v>
      </c>
    </row>
    <row r="7285" spans="1:6" x14ac:dyDescent="0.3">
      <c r="A7285" s="8">
        <v>7283</v>
      </c>
      <c r="B7285" s="8" t="s">
        <v>7694</v>
      </c>
      <c r="C7285" s="8" t="s">
        <v>14635</v>
      </c>
      <c r="D7285" s="8" t="s">
        <v>14636</v>
      </c>
      <c r="E7285" s="13">
        <v>202000</v>
      </c>
      <c r="F7285" s="14">
        <v>403704</v>
      </c>
    </row>
    <row r="7286" spans="1:6" x14ac:dyDescent="0.3">
      <c r="A7286" s="8">
        <v>7284</v>
      </c>
      <c r="B7286" s="8" t="s">
        <v>7694</v>
      </c>
      <c r="C7286" s="8" t="s">
        <v>14637</v>
      </c>
      <c r="D7286" s="8" t="s">
        <v>14638</v>
      </c>
      <c r="E7286" s="13">
        <v>0</v>
      </c>
      <c r="F7286" s="14">
        <v>800000</v>
      </c>
    </row>
    <row r="7287" spans="1:6" x14ac:dyDescent="0.3">
      <c r="A7287" s="8">
        <v>7285</v>
      </c>
      <c r="B7287" s="8" t="s">
        <v>7694</v>
      </c>
      <c r="C7287" s="8" t="s">
        <v>14639</v>
      </c>
      <c r="D7287" s="8" t="s">
        <v>14640</v>
      </c>
      <c r="E7287" s="13">
        <v>1149000</v>
      </c>
      <c r="F7287" s="14">
        <v>1920370</v>
      </c>
    </row>
    <row r="7288" spans="1:6" x14ac:dyDescent="0.3">
      <c r="A7288" s="8">
        <v>7286</v>
      </c>
      <c r="B7288" s="8" t="s">
        <v>7694</v>
      </c>
      <c r="C7288" s="8" t="s">
        <v>14641</v>
      </c>
      <c r="D7288" s="8" t="s">
        <v>14642</v>
      </c>
      <c r="E7288" s="13">
        <v>152800</v>
      </c>
      <c r="F7288" s="14">
        <v>305556</v>
      </c>
    </row>
    <row r="7289" spans="1:6" x14ac:dyDescent="0.3">
      <c r="A7289" s="8">
        <v>7287</v>
      </c>
      <c r="B7289" s="8" t="s">
        <v>6516</v>
      </c>
      <c r="C7289" s="8" t="s">
        <v>14643</v>
      </c>
      <c r="D7289" s="8" t="s">
        <v>14644</v>
      </c>
      <c r="E7289" s="13">
        <v>0</v>
      </c>
      <c r="F7289" s="14">
        <v>0</v>
      </c>
    </row>
    <row r="7290" spans="1:6" x14ac:dyDescent="0.3">
      <c r="A7290" s="8">
        <v>7288</v>
      </c>
      <c r="B7290" s="8" t="s">
        <v>6516</v>
      </c>
      <c r="C7290" s="8" t="s">
        <v>14645</v>
      </c>
      <c r="D7290" s="8" t="s">
        <v>14646</v>
      </c>
      <c r="E7290" s="13">
        <v>0</v>
      </c>
      <c r="F7290" s="14">
        <v>0</v>
      </c>
    </row>
    <row r="7291" spans="1:6" x14ac:dyDescent="0.3">
      <c r="A7291" s="8">
        <v>7289</v>
      </c>
      <c r="B7291" s="8" t="s">
        <v>6516</v>
      </c>
      <c r="C7291" s="8" t="s">
        <v>14647</v>
      </c>
      <c r="D7291" s="8" t="s">
        <v>14648</v>
      </c>
      <c r="E7291" s="13">
        <v>0</v>
      </c>
      <c r="F7291" s="14">
        <v>0</v>
      </c>
    </row>
    <row r="7292" spans="1:6" x14ac:dyDescent="0.3">
      <c r="A7292" s="8">
        <v>7290</v>
      </c>
      <c r="B7292" s="8" t="s">
        <v>6516</v>
      </c>
      <c r="C7292" s="8" t="s">
        <v>14649</v>
      </c>
      <c r="D7292" s="8" t="s">
        <v>14650</v>
      </c>
      <c r="E7292" s="13">
        <v>0</v>
      </c>
      <c r="F7292" s="14">
        <v>0</v>
      </c>
    </row>
    <row r="7293" spans="1:6" x14ac:dyDescent="0.3">
      <c r="A7293" s="8">
        <v>7291</v>
      </c>
      <c r="B7293" s="8" t="s">
        <v>7355</v>
      </c>
      <c r="C7293" s="8" t="s">
        <v>14651</v>
      </c>
      <c r="D7293" s="8" t="s">
        <v>14652</v>
      </c>
      <c r="E7293" s="13">
        <v>115000</v>
      </c>
      <c r="F7293" s="14">
        <v>230000</v>
      </c>
    </row>
    <row r="7294" spans="1:6" x14ac:dyDescent="0.3">
      <c r="A7294" s="8">
        <v>7292</v>
      </c>
      <c r="B7294" s="8" t="s">
        <v>7355</v>
      </c>
      <c r="C7294" s="8" t="s">
        <v>14653</v>
      </c>
      <c r="D7294" s="8" t="s">
        <v>14654</v>
      </c>
      <c r="E7294" s="13">
        <v>210000</v>
      </c>
      <c r="F7294" s="14">
        <v>420370</v>
      </c>
    </row>
    <row r="7295" spans="1:6" x14ac:dyDescent="0.3">
      <c r="A7295" s="8">
        <v>7293</v>
      </c>
      <c r="B7295" s="8" t="s">
        <v>7355</v>
      </c>
      <c r="C7295" s="8" t="s">
        <v>14655</v>
      </c>
      <c r="D7295" s="8" t="s">
        <v>14656</v>
      </c>
      <c r="E7295" s="13">
        <v>0</v>
      </c>
      <c r="F7295" s="14">
        <v>0</v>
      </c>
    </row>
    <row r="7296" spans="1:6" x14ac:dyDescent="0.3">
      <c r="A7296" s="8">
        <v>7294</v>
      </c>
      <c r="B7296" s="8" t="s">
        <v>7368</v>
      </c>
      <c r="C7296" s="8" t="s">
        <v>14657</v>
      </c>
      <c r="D7296" s="8" t="s">
        <v>14658</v>
      </c>
      <c r="E7296" s="13">
        <v>150500</v>
      </c>
      <c r="F7296" s="14">
        <v>301000</v>
      </c>
    </row>
    <row r="7297" spans="1:6" x14ac:dyDescent="0.3">
      <c r="A7297" s="8">
        <v>7295</v>
      </c>
      <c r="B7297" s="8" t="s">
        <v>7368</v>
      </c>
      <c r="C7297" s="8" t="s">
        <v>14659</v>
      </c>
      <c r="D7297" s="8" t="s">
        <v>14660</v>
      </c>
      <c r="E7297" s="13">
        <v>82400</v>
      </c>
      <c r="F7297" s="14">
        <v>165000</v>
      </c>
    </row>
    <row r="7298" spans="1:6" x14ac:dyDescent="0.3">
      <c r="A7298" s="8">
        <v>7296</v>
      </c>
      <c r="B7298" s="8" t="s">
        <v>12392</v>
      </c>
      <c r="C7298" s="8" t="s">
        <v>14661</v>
      </c>
      <c r="D7298" s="8" t="s">
        <v>14662</v>
      </c>
      <c r="E7298" s="13">
        <v>105000</v>
      </c>
      <c r="F7298" s="14">
        <v>210185</v>
      </c>
    </row>
    <row r="7299" spans="1:6" x14ac:dyDescent="0.3">
      <c r="A7299" s="8">
        <v>7297</v>
      </c>
      <c r="B7299" s="8" t="s">
        <v>7368</v>
      </c>
      <c r="C7299" s="8" t="s">
        <v>14663</v>
      </c>
      <c r="D7299" s="8" t="s">
        <v>14664</v>
      </c>
      <c r="E7299" s="13">
        <v>0</v>
      </c>
      <c r="F7299" s="14">
        <v>0</v>
      </c>
    </row>
    <row r="7300" spans="1:6" x14ac:dyDescent="0.3">
      <c r="A7300" s="8">
        <v>7298</v>
      </c>
      <c r="B7300" s="8" t="s">
        <v>7368</v>
      </c>
      <c r="C7300" s="8" t="s">
        <v>14665</v>
      </c>
      <c r="D7300" s="8" t="s">
        <v>14666</v>
      </c>
      <c r="E7300" s="13">
        <v>105000</v>
      </c>
      <c r="F7300" s="14">
        <v>210185</v>
      </c>
    </row>
    <row r="7301" spans="1:6" x14ac:dyDescent="0.3">
      <c r="A7301" s="8">
        <v>7299</v>
      </c>
      <c r="B7301" s="8" t="s">
        <v>7368</v>
      </c>
      <c r="C7301" s="8" t="s">
        <v>14667</v>
      </c>
      <c r="D7301" s="8" t="s">
        <v>14668</v>
      </c>
      <c r="E7301" s="13">
        <v>68600</v>
      </c>
      <c r="F7301" s="14">
        <v>137037</v>
      </c>
    </row>
    <row r="7302" spans="1:6" x14ac:dyDescent="0.3">
      <c r="A7302" s="8">
        <v>7300</v>
      </c>
      <c r="B7302" s="8" t="s">
        <v>7368</v>
      </c>
      <c r="C7302" s="8" t="s">
        <v>14669</v>
      </c>
      <c r="D7302" s="8" t="s">
        <v>14670</v>
      </c>
      <c r="E7302" s="13">
        <v>0</v>
      </c>
      <c r="F7302" s="14">
        <v>0</v>
      </c>
    </row>
    <row r="7303" spans="1:6" x14ac:dyDescent="0.3">
      <c r="A7303" s="8">
        <v>7301</v>
      </c>
      <c r="B7303" s="8" t="s">
        <v>7368</v>
      </c>
      <c r="C7303" s="8" t="s">
        <v>14671</v>
      </c>
      <c r="D7303" s="8" t="s">
        <v>14672</v>
      </c>
      <c r="E7303" s="13">
        <v>0</v>
      </c>
      <c r="F7303" s="14">
        <v>0</v>
      </c>
    </row>
    <row r="7304" spans="1:6" x14ac:dyDescent="0.3">
      <c r="A7304" s="8">
        <v>7302</v>
      </c>
      <c r="B7304" s="8" t="s">
        <v>7681</v>
      </c>
      <c r="C7304" s="8" t="s">
        <v>14673</v>
      </c>
      <c r="D7304" s="8" t="s">
        <v>14674</v>
      </c>
      <c r="E7304" s="13">
        <v>63000</v>
      </c>
      <c r="F7304" s="14">
        <v>126000</v>
      </c>
    </row>
    <row r="7305" spans="1:6" x14ac:dyDescent="0.3">
      <c r="A7305" s="8">
        <v>7303</v>
      </c>
      <c r="B7305" s="8" t="s">
        <v>7681</v>
      </c>
      <c r="C7305" s="8" t="s">
        <v>14675</v>
      </c>
      <c r="D7305" s="8" t="s">
        <v>14676</v>
      </c>
      <c r="E7305" s="13">
        <v>116000</v>
      </c>
      <c r="F7305" s="14">
        <v>232000</v>
      </c>
    </row>
    <row r="7306" spans="1:6" x14ac:dyDescent="0.3">
      <c r="A7306" s="8">
        <v>7304</v>
      </c>
      <c r="B7306" s="8" t="s">
        <v>7681</v>
      </c>
      <c r="C7306" s="8" t="s">
        <v>14677</v>
      </c>
      <c r="D7306" s="8" t="s">
        <v>14678</v>
      </c>
      <c r="E7306" s="13">
        <v>583000</v>
      </c>
      <c r="F7306" s="14">
        <v>1166000</v>
      </c>
    </row>
    <row r="7307" spans="1:6" x14ac:dyDescent="0.3">
      <c r="A7307" s="8">
        <v>7305</v>
      </c>
      <c r="B7307" s="8" t="s">
        <v>7681</v>
      </c>
      <c r="C7307" s="8" t="s">
        <v>14679</v>
      </c>
      <c r="D7307" s="8" t="s">
        <v>14680</v>
      </c>
      <c r="E7307" s="13">
        <v>567000</v>
      </c>
      <c r="F7307" s="14">
        <v>1133333</v>
      </c>
    </row>
    <row r="7308" spans="1:6" x14ac:dyDescent="0.3">
      <c r="A7308" s="8">
        <v>7306</v>
      </c>
      <c r="B7308" s="8" t="s">
        <v>7681</v>
      </c>
      <c r="C7308" s="8" t="s">
        <v>14681</v>
      </c>
      <c r="D7308" s="8" t="s">
        <v>14682</v>
      </c>
      <c r="E7308" s="13">
        <v>0</v>
      </c>
      <c r="F7308" s="14">
        <v>0</v>
      </c>
    </row>
    <row r="7309" spans="1:6" x14ac:dyDescent="0.3">
      <c r="A7309" s="8">
        <v>7307</v>
      </c>
      <c r="B7309" s="8" t="s">
        <v>7681</v>
      </c>
      <c r="C7309" s="8" t="s">
        <v>14683</v>
      </c>
      <c r="D7309" s="8" t="s">
        <v>14684</v>
      </c>
      <c r="E7309" s="13">
        <v>0</v>
      </c>
      <c r="F7309" s="14">
        <v>0</v>
      </c>
    </row>
    <row r="7310" spans="1:6" x14ac:dyDescent="0.3">
      <c r="A7310" s="8">
        <v>7308</v>
      </c>
      <c r="B7310" s="8" t="s">
        <v>7681</v>
      </c>
      <c r="C7310" s="8" t="s">
        <v>14685</v>
      </c>
      <c r="D7310" s="8" t="s">
        <v>14686</v>
      </c>
      <c r="E7310" s="13">
        <v>0</v>
      </c>
      <c r="F7310" s="14">
        <v>0</v>
      </c>
    </row>
    <row r="7311" spans="1:6" x14ac:dyDescent="0.3">
      <c r="A7311" s="8">
        <v>7309</v>
      </c>
      <c r="B7311" s="8" t="s">
        <v>7694</v>
      </c>
      <c r="C7311" s="8" t="s">
        <v>14687</v>
      </c>
      <c r="D7311" s="8" t="s">
        <v>14688</v>
      </c>
      <c r="E7311" s="13">
        <v>206500</v>
      </c>
      <c r="F7311" s="14">
        <v>372222</v>
      </c>
    </row>
    <row r="7312" spans="1:6" x14ac:dyDescent="0.3">
      <c r="A7312" s="8">
        <v>7310</v>
      </c>
      <c r="B7312" s="8" t="s">
        <v>7694</v>
      </c>
      <c r="C7312" s="8" t="s">
        <v>14689</v>
      </c>
      <c r="D7312" s="8" t="s">
        <v>14690</v>
      </c>
      <c r="E7312" s="13">
        <v>0</v>
      </c>
      <c r="F7312" s="14">
        <v>2200000</v>
      </c>
    </row>
    <row r="7313" spans="1:6" x14ac:dyDescent="0.3">
      <c r="A7313" s="8">
        <v>7311</v>
      </c>
      <c r="B7313" s="8" t="s">
        <v>7694</v>
      </c>
      <c r="C7313" s="8" t="s">
        <v>14691</v>
      </c>
      <c r="D7313" s="8" t="s">
        <v>14692</v>
      </c>
      <c r="E7313" s="13">
        <v>159000</v>
      </c>
      <c r="F7313" s="14">
        <v>317593</v>
      </c>
    </row>
    <row r="7314" spans="1:6" x14ac:dyDescent="0.3">
      <c r="A7314" s="8">
        <v>7312</v>
      </c>
      <c r="B7314" s="8" t="s">
        <v>10697</v>
      </c>
      <c r="C7314" s="8" t="s">
        <v>14693</v>
      </c>
      <c r="D7314" s="8" t="s">
        <v>14694</v>
      </c>
      <c r="E7314" s="13">
        <v>0</v>
      </c>
      <c r="F7314" s="14">
        <v>0</v>
      </c>
    </row>
    <row r="7315" spans="1:6" x14ac:dyDescent="0.3">
      <c r="A7315" s="8">
        <v>7313</v>
      </c>
      <c r="B7315" s="8" t="s">
        <v>10697</v>
      </c>
      <c r="C7315" s="8" t="s">
        <v>14695</v>
      </c>
      <c r="D7315" s="8" t="s">
        <v>14696</v>
      </c>
      <c r="E7315" s="13">
        <v>1300000</v>
      </c>
      <c r="F7315" s="14">
        <v>1300000</v>
      </c>
    </row>
    <row r="7316" spans="1:6" x14ac:dyDescent="0.3">
      <c r="A7316" s="8">
        <v>7314</v>
      </c>
      <c r="B7316" s="8" t="s">
        <v>10697</v>
      </c>
      <c r="C7316" s="8" t="s">
        <v>14697</v>
      </c>
      <c r="D7316" s="8" t="s">
        <v>14698</v>
      </c>
      <c r="E7316" s="13">
        <v>0</v>
      </c>
      <c r="F7316" s="14">
        <v>0</v>
      </c>
    </row>
    <row r="7317" spans="1:6" x14ac:dyDescent="0.3">
      <c r="A7317" s="8">
        <v>7315</v>
      </c>
      <c r="B7317" s="8" t="s">
        <v>10697</v>
      </c>
      <c r="C7317" s="8" t="s">
        <v>14699</v>
      </c>
      <c r="D7317" s="8" t="s">
        <v>14700</v>
      </c>
      <c r="E7317" s="13">
        <v>0</v>
      </c>
      <c r="F7317" s="14">
        <v>0</v>
      </c>
    </row>
    <row r="7318" spans="1:6" x14ac:dyDescent="0.3">
      <c r="A7318" s="8">
        <v>7316</v>
      </c>
      <c r="B7318" s="8" t="s">
        <v>10697</v>
      </c>
      <c r="C7318" s="8" t="s">
        <v>14701</v>
      </c>
      <c r="D7318" s="8" t="s">
        <v>14702</v>
      </c>
      <c r="E7318" s="13">
        <v>0</v>
      </c>
      <c r="F7318" s="14">
        <v>0</v>
      </c>
    </row>
    <row r="7319" spans="1:6" x14ac:dyDescent="0.3">
      <c r="A7319" s="8">
        <v>7317</v>
      </c>
      <c r="B7319" s="8" t="s">
        <v>10697</v>
      </c>
      <c r="C7319" s="8" t="s">
        <v>14703</v>
      </c>
      <c r="D7319" s="8" t="s">
        <v>14704</v>
      </c>
      <c r="E7319" s="13">
        <v>0</v>
      </c>
      <c r="F7319" s="14">
        <v>0</v>
      </c>
    </row>
    <row r="7320" spans="1:6" x14ac:dyDescent="0.3">
      <c r="A7320" s="8">
        <v>7318</v>
      </c>
      <c r="B7320" s="8" t="s">
        <v>10697</v>
      </c>
      <c r="C7320" s="8" t="s">
        <v>14705</v>
      </c>
      <c r="D7320" s="8" t="s">
        <v>14706</v>
      </c>
      <c r="E7320" s="13">
        <v>0</v>
      </c>
      <c r="F7320" s="14">
        <v>0</v>
      </c>
    </row>
    <row r="7321" spans="1:6" x14ac:dyDescent="0.3">
      <c r="A7321" s="8">
        <v>7319</v>
      </c>
      <c r="B7321" s="8" t="s">
        <v>10697</v>
      </c>
      <c r="C7321" s="8" t="s">
        <v>14707</v>
      </c>
      <c r="D7321" s="8" t="s">
        <v>14708</v>
      </c>
      <c r="E7321" s="13">
        <v>0</v>
      </c>
      <c r="F7321" s="14">
        <v>0</v>
      </c>
    </row>
    <row r="7322" spans="1:6" x14ac:dyDescent="0.3">
      <c r="A7322" s="8">
        <v>7320</v>
      </c>
      <c r="B7322" s="8" t="s">
        <v>10928</v>
      </c>
      <c r="C7322" s="8" t="s">
        <v>14709</v>
      </c>
      <c r="D7322" s="8" t="s">
        <v>14710</v>
      </c>
      <c r="E7322" s="13">
        <v>0</v>
      </c>
      <c r="F7322" s="14">
        <v>0</v>
      </c>
    </row>
    <row r="7323" spans="1:6" x14ac:dyDescent="0.3">
      <c r="A7323" s="8">
        <v>7321</v>
      </c>
      <c r="B7323" s="8" t="s">
        <v>10928</v>
      </c>
      <c r="C7323" s="8" t="s">
        <v>14711</v>
      </c>
      <c r="D7323" s="8" t="s">
        <v>14712</v>
      </c>
      <c r="E7323" s="13">
        <v>0</v>
      </c>
      <c r="F7323" s="14">
        <v>0</v>
      </c>
    </row>
    <row r="7324" spans="1:6" x14ac:dyDescent="0.3">
      <c r="A7324" s="8">
        <v>7322</v>
      </c>
      <c r="B7324" s="8" t="s">
        <v>10928</v>
      </c>
      <c r="C7324" s="8" t="s">
        <v>14713</v>
      </c>
      <c r="D7324" s="8" t="s">
        <v>14714</v>
      </c>
      <c r="E7324" s="13">
        <v>0</v>
      </c>
      <c r="F7324" s="14">
        <v>0</v>
      </c>
    </row>
    <row r="7325" spans="1:6" x14ac:dyDescent="0.3">
      <c r="A7325" s="8">
        <v>7323</v>
      </c>
      <c r="B7325" s="8" t="s">
        <v>10928</v>
      </c>
      <c r="C7325" s="8" t="s">
        <v>14715</v>
      </c>
      <c r="D7325" s="8" t="s">
        <v>14716</v>
      </c>
      <c r="E7325" s="13">
        <v>0</v>
      </c>
      <c r="F7325" s="14">
        <v>0</v>
      </c>
    </row>
    <row r="7326" spans="1:6" x14ac:dyDescent="0.3">
      <c r="A7326" s="8">
        <v>7324</v>
      </c>
      <c r="B7326" s="8" t="s">
        <v>7368</v>
      </c>
      <c r="C7326" s="8" t="s">
        <v>14717</v>
      </c>
      <c r="D7326" s="8" t="s">
        <v>14718</v>
      </c>
      <c r="E7326" s="13">
        <v>0</v>
      </c>
      <c r="F7326" s="14">
        <v>132000</v>
      </c>
    </row>
    <row r="7327" spans="1:6" x14ac:dyDescent="0.3">
      <c r="A7327" s="8">
        <v>7325</v>
      </c>
      <c r="B7327" s="8" t="s">
        <v>7368</v>
      </c>
      <c r="C7327" s="8" t="s">
        <v>14719</v>
      </c>
      <c r="D7327" s="8" t="s">
        <v>14720</v>
      </c>
      <c r="E7327" s="13">
        <v>105000</v>
      </c>
      <c r="F7327" s="14">
        <v>210185</v>
      </c>
    </row>
    <row r="7328" spans="1:6" x14ac:dyDescent="0.3">
      <c r="A7328" s="8">
        <v>7326</v>
      </c>
      <c r="B7328" s="8" t="s">
        <v>7368</v>
      </c>
      <c r="C7328" s="8" t="s">
        <v>14721</v>
      </c>
      <c r="D7328" s="8" t="s">
        <v>14722</v>
      </c>
      <c r="E7328" s="13">
        <v>105000</v>
      </c>
      <c r="F7328" s="14">
        <v>210185</v>
      </c>
    </row>
    <row r="7329" spans="1:6" x14ac:dyDescent="0.3">
      <c r="A7329" s="8">
        <v>7327</v>
      </c>
      <c r="B7329" s="8" t="s">
        <v>7368</v>
      </c>
      <c r="C7329" s="8" t="s">
        <v>14723</v>
      </c>
      <c r="D7329" s="8" t="s">
        <v>14724</v>
      </c>
      <c r="E7329" s="13">
        <v>0</v>
      </c>
      <c r="F7329" s="14">
        <v>264000</v>
      </c>
    </row>
    <row r="7330" spans="1:6" x14ac:dyDescent="0.3">
      <c r="A7330" s="8">
        <v>7328</v>
      </c>
      <c r="B7330" s="8" t="s">
        <v>7368</v>
      </c>
      <c r="C7330" s="8" t="s">
        <v>14725</v>
      </c>
      <c r="D7330" s="8" t="s">
        <v>14726</v>
      </c>
      <c r="E7330" s="13">
        <v>68600</v>
      </c>
      <c r="F7330" s="14">
        <v>137037</v>
      </c>
    </row>
    <row r="7331" spans="1:6" x14ac:dyDescent="0.3">
      <c r="A7331" s="8">
        <v>7329</v>
      </c>
      <c r="B7331" s="8" t="s">
        <v>7368</v>
      </c>
      <c r="C7331" s="8" t="s">
        <v>14727</v>
      </c>
      <c r="D7331" s="8" t="s">
        <v>14728</v>
      </c>
      <c r="E7331" s="13">
        <v>0</v>
      </c>
      <c r="F7331" s="14">
        <v>264000</v>
      </c>
    </row>
    <row r="7332" spans="1:6" x14ac:dyDescent="0.3">
      <c r="A7332" s="8">
        <v>7330</v>
      </c>
      <c r="B7332" s="8" t="s">
        <v>7368</v>
      </c>
      <c r="C7332" s="8" t="s">
        <v>14729</v>
      </c>
      <c r="D7332" s="8" t="s">
        <v>14730</v>
      </c>
      <c r="E7332" s="13">
        <v>105000</v>
      </c>
      <c r="F7332" s="14">
        <v>210185</v>
      </c>
    </row>
    <row r="7333" spans="1:6" x14ac:dyDescent="0.3">
      <c r="A7333" s="8">
        <v>7331</v>
      </c>
      <c r="B7333" s="8" t="s">
        <v>7368</v>
      </c>
      <c r="C7333" s="8" t="s">
        <v>14731</v>
      </c>
      <c r="D7333" s="8" t="s">
        <v>14732</v>
      </c>
      <c r="E7333" s="13">
        <v>0</v>
      </c>
      <c r="F7333" s="14">
        <v>0</v>
      </c>
    </row>
    <row r="7334" spans="1:6" x14ac:dyDescent="0.3">
      <c r="A7334" s="8">
        <v>7332</v>
      </c>
      <c r="B7334" s="8" t="s">
        <v>7368</v>
      </c>
      <c r="C7334" s="8" t="s">
        <v>14733</v>
      </c>
      <c r="D7334" s="8" t="s">
        <v>14734</v>
      </c>
      <c r="E7334" s="13">
        <v>0</v>
      </c>
      <c r="F7334" s="14">
        <v>0</v>
      </c>
    </row>
    <row r="7335" spans="1:6" x14ac:dyDescent="0.3">
      <c r="A7335" s="8">
        <v>7333</v>
      </c>
      <c r="B7335" s="8" t="s">
        <v>7368</v>
      </c>
      <c r="C7335" s="8" t="s">
        <v>14735</v>
      </c>
      <c r="D7335" s="8" t="s">
        <v>14736</v>
      </c>
      <c r="E7335" s="13">
        <v>0</v>
      </c>
      <c r="F7335" s="14">
        <v>0</v>
      </c>
    </row>
    <row r="7336" spans="1:6" x14ac:dyDescent="0.3">
      <c r="A7336" s="8">
        <v>7334</v>
      </c>
      <c r="B7336" s="8" t="s">
        <v>7368</v>
      </c>
      <c r="C7336" s="8" t="s">
        <v>14737</v>
      </c>
      <c r="D7336" s="8" t="s">
        <v>14738</v>
      </c>
      <c r="E7336" s="13">
        <v>0</v>
      </c>
      <c r="F7336" s="14">
        <v>0</v>
      </c>
    </row>
    <row r="7337" spans="1:6" x14ac:dyDescent="0.3">
      <c r="A7337" s="8">
        <v>7335</v>
      </c>
      <c r="B7337" s="8" t="s">
        <v>7368</v>
      </c>
      <c r="C7337" s="8" t="s">
        <v>14739</v>
      </c>
      <c r="D7337" s="8" t="s">
        <v>14740</v>
      </c>
      <c r="E7337" s="13">
        <v>0</v>
      </c>
      <c r="F7337" s="14">
        <v>0</v>
      </c>
    </row>
    <row r="7338" spans="1:6" x14ac:dyDescent="0.3">
      <c r="A7338" s="8">
        <v>7336</v>
      </c>
      <c r="B7338" s="8" t="s">
        <v>7681</v>
      </c>
      <c r="C7338" s="8" t="s">
        <v>14741</v>
      </c>
      <c r="D7338" s="8" t="s">
        <v>14742</v>
      </c>
      <c r="E7338" s="13">
        <v>0</v>
      </c>
      <c r="F7338" s="14">
        <v>0</v>
      </c>
    </row>
    <row r="7339" spans="1:6" x14ac:dyDescent="0.3">
      <c r="A7339" s="8">
        <v>7337</v>
      </c>
      <c r="B7339" s="8" t="s">
        <v>7681</v>
      </c>
      <c r="C7339" s="8" t="s">
        <v>14743</v>
      </c>
      <c r="D7339" s="8" t="s">
        <v>14744</v>
      </c>
      <c r="E7339" s="13">
        <v>0</v>
      </c>
      <c r="F7339" s="14">
        <v>0</v>
      </c>
    </row>
    <row r="7340" spans="1:6" x14ac:dyDescent="0.3">
      <c r="A7340" s="8">
        <v>7338</v>
      </c>
      <c r="B7340" s="8" t="s">
        <v>7681</v>
      </c>
      <c r="C7340" s="8" t="s">
        <v>14745</v>
      </c>
      <c r="D7340" s="8" t="s">
        <v>14746</v>
      </c>
      <c r="E7340" s="13">
        <v>0</v>
      </c>
      <c r="F7340" s="14">
        <v>0</v>
      </c>
    </row>
    <row r="7341" spans="1:6" x14ac:dyDescent="0.3">
      <c r="A7341" s="8">
        <v>7339</v>
      </c>
      <c r="B7341" s="8" t="s">
        <v>7681</v>
      </c>
      <c r="C7341" s="8" t="s">
        <v>14747</v>
      </c>
      <c r="D7341" s="8" t="s">
        <v>14748</v>
      </c>
      <c r="E7341" s="13">
        <v>0</v>
      </c>
      <c r="F7341" s="14">
        <v>0</v>
      </c>
    </row>
    <row r="7342" spans="1:6" x14ac:dyDescent="0.3">
      <c r="A7342" s="8">
        <v>7340</v>
      </c>
      <c r="B7342" s="8" t="s">
        <v>7681</v>
      </c>
      <c r="C7342" s="8" t="s">
        <v>14749</v>
      </c>
      <c r="D7342" s="8" t="s">
        <v>14750</v>
      </c>
      <c r="E7342" s="13">
        <v>26400</v>
      </c>
      <c r="F7342" s="14">
        <v>46000</v>
      </c>
    </row>
    <row r="7343" spans="1:6" x14ac:dyDescent="0.3">
      <c r="A7343" s="8">
        <v>7341</v>
      </c>
      <c r="B7343" s="8" t="s">
        <v>7681</v>
      </c>
      <c r="C7343" s="8" t="s">
        <v>14751</v>
      </c>
      <c r="D7343" s="8" t="s">
        <v>14752</v>
      </c>
      <c r="E7343" s="13">
        <v>1030000</v>
      </c>
      <c r="F7343" s="14">
        <v>2060000</v>
      </c>
    </row>
    <row r="7344" spans="1:6" x14ac:dyDescent="0.3">
      <c r="A7344" s="8">
        <v>7342</v>
      </c>
      <c r="B7344" s="8" t="s">
        <v>7681</v>
      </c>
      <c r="C7344" s="8" t="s">
        <v>14753</v>
      </c>
      <c r="D7344" s="8" t="s">
        <v>14754</v>
      </c>
      <c r="E7344" s="13">
        <v>76900</v>
      </c>
      <c r="F7344" s="14">
        <v>154000</v>
      </c>
    </row>
    <row r="7345" spans="1:6" x14ac:dyDescent="0.3">
      <c r="A7345" s="8">
        <v>7343</v>
      </c>
      <c r="B7345" s="8" t="s">
        <v>7681</v>
      </c>
      <c r="C7345" s="8" t="s">
        <v>14755</v>
      </c>
      <c r="D7345" s="8" t="s">
        <v>14756</v>
      </c>
      <c r="E7345" s="13">
        <v>75600</v>
      </c>
      <c r="F7345" s="14">
        <v>152000</v>
      </c>
    </row>
    <row r="7346" spans="1:6" x14ac:dyDescent="0.3">
      <c r="A7346" s="8">
        <v>7344</v>
      </c>
      <c r="B7346" s="8" t="s">
        <v>7681</v>
      </c>
      <c r="C7346" s="8" t="s">
        <v>14757</v>
      </c>
      <c r="D7346" s="8" t="s">
        <v>14758</v>
      </c>
      <c r="E7346" s="13">
        <v>54000</v>
      </c>
      <c r="F7346" s="14">
        <v>108333</v>
      </c>
    </row>
    <row r="7347" spans="1:6" x14ac:dyDescent="0.3">
      <c r="A7347" s="8">
        <v>7345</v>
      </c>
      <c r="B7347" s="8" t="s">
        <v>7681</v>
      </c>
      <c r="C7347" s="8" t="s">
        <v>14759</v>
      </c>
      <c r="D7347" s="8" t="s">
        <v>14760</v>
      </c>
      <c r="E7347" s="13">
        <v>0</v>
      </c>
      <c r="F7347" s="14">
        <v>0</v>
      </c>
    </row>
    <row r="7348" spans="1:6" x14ac:dyDescent="0.3">
      <c r="A7348" s="8">
        <v>7346</v>
      </c>
      <c r="B7348" s="8" t="s">
        <v>7681</v>
      </c>
      <c r="C7348" s="8" t="s">
        <v>14761</v>
      </c>
      <c r="D7348" s="8" t="s">
        <v>14762</v>
      </c>
      <c r="E7348" s="13">
        <v>580000</v>
      </c>
      <c r="F7348" s="14">
        <v>1160185</v>
      </c>
    </row>
    <row r="7349" spans="1:6" x14ac:dyDescent="0.3">
      <c r="A7349" s="8">
        <v>7347</v>
      </c>
      <c r="B7349" s="8" t="s">
        <v>7681</v>
      </c>
      <c r="C7349" s="8" t="s">
        <v>14763</v>
      </c>
      <c r="D7349" s="8" t="s">
        <v>14764</v>
      </c>
      <c r="E7349" s="13">
        <v>0</v>
      </c>
      <c r="F7349" s="14">
        <v>0</v>
      </c>
    </row>
    <row r="7350" spans="1:6" x14ac:dyDescent="0.3">
      <c r="A7350" s="8">
        <v>7348</v>
      </c>
      <c r="B7350" s="8" t="s">
        <v>7681</v>
      </c>
      <c r="C7350" s="8" t="s">
        <v>14765</v>
      </c>
      <c r="D7350" s="8" t="s">
        <v>14766</v>
      </c>
      <c r="E7350" s="13">
        <v>0</v>
      </c>
      <c r="F7350" s="14">
        <v>0</v>
      </c>
    </row>
    <row r="7351" spans="1:6" x14ac:dyDescent="0.3">
      <c r="A7351" s="8">
        <v>7349</v>
      </c>
      <c r="B7351" s="8" t="s">
        <v>7694</v>
      </c>
      <c r="C7351" s="8" t="s">
        <v>14767</v>
      </c>
      <c r="D7351" s="8" t="s">
        <v>14768</v>
      </c>
      <c r="E7351" s="13">
        <v>0</v>
      </c>
      <c r="F7351" s="14">
        <v>0</v>
      </c>
    </row>
    <row r="7352" spans="1:6" x14ac:dyDescent="0.3">
      <c r="A7352" s="8">
        <v>7350</v>
      </c>
      <c r="B7352" s="8" t="s">
        <v>7694</v>
      </c>
      <c r="C7352" s="8" t="s">
        <v>14769</v>
      </c>
      <c r="D7352" s="8" t="s">
        <v>14770</v>
      </c>
      <c r="E7352" s="13">
        <v>0</v>
      </c>
      <c r="F7352" s="14">
        <v>0</v>
      </c>
    </row>
    <row r="7353" spans="1:6" x14ac:dyDescent="0.3">
      <c r="A7353" s="8">
        <v>7351</v>
      </c>
      <c r="B7353" s="8" t="s">
        <v>7694</v>
      </c>
      <c r="C7353" s="8" t="s">
        <v>14771</v>
      </c>
      <c r="D7353" s="8" t="s">
        <v>14772</v>
      </c>
      <c r="E7353" s="13">
        <v>0</v>
      </c>
      <c r="F7353" s="14">
        <v>1018182</v>
      </c>
    </row>
    <row r="7354" spans="1:6" x14ac:dyDescent="0.3">
      <c r="A7354" s="8">
        <v>7352</v>
      </c>
      <c r="B7354" s="8" t="s">
        <v>7694</v>
      </c>
      <c r="C7354" s="8" t="s">
        <v>14773</v>
      </c>
      <c r="D7354" s="8" t="s">
        <v>14774</v>
      </c>
      <c r="E7354" s="13">
        <v>2633000</v>
      </c>
      <c r="F7354" s="14">
        <v>4400000</v>
      </c>
    </row>
    <row r="7355" spans="1:6" x14ac:dyDescent="0.3">
      <c r="A7355" s="8">
        <v>7353</v>
      </c>
      <c r="B7355" s="8" t="s">
        <v>7694</v>
      </c>
      <c r="C7355" s="8" t="s">
        <v>14775</v>
      </c>
      <c r="D7355" s="8" t="s">
        <v>14776</v>
      </c>
      <c r="E7355" s="13">
        <v>0</v>
      </c>
      <c r="F7355" s="14">
        <v>0</v>
      </c>
    </row>
    <row r="7356" spans="1:6" x14ac:dyDescent="0.3">
      <c r="A7356" s="8">
        <v>7354</v>
      </c>
      <c r="B7356" s="8" t="s">
        <v>7694</v>
      </c>
      <c r="C7356" s="8" t="s">
        <v>14777</v>
      </c>
      <c r="D7356" s="8" t="s">
        <v>14778</v>
      </c>
      <c r="E7356" s="13">
        <v>0</v>
      </c>
      <c r="F7356" s="14">
        <v>778182</v>
      </c>
    </row>
    <row r="7357" spans="1:6" x14ac:dyDescent="0.3">
      <c r="A7357" s="8">
        <v>7355</v>
      </c>
      <c r="B7357" s="8" t="s">
        <v>7694</v>
      </c>
      <c r="C7357" s="8" t="s">
        <v>14779</v>
      </c>
      <c r="D7357" s="8" t="s">
        <v>14780</v>
      </c>
      <c r="E7357" s="13">
        <v>217600</v>
      </c>
      <c r="F7357" s="14">
        <v>435455</v>
      </c>
    </row>
    <row r="7358" spans="1:6" x14ac:dyDescent="0.3">
      <c r="A7358" s="8">
        <v>7356</v>
      </c>
      <c r="B7358" s="8" t="s">
        <v>7694</v>
      </c>
      <c r="C7358" s="8" t="s">
        <v>14781</v>
      </c>
      <c r="D7358" s="8" t="s">
        <v>14782</v>
      </c>
      <c r="E7358" s="13">
        <v>0</v>
      </c>
      <c r="F7358" s="14">
        <v>0</v>
      </c>
    </row>
    <row r="7359" spans="1:6" x14ac:dyDescent="0.3">
      <c r="A7359" s="8">
        <v>7357</v>
      </c>
      <c r="B7359" s="8" t="s">
        <v>7694</v>
      </c>
      <c r="C7359" s="8" t="s">
        <v>14783</v>
      </c>
      <c r="D7359" s="8" t="s">
        <v>14784</v>
      </c>
      <c r="E7359" s="13">
        <v>0</v>
      </c>
      <c r="F7359" s="14">
        <v>0</v>
      </c>
    </row>
    <row r="7360" spans="1:6" x14ac:dyDescent="0.3">
      <c r="A7360" s="8">
        <v>7358</v>
      </c>
      <c r="B7360" s="8" t="s">
        <v>7694</v>
      </c>
      <c r="C7360" s="8" t="s">
        <v>14785</v>
      </c>
      <c r="D7360" s="8" t="s">
        <v>14786</v>
      </c>
      <c r="E7360" s="13">
        <v>0</v>
      </c>
      <c r="F7360" s="14">
        <v>0</v>
      </c>
    </row>
    <row r="7361" spans="1:6" x14ac:dyDescent="0.3">
      <c r="A7361" s="8">
        <v>7359</v>
      </c>
      <c r="B7361" s="8" t="s">
        <v>7694</v>
      </c>
      <c r="C7361" s="8" t="s">
        <v>14787</v>
      </c>
      <c r="D7361" s="8" t="s">
        <v>14788</v>
      </c>
      <c r="E7361" s="13">
        <v>0</v>
      </c>
      <c r="F7361" s="14">
        <v>0</v>
      </c>
    </row>
    <row r="7362" spans="1:6" x14ac:dyDescent="0.3">
      <c r="A7362" s="8">
        <v>7360</v>
      </c>
      <c r="B7362" s="8" t="s">
        <v>7694</v>
      </c>
      <c r="C7362" s="8" t="s">
        <v>14789</v>
      </c>
      <c r="D7362" s="8" t="s">
        <v>14790</v>
      </c>
      <c r="E7362" s="13">
        <v>0</v>
      </c>
      <c r="F7362" s="14">
        <v>5500000</v>
      </c>
    </row>
    <row r="7363" spans="1:6" x14ac:dyDescent="0.3">
      <c r="A7363" s="8">
        <v>7361</v>
      </c>
      <c r="B7363" s="8" t="s">
        <v>7694</v>
      </c>
      <c r="C7363" s="8" t="s">
        <v>14791</v>
      </c>
      <c r="D7363" s="8" t="s">
        <v>14792</v>
      </c>
      <c r="E7363" s="13">
        <v>0</v>
      </c>
      <c r="F7363" s="14">
        <v>0</v>
      </c>
    </row>
    <row r="7364" spans="1:6" x14ac:dyDescent="0.3">
      <c r="A7364" s="8">
        <v>7362</v>
      </c>
      <c r="B7364" s="8" t="s">
        <v>7694</v>
      </c>
      <c r="C7364" s="8" t="s">
        <v>14793</v>
      </c>
      <c r="D7364" s="8" t="s">
        <v>14794</v>
      </c>
      <c r="E7364" s="13">
        <v>0</v>
      </c>
      <c r="F7364" s="14">
        <v>0</v>
      </c>
    </row>
    <row r="7365" spans="1:6" x14ac:dyDescent="0.3">
      <c r="A7365" s="8">
        <v>7363</v>
      </c>
      <c r="B7365" s="8" t="s">
        <v>7694</v>
      </c>
      <c r="C7365" s="8" t="s">
        <v>14795</v>
      </c>
      <c r="D7365" s="8" t="s">
        <v>14796</v>
      </c>
      <c r="E7365" s="13">
        <v>0</v>
      </c>
      <c r="F7365" s="14">
        <v>93500000</v>
      </c>
    </row>
    <row r="7366" spans="1:6" x14ac:dyDescent="0.3">
      <c r="A7366" s="8">
        <v>7364</v>
      </c>
      <c r="B7366" s="8" t="s">
        <v>7694</v>
      </c>
      <c r="C7366" s="8" t="s">
        <v>14797</v>
      </c>
      <c r="D7366" s="8" t="s">
        <v>14798</v>
      </c>
      <c r="E7366" s="13">
        <v>0</v>
      </c>
      <c r="F7366" s="14">
        <v>129800000</v>
      </c>
    </row>
    <row r="7367" spans="1:6" x14ac:dyDescent="0.3">
      <c r="A7367" s="8">
        <v>7365</v>
      </c>
      <c r="B7367" s="8" t="s">
        <v>7694</v>
      </c>
      <c r="C7367" s="8" t="s">
        <v>14799</v>
      </c>
      <c r="D7367" s="8" t="s">
        <v>14800</v>
      </c>
      <c r="E7367" s="13">
        <v>0</v>
      </c>
      <c r="F7367" s="14">
        <v>225500000</v>
      </c>
    </row>
    <row r="7368" spans="1:6" x14ac:dyDescent="0.3">
      <c r="A7368" s="8">
        <v>7366</v>
      </c>
      <c r="B7368" s="8" t="s">
        <v>9463</v>
      </c>
      <c r="C7368" s="8" t="s">
        <v>14801</v>
      </c>
      <c r="D7368" s="8" t="s">
        <v>14802</v>
      </c>
      <c r="E7368" s="13">
        <v>3070</v>
      </c>
      <c r="F7368" s="14">
        <v>5000</v>
      </c>
    </row>
    <row r="7369" spans="1:6" x14ac:dyDescent="0.3">
      <c r="A7369" s="8">
        <v>7367</v>
      </c>
      <c r="B7369" s="8" t="s">
        <v>9463</v>
      </c>
      <c r="C7369" s="8" t="s">
        <v>14803</v>
      </c>
      <c r="D7369" s="8" t="s">
        <v>14804</v>
      </c>
      <c r="E7369" s="13">
        <v>0</v>
      </c>
      <c r="F7369" s="14">
        <v>44000</v>
      </c>
    </row>
    <row r="7370" spans="1:6" x14ac:dyDescent="0.3">
      <c r="A7370" s="8">
        <v>7368</v>
      </c>
      <c r="B7370" s="8" t="s">
        <v>9463</v>
      </c>
      <c r="C7370" s="8" t="s">
        <v>14805</v>
      </c>
      <c r="D7370" s="8" t="s">
        <v>14806</v>
      </c>
      <c r="E7370" s="13">
        <v>103704</v>
      </c>
      <c r="F7370" s="14">
        <v>207407</v>
      </c>
    </row>
    <row r="7371" spans="1:6" x14ac:dyDescent="0.3">
      <c r="A7371" s="8">
        <v>7369</v>
      </c>
      <c r="B7371" s="8" t="s">
        <v>9463</v>
      </c>
      <c r="C7371" s="8" t="s">
        <v>14807</v>
      </c>
      <c r="D7371" s="8" t="s">
        <v>14808</v>
      </c>
      <c r="E7371" s="13">
        <v>0</v>
      </c>
      <c r="F7371" s="14">
        <v>0</v>
      </c>
    </row>
    <row r="7372" spans="1:6" x14ac:dyDescent="0.3">
      <c r="A7372" s="8">
        <v>7370</v>
      </c>
      <c r="B7372" s="8" t="s">
        <v>9463</v>
      </c>
      <c r="C7372" s="8" t="s">
        <v>14809</v>
      </c>
      <c r="D7372" s="8" t="s">
        <v>14810</v>
      </c>
      <c r="E7372" s="13">
        <v>0</v>
      </c>
      <c r="F7372" s="14">
        <v>0</v>
      </c>
    </row>
    <row r="7373" spans="1:6" x14ac:dyDescent="0.3">
      <c r="A7373" s="8">
        <v>7371</v>
      </c>
      <c r="B7373" s="8" t="s">
        <v>9463</v>
      </c>
      <c r="C7373" s="8" t="s">
        <v>14811</v>
      </c>
      <c r="D7373" s="8" t="s">
        <v>14812</v>
      </c>
      <c r="E7373" s="13">
        <v>0</v>
      </c>
      <c r="F7373" s="14">
        <v>0</v>
      </c>
    </row>
    <row r="7374" spans="1:6" x14ac:dyDescent="0.3">
      <c r="A7374" s="8">
        <v>7372</v>
      </c>
      <c r="B7374" s="8" t="s">
        <v>9463</v>
      </c>
      <c r="C7374" s="8" t="s">
        <v>14813</v>
      </c>
      <c r="D7374" s="8" t="s">
        <v>14814</v>
      </c>
      <c r="E7374" s="13">
        <v>0</v>
      </c>
      <c r="F7374" s="14">
        <v>0</v>
      </c>
    </row>
    <row r="7375" spans="1:6" x14ac:dyDescent="0.3">
      <c r="A7375" s="8">
        <v>7373</v>
      </c>
      <c r="B7375" s="8" t="s">
        <v>10697</v>
      </c>
      <c r="C7375" s="8" t="s">
        <v>14815</v>
      </c>
      <c r="D7375" s="8" t="s">
        <v>14816</v>
      </c>
      <c r="E7375" s="13">
        <v>0</v>
      </c>
      <c r="F7375" s="14">
        <v>0</v>
      </c>
    </row>
    <row r="7376" spans="1:6" x14ac:dyDescent="0.3">
      <c r="A7376" s="8">
        <v>7374</v>
      </c>
      <c r="B7376" s="8" t="s">
        <v>10697</v>
      </c>
      <c r="C7376" s="8" t="s">
        <v>14817</v>
      </c>
      <c r="D7376" s="8" t="s">
        <v>14818</v>
      </c>
      <c r="E7376" s="13">
        <v>0</v>
      </c>
      <c r="F7376" s="14">
        <v>0</v>
      </c>
    </row>
    <row r="7377" spans="1:6" x14ac:dyDescent="0.3">
      <c r="A7377" s="8">
        <v>7375</v>
      </c>
      <c r="B7377" s="8" t="s">
        <v>10697</v>
      </c>
      <c r="C7377" s="8" t="s">
        <v>14819</v>
      </c>
      <c r="D7377" s="8" t="s">
        <v>14820</v>
      </c>
      <c r="E7377" s="13">
        <v>22000</v>
      </c>
      <c r="F7377" s="14">
        <v>43519</v>
      </c>
    </row>
    <row r="7378" spans="1:6" x14ac:dyDescent="0.3">
      <c r="A7378" s="8">
        <v>7376</v>
      </c>
      <c r="B7378" s="8" t="s">
        <v>10697</v>
      </c>
      <c r="C7378" s="8" t="s">
        <v>14821</v>
      </c>
      <c r="D7378" s="8" t="s">
        <v>14822</v>
      </c>
      <c r="E7378" s="13">
        <v>33000</v>
      </c>
      <c r="F7378" s="14">
        <v>66667</v>
      </c>
    </row>
    <row r="7379" spans="1:6" x14ac:dyDescent="0.3">
      <c r="A7379" s="8">
        <v>7377</v>
      </c>
      <c r="B7379" s="8" t="s">
        <v>10697</v>
      </c>
      <c r="C7379" s="8" t="s">
        <v>14823</v>
      </c>
      <c r="D7379" s="8" t="s">
        <v>14824</v>
      </c>
      <c r="E7379" s="13">
        <v>0</v>
      </c>
      <c r="F7379" s="14">
        <v>0</v>
      </c>
    </row>
    <row r="7380" spans="1:6" x14ac:dyDescent="0.3">
      <c r="A7380" s="8">
        <v>7378</v>
      </c>
      <c r="B7380" s="8" t="s">
        <v>10697</v>
      </c>
      <c r="C7380" s="8" t="s">
        <v>14825</v>
      </c>
      <c r="D7380" s="8" t="s">
        <v>14826</v>
      </c>
      <c r="E7380" s="13">
        <v>0</v>
      </c>
      <c r="F7380" s="14">
        <v>0</v>
      </c>
    </row>
    <row r="7381" spans="1:6" x14ac:dyDescent="0.3">
      <c r="A7381" s="8">
        <v>7379</v>
      </c>
      <c r="B7381" s="8" t="s">
        <v>10697</v>
      </c>
      <c r="C7381" s="8" t="s">
        <v>14827</v>
      </c>
      <c r="D7381" s="8" t="s">
        <v>14828</v>
      </c>
      <c r="E7381" s="13">
        <v>90000</v>
      </c>
      <c r="F7381" s="14">
        <v>179630</v>
      </c>
    </row>
    <row r="7382" spans="1:6" x14ac:dyDescent="0.3">
      <c r="A7382" s="8">
        <v>7380</v>
      </c>
      <c r="B7382" s="8" t="s">
        <v>10697</v>
      </c>
      <c r="C7382" s="8" t="s">
        <v>14829</v>
      </c>
      <c r="D7382" s="8" t="s">
        <v>14830</v>
      </c>
      <c r="E7382" s="13">
        <v>0</v>
      </c>
      <c r="F7382" s="14">
        <v>0</v>
      </c>
    </row>
    <row r="7383" spans="1:6" x14ac:dyDescent="0.3">
      <c r="A7383" s="8">
        <v>7381</v>
      </c>
      <c r="B7383" s="8" t="s">
        <v>10697</v>
      </c>
      <c r="C7383" s="8" t="s">
        <v>14831</v>
      </c>
      <c r="D7383" s="8" t="s">
        <v>14832</v>
      </c>
      <c r="E7383" s="13">
        <v>1594000</v>
      </c>
      <c r="F7383" s="14">
        <v>2530000</v>
      </c>
    </row>
    <row r="7384" spans="1:6" x14ac:dyDescent="0.3">
      <c r="A7384" s="8">
        <v>7382</v>
      </c>
      <c r="B7384" s="8" t="s">
        <v>10697</v>
      </c>
      <c r="C7384" s="8" t="s">
        <v>14833</v>
      </c>
      <c r="D7384" s="8" t="s">
        <v>14834</v>
      </c>
      <c r="E7384" s="13">
        <v>0</v>
      </c>
      <c r="F7384" s="14">
        <v>0</v>
      </c>
    </row>
    <row r="7385" spans="1:6" x14ac:dyDescent="0.3">
      <c r="A7385" s="8">
        <v>7383</v>
      </c>
      <c r="B7385" s="8" t="s">
        <v>10697</v>
      </c>
      <c r="C7385" s="8" t="s">
        <v>14835</v>
      </c>
      <c r="D7385" s="8" t="s">
        <v>14836</v>
      </c>
      <c r="E7385" s="13">
        <v>0</v>
      </c>
      <c r="F7385" s="14">
        <v>0</v>
      </c>
    </row>
    <row r="7386" spans="1:6" x14ac:dyDescent="0.3">
      <c r="A7386" s="8">
        <v>7384</v>
      </c>
      <c r="B7386" s="8" t="s">
        <v>10697</v>
      </c>
      <c r="C7386" s="8" t="s">
        <v>14837</v>
      </c>
      <c r="D7386" s="8" t="s">
        <v>14838</v>
      </c>
      <c r="E7386" s="13">
        <v>0</v>
      </c>
      <c r="F7386" s="14">
        <v>0</v>
      </c>
    </row>
    <row r="7387" spans="1:6" x14ac:dyDescent="0.3">
      <c r="A7387" s="8">
        <v>7385</v>
      </c>
      <c r="B7387" s="8" t="s">
        <v>10697</v>
      </c>
      <c r="C7387" s="8" t="s">
        <v>14839</v>
      </c>
      <c r="D7387" s="8" t="s">
        <v>14840</v>
      </c>
      <c r="E7387" s="13">
        <v>0</v>
      </c>
      <c r="F7387" s="14">
        <v>0</v>
      </c>
    </row>
    <row r="7388" spans="1:6" x14ac:dyDescent="0.3">
      <c r="A7388" s="8">
        <v>7386</v>
      </c>
      <c r="B7388" s="8" t="s">
        <v>10697</v>
      </c>
      <c r="C7388" s="8" t="s">
        <v>14841</v>
      </c>
      <c r="D7388" s="8" t="s">
        <v>14842</v>
      </c>
      <c r="E7388" s="13">
        <v>0</v>
      </c>
      <c r="F7388" s="14">
        <v>0</v>
      </c>
    </row>
    <row r="7389" spans="1:6" x14ac:dyDescent="0.3">
      <c r="A7389" s="8">
        <v>7387</v>
      </c>
      <c r="B7389" s="8" t="s">
        <v>10697</v>
      </c>
      <c r="C7389" s="8" t="s">
        <v>14843</v>
      </c>
      <c r="D7389" s="8" t="s">
        <v>14844</v>
      </c>
      <c r="E7389" s="13">
        <v>0</v>
      </c>
      <c r="F7389" s="14">
        <v>0</v>
      </c>
    </row>
    <row r="7390" spans="1:6" x14ac:dyDescent="0.3">
      <c r="A7390" s="8">
        <v>7388</v>
      </c>
      <c r="B7390" s="8" t="s">
        <v>10697</v>
      </c>
      <c r="C7390" s="8" t="s">
        <v>14845</v>
      </c>
      <c r="D7390" s="8" t="s">
        <v>14846</v>
      </c>
      <c r="E7390" s="13">
        <v>0</v>
      </c>
      <c r="F7390" s="14">
        <v>0</v>
      </c>
    </row>
    <row r="7391" spans="1:6" x14ac:dyDescent="0.3">
      <c r="A7391" s="8">
        <v>7389</v>
      </c>
      <c r="B7391" s="8" t="s">
        <v>10697</v>
      </c>
      <c r="C7391" s="8" t="s">
        <v>14847</v>
      </c>
      <c r="D7391" s="8" t="s">
        <v>14848</v>
      </c>
      <c r="E7391" s="13">
        <v>0</v>
      </c>
      <c r="F7391" s="14">
        <v>0</v>
      </c>
    </row>
    <row r="7392" spans="1:6" x14ac:dyDescent="0.3">
      <c r="A7392" s="8">
        <v>7390</v>
      </c>
      <c r="B7392" s="8" t="s">
        <v>10697</v>
      </c>
      <c r="C7392" s="8" t="s">
        <v>14849</v>
      </c>
      <c r="D7392" s="8" t="s">
        <v>14850</v>
      </c>
      <c r="E7392" s="13">
        <v>0</v>
      </c>
      <c r="F7392" s="14">
        <v>0</v>
      </c>
    </row>
    <row r="7393" spans="1:6" x14ac:dyDescent="0.3">
      <c r="A7393" s="8">
        <v>7391</v>
      </c>
      <c r="B7393" s="8" t="s">
        <v>10928</v>
      </c>
      <c r="C7393" s="8" t="s">
        <v>14851</v>
      </c>
      <c r="D7393" s="8" t="s">
        <v>14852</v>
      </c>
      <c r="E7393" s="13">
        <v>0</v>
      </c>
      <c r="F7393" s="14">
        <v>0</v>
      </c>
    </row>
    <row r="7394" spans="1:6" x14ac:dyDescent="0.3">
      <c r="A7394" s="8">
        <v>7392</v>
      </c>
      <c r="B7394" s="8" t="s">
        <v>10928</v>
      </c>
      <c r="C7394" s="8" t="s">
        <v>14853</v>
      </c>
      <c r="D7394" s="8" t="s">
        <v>14854</v>
      </c>
      <c r="E7394" s="13">
        <v>0</v>
      </c>
      <c r="F7394" s="14">
        <v>0</v>
      </c>
    </row>
    <row r="7395" spans="1:6" x14ac:dyDescent="0.3">
      <c r="A7395" s="8">
        <v>7393</v>
      </c>
      <c r="B7395" s="8" t="s">
        <v>10928</v>
      </c>
      <c r="C7395" s="8" t="s">
        <v>14855</v>
      </c>
      <c r="D7395" s="8" t="s">
        <v>14856</v>
      </c>
      <c r="E7395" s="13">
        <v>0</v>
      </c>
      <c r="F7395" s="14">
        <v>0</v>
      </c>
    </row>
    <row r="7396" spans="1:6" x14ac:dyDescent="0.3">
      <c r="A7396" s="8">
        <v>7394</v>
      </c>
      <c r="B7396" s="8" t="s">
        <v>7694</v>
      </c>
      <c r="C7396" s="8" t="s">
        <v>14857</v>
      </c>
      <c r="D7396" s="8" t="s">
        <v>14858</v>
      </c>
      <c r="E7396" s="13">
        <v>0</v>
      </c>
      <c r="F7396" s="14">
        <v>0</v>
      </c>
    </row>
    <row r="7397" spans="1:6" x14ac:dyDescent="0.3">
      <c r="A7397" s="8">
        <v>7395</v>
      </c>
      <c r="B7397" s="8" t="s">
        <v>7694</v>
      </c>
      <c r="C7397" s="8" t="s">
        <v>14859</v>
      </c>
      <c r="D7397" s="8" t="s">
        <v>14860</v>
      </c>
      <c r="E7397" s="13">
        <v>0</v>
      </c>
      <c r="F7397" s="14">
        <v>0</v>
      </c>
    </row>
    <row r="7398" spans="1:6" x14ac:dyDescent="0.3">
      <c r="A7398" s="8">
        <v>7396</v>
      </c>
      <c r="B7398" s="8" t="s">
        <v>7694</v>
      </c>
      <c r="C7398" s="8" t="s">
        <v>14861</v>
      </c>
      <c r="D7398" s="8" t="s">
        <v>14862</v>
      </c>
      <c r="E7398" s="13">
        <v>0</v>
      </c>
      <c r="F7398" s="14">
        <v>0</v>
      </c>
    </row>
    <row r="7399" spans="1:6" x14ac:dyDescent="0.3">
      <c r="A7399" s="8">
        <v>7397</v>
      </c>
      <c r="B7399" s="8" t="s">
        <v>7694</v>
      </c>
      <c r="C7399" s="8" t="s">
        <v>14863</v>
      </c>
      <c r="D7399" s="8" t="s">
        <v>14864</v>
      </c>
      <c r="E7399" s="13">
        <v>0</v>
      </c>
      <c r="F7399" s="14">
        <v>98450000</v>
      </c>
    </row>
    <row r="7400" spans="1:6" x14ac:dyDescent="0.3">
      <c r="A7400" s="8">
        <v>7398</v>
      </c>
      <c r="B7400" s="8" t="s">
        <v>7694</v>
      </c>
      <c r="C7400" s="8" t="s">
        <v>14865</v>
      </c>
      <c r="D7400" s="8" t="s">
        <v>14866</v>
      </c>
      <c r="E7400" s="13">
        <v>0</v>
      </c>
      <c r="F7400" s="14">
        <v>64790000</v>
      </c>
    </row>
    <row r="7401" spans="1:6" x14ac:dyDescent="0.3">
      <c r="A7401" s="8">
        <v>7399</v>
      </c>
      <c r="B7401" s="8" t="s">
        <v>7694</v>
      </c>
      <c r="C7401" s="8" t="s">
        <v>14867</v>
      </c>
      <c r="D7401" s="8" t="s">
        <v>14868</v>
      </c>
      <c r="E7401" s="13">
        <v>0</v>
      </c>
      <c r="F7401" s="14">
        <v>0</v>
      </c>
    </row>
    <row r="7402" spans="1:6" x14ac:dyDescent="0.3">
      <c r="A7402" s="8">
        <v>7400</v>
      </c>
      <c r="B7402" s="8" t="s">
        <v>7694</v>
      </c>
      <c r="C7402" s="8" t="s">
        <v>14869</v>
      </c>
      <c r="D7402" s="8" t="s">
        <v>14870</v>
      </c>
      <c r="E7402" s="13">
        <v>0</v>
      </c>
      <c r="F7402" s="14">
        <v>0</v>
      </c>
    </row>
    <row r="7403" spans="1:6" x14ac:dyDescent="0.3">
      <c r="A7403" s="8">
        <v>7401</v>
      </c>
      <c r="B7403" s="8" t="s">
        <v>7694</v>
      </c>
      <c r="C7403" s="8" t="s">
        <v>14871</v>
      </c>
      <c r="D7403" s="8" t="s">
        <v>14872</v>
      </c>
      <c r="E7403" s="13">
        <v>0</v>
      </c>
      <c r="F7403" s="14">
        <v>101200000</v>
      </c>
    </row>
    <row r="7404" spans="1:6" x14ac:dyDescent="0.3">
      <c r="A7404" s="8">
        <v>7402</v>
      </c>
      <c r="B7404" s="8" t="s">
        <v>7694</v>
      </c>
      <c r="C7404" s="8" t="s">
        <v>14873</v>
      </c>
      <c r="D7404" s="8" t="s">
        <v>14874</v>
      </c>
      <c r="E7404" s="13">
        <v>0</v>
      </c>
      <c r="F7404" s="14">
        <v>44000000</v>
      </c>
    </row>
    <row r="7405" spans="1:6" x14ac:dyDescent="0.3">
      <c r="A7405" s="8">
        <v>7403</v>
      </c>
      <c r="B7405" s="8" t="s">
        <v>7694</v>
      </c>
      <c r="C7405" s="8" t="s">
        <v>14875</v>
      </c>
      <c r="D7405" s="8" t="s">
        <v>14876</v>
      </c>
      <c r="E7405" s="13">
        <v>0</v>
      </c>
      <c r="F7405" s="14">
        <v>56100000</v>
      </c>
    </row>
    <row r="7406" spans="1:6" x14ac:dyDescent="0.3">
      <c r="A7406" s="8">
        <v>7404</v>
      </c>
      <c r="B7406" s="8" t="s">
        <v>9463</v>
      </c>
      <c r="C7406" s="8" t="s">
        <v>14877</v>
      </c>
      <c r="D7406" s="8" t="s">
        <v>14878</v>
      </c>
      <c r="E7406" s="13">
        <v>0</v>
      </c>
      <c r="F7406" s="14">
        <v>0</v>
      </c>
    </row>
    <row r="7407" spans="1:6" x14ac:dyDescent="0.3">
      <c r="A7407" s="8">
        <v>7405</v>
      </c>
      <c r="B7407" s="8" t="s">
        <v>9463</v>
      </c>
      <c r="C7407" s="8" t="s">
        <v>14879</v>
      </c>
      <c r="D7407" s="8" t="s">
        <v>14880</v>
      </c>
      <c r="E7407" s="13">
        <v>90000</v>
      </c>
      <c r="F7407" s="14">
        <v>179630</v>
      </c>
    </row>
    <row r="7408" spans="1:6" x14ac:dyDescent="0.3">
      <c r="A7408" s="8">
        <v>7406</v>
      </c>
      <c r="B7408" s="8" t="s">
        <v>9463</v>
      </c>
      <c r="C7408" s="8" t="s">
        <v>14881</v>
      </c>
      <c r="D7408" s="8" t="s">
        <v>14882</v>
      </c>
      <c r="E7408" s="13">
        <v>46296</v>
      </c>
      <c r="F7408" s="14">
        <v>92593</v>
      </c>
    </row>
    <row r="7409" spans="1:6" x14ac:dyDescent="0.3">
      <c r="A7409" s="8">
        <v>7407</v>
      </c>
      <c r="B7409" s="8" t="s">
        <v>9463</v>
      </c>
      <c r="C7409" s="8" t="s">
        <v>14883</v>
      </c>
      <c r="D7409" s="8" t="s">
        <v>14884</v>
      </c>
      <c r="E7409" s="13">
        <v>103704</v>
      </c>
      <c r="F7409" s="14">
        <v>207407</v>
      </c>
    </row>
    <row r="7410" spans="1:6" x14ac:dyDescent="0.3">
      <c r="A7410" s="8">
        <v>7408</v>
      </c>
      <c r="B7410" s="8" t="s">
        <v>9463</v>
      </c>
      <c r="C7410" s="8" t="s">
        <v>14885</v>
      </c>
      <c r="D7410" s="8" t="s">
        <v>14886</v>
      </c>
      <c r="E7410" s="13">
        <v>0</v>
      </c>
      <c r="F7410" s="14">
        <v>0</v>
      </c>
    </row>
    <row r="7411" spans="1:6" x14ac:dyDescent="0.3">
      <c r="A7411" s="8">
        <v>7409</v>
      </c>
      <c r="B7411" s="8" t="s">
        <v>9463</v>
      </c>
      <c r="C7411" s="8" t="s">
        <v>14887</v>
      </c>
      <c r="D7411" s="8" t="s">
        <v>14888</v>
      </c>
      <c r="E7411" s="13">
        <v>0</v>
      </c>
      <c r="F7411" s="14">
        <v>0</v>
      </c>
    </row>
    <row r="7412" spans="1:6" x14ac:dyDescent="0.3">
      <c r="A7412" s="8">
        <v>7410</v>
      </c>
      <c r="B7412" s="8" t="s">
        <v>9478</v>
      </c>
      <c r="C7412" s="8" t="s">
        <v>14889</v>
      </c>
      <c r="D7412" s="8" t="s">
        <v>35</v>
      </c>
      <c r="E7412" s="13">
        <v>90000</v>
      </c>
      <c r="F7412" s="14">
        <v>179630</v>
      </c>
    </row>
    <row r="7413" spans="1:6" x14ac:dyDescent="0.3">
      <c r="A7413" s="8">
        <v>7411</v>
      </c>
      <c r="B7413" s="8" t="s">
        <v>9478</v>
      </c>
      <c r="C7413" s="8" t="s">
        <v>14890</v>
      </c>
      <c r="D7413" s="8" t="s">
        <v>59</v>
      </c>
      <c r="E7413" s="13">
        <v>170000</v>
      </c>
      <c r="F7413" s="14">
        <v>339815</v>
      </c>
    </row>
    <row r="7414" spans="1:6" x14ac:dyDescent="0.3">
      <c r="A7414" s="8">
        <v>7412</v>
      </c>
      <c r="B7414" s="8" t="s">
        <v>9478</v>
      </c>
      <c r="C7414" s="8" t="s">
        <v>14891</v>
      </c>
      <c r="D7414" s="8" t="s">
        <v>14892</v>
      </c>
      <c r="E7414" s="13">
        <v>88900</v>
      </c>
      <c r="F7414" s="14">
        <v>177778</v>
      </c>
    </row>
    <row r="7415" spans="1:6" x14ac:dyDescent="0.3">
      <c r="A7415" s="8">
        <v>7413</v>
      </c>
      <c r="B7415" s="8" t="s">
        <v>9478</v>
      </c>
      <c r="C7415" s="8" t="s">
        <v>14893</v>
      </c>
      <c r="D7415" s="8" t="s">
        <v>14894</v>
      </c>
      <c r="E7415" s="13">
        <v>0</v>
      </c>
      <c r="F7415" s="14">
        <v>0</v>
      </c>
    </row>
    <row r="7416" spans="1:6" x14ac:dyDescent="0.3">
      <c r="A7416" s="8">
        <v>7414</v>
      </c>
      <c r="B7416" s="8" t="s">
        <v>9478</v>
      </c>
      <c r="C7416" s="8" t="s">
        <v>14895</v>
      </c>
      <c r="D7416" s="8" t="s">
        <v>69</v>
      </c>
      <c r="E7416" s="13">
        <v>200000</v>
      </c>
      <c r="F7416" s="14">
        <v>379630</v>
      </c>
    </row>
    <row r="7417" spans="1:6" x14ac:dyDescent="0.3">
      <c r="A7417" s="8">
        <v>7415</v>
      </c>
      <c r="B7417" s="8" t="s">
        <v>9478</v>
      </c>
      <c r="C7417" s="8" t="s">
        <v>14896</v>
      </c>
      <c r="D7417" s="8" t="s">
        <v>14897</v>
      </c>
      <c r="E7417" s="13">
        <v>0</v>
      </c>
      <c r="F7417" s="14">
        <v>0</v>
      </c>
    </row>
    <row r="7418" spans="1:6" x14ac:dyDescent="0.3">
      <c r="A7418" s="8">
        <v>7416</v>
      </c>
      <c r="B7418" s="8" t="s">
        <v>9478</v>
      </c>
      <c r="C7418" s="8" t="s">
        <v>14898</v>
      </c>
      <c r="D7418" s="8" t="s">
        <v>14899</v>
      </c>
      <c r="E7418" s="13">
        <v>0</v>
      </c>
      <c r="F7418" s="14">
        <v>0</v>
      </c>
    </row>
    <row r="7419" spans="1:6" x14ac:dyDescent="0.3">
      <c r="A7419" s="8">
        <v>7417</v>
      </c>
      <c r="B7419" s="8" t="s">
        <v>9478</v>
      </c>
      <c r="C7419" s="8" t="s">
        <v>14900</v>
      </c>
      <c r="D7419" s="8" t="s">
        <v>14901</v>
      </c>
      <c r="E7419" s="13">
        <v>0</v>
      </c>
      <c r="F7419" s="14">
        <v>0</v>
      </c>
    </row>
    <row r="7420" spans="1:6" x14ac:dyDescent="0.3">
      <c r="A7420" s="8">
        <v>7418</v>
      </c>
      <c r="B7420" s="8" t="s">
        <v>7681</v>
      </c>
      <c r="C7420" s="8" t="s">
        <v>14902</v>
      </c>
      <c r="D7420" s="8" t="s">
        <v>14903</v>
      </c>
      <c r="E7420" s="13">
        <v>0</v>
      </c>
      <c r="F7420" s="14">
        <v>0</v>
      </c>
    </row>
    <row r="7421" spans="1:6" x14ac:dyDescent="0.3">
      <c r="A7421" s="8">
        <v>7419</v>
      </c>
      <c r="B7421" s="8" t="s">
        <v>7694</v>
      </c>
      <c r="C7421" s="8" t="s">
        <v>14904</v>
      </c>
      <c r="D7421" s="8" t="s">
        <v>14905</v>
      </c>
      <c r="E7421" s="13">
        <v>0</v>
      </c>
      <c r="F7421" s="14">
        <v>0</v>
      </c>
    </row>
    <row r="7422" spans="1:6" x14ac:dyDescent="0.3">
      <c r="A7422" s="8">
        <v>7420</v>
      </c>
      <c r="B7422" s="8" t="s">
        <v>7694</v>
      </c>
      <c r="C7422" s="8" t="s">
        <v>14906</v>
      </c>
      <c r="D7422" s="8" t="s">
        <v>14907</v>
      </c>
      <c r="E7422" s="13">
        <v>321000</v>
      </c>
      <c r="F7422" s="14">
        <v>641667</v>
      </c>
    </row>
    <row r="7423" spans="1:6" x14ac:dyDescent="0.3">
      <c r="A7423" s="8">
        <v>7421</v>
      </c>
      <c r="B7423" s="8" t="s">
        <v>7694</v>
      </c>
      <c r="C7423" s="8" t="s">
        <v>14908</v>
      </c>
      <c r="D7423" s="8" t="s">
        <v>14909</v>
      </c>
      <c r="E7423" s="13">
        <v>235000</v>
      </c>
      <c r="F7423" s="14">
        <v>434259</v>
      </c>
    </row>
    <row r="7424" spans="1:6" x14ac:dyDescent="0.3">
      <c r="A7424" s="8">
        <v>7422</v>
      </c>
      <c r="B7424" s="8" t="s">
        <v>7694</v>
      </c>
      <c r="C7424" s="8" t="s">
        <v>14910</v>
      </c>
      <c r="D7424" s="8" t="s">
        <v>14911</v>
      </c>
      <c r="E7424" s="13">
        <v>0</v>
      </c>
      <c r="F7424" s="14">
        <v>400000</v>
      </c>
    </row>
    <row r="7425" spans="1:6" x14ac:dyDescent="0.3">
      <c r="A7425" s="8">
        <v>7423</v>
      </c>
      <c r="B7425" s="8" t="s">
        <v>7694</v>
      </c>
      <c r="C7425" s="8" t="s">
        <v>14912</v>
      </c>
      <c r="D7425" s="8" t="s">
        <v>14913</v>
      </c>
      <c r="E7425" s="13">
        <v>793000</v>
      </c>
      <c r="F7425" s="14">
        <v>1437037</v>
      </c>
    </row>
    <row r="7426" spans="1:6" x14ac:dyDescent="0.3">
      <c r="A7426" s="8">
        <v>7424</v>
      </c>
      <c r="B7426" s="8" t="s">
        <v>7694</v>
      </c>
      <c r="C7426" s="8" t="s">
        <v>14914</v>
      </c>
      <c r="D7426" s="8" t="s">
        <v>14915</v>
      </c>
      <c r="E7426" s="13">
        <v>185000</v>
      </c>
      <c r="F7426" s="14">
        <v>334259</v>
      </c>
    </row>
    <row r="7427" spans="1:6" x14ac:dyDescent="0.3">
      <c r="A7427" s="8">
        <v>7425</v>
      </c>
      <c r="B7427" s="8" t="s">
        <v>7694</v>
      </c>
      <c r="C7427" s="8" t="s">
        <v>14916</v>
      </c>
      <c r="D7427" s="8" t="s">
        <v>14917</v>
      </c>
      <c r="E7427" s="13">
        <v>252000</v>
      </c>
      <c r="F7427" s="14">
        <v>503704</v>
      </c>
    </row>
    <row r="7428" spans="1:6" x14ac:dyDescent="0.3">
      <c r="A7428" s="8">
        <v>7426</v>
      </c>
      <c r="B7428" s="8" t="s">
        <v>7694</v>
      </c>
      <c r="C7428" s="8" t="s">
        <v>14918</v>
      </c>
      <c r="D7428" s="8" t="s">
        <v>14919</v>
      </c>
      <c r="E7428" s="13">
        <v>240000</v>
      </c>
      <c r="F7428" s="14">
        <v>435185</v>
      </c>
    </row>
    <row r="7429" spans="1:6" x14ac:dyDescent="0.3">
      <c r="A7429" s="8">
        <v>7427</v>
      </c>
      <c r="B7429" s="8" t="s">
        <v>7694</v>
      </c>
      <c r="C7429" s="8" t="s">
        <v>14920</v>
      </c>
      <c r="D7429" s="8" t="s">
        <v>14921</v>
      </c>
      <c r="E7429" s="13">
        <v>0</v>
      </c>
      <c r="F7429" s="14">
        <v>650000</v>
      </c>
    </row>
    <row r="7430" spans="1:6" x14ac:dyDescent="0.3">
      <c r="A7430" s="8">
        <v>7428</v>
      </c>
      <c r="B7430" s="8" t="s">
        <v>7694</v>
      </c>
      <c r="C7430" s="8" t="s">
        <v>14922</v>
      </c>
      <c r="D7430" s="8" t="s">
        <v>14923</v>
      </c>
      <c r="E7430" s="13">
        <v>0</v>
      </c>
      <c r="F7430" s="14">
        <v>560000</v>
      </c>
    </row>
    <row r="7431" spans="1:6" x14ac:dyDescent="0.3">
      <c r="A7431" s="8">
        <v>7429</v>
      </c>
      <c r="B7431" s="8" t="s">
        <v>7694</v>
      </c>
      <c r="C7431" s="8" t="s">
        <v>14924</v>
      </c>
      <c r="D7431" s="8" t="s">
        <v>14925</v>
      </c>
      <c r="E7431" s="13">
        <v>155000</v>
      </c>
      <c r="F7431" s="14">
        <v>310185</v>
      </c>
    </row>
    <row r="7432" spans="1:6" x14ac:dyDescent="0.3">
      <c r="A7432" s="8">
        <v>7430</v>
      </c>
      <c r="B7432" s="8" t="s">
        <v>7694</v>
      </c>
      <c r="C7432" s="8" t="s">
        <v>14926</v>
      </c>
      <c r="D7432" s="8" t="s">
        <v>14927</v>
      </c>
      <c r="E7432" s="13">
        <v>1400000</v>
      </c>
      <c r="F7432" s="14">
        <v>2800000</v>
      </c>
    </row>
    <row r="7433" spans="1:6" x14ac:dyDescent="0.3">
      <c r="A7433" s="8">
        <v>7431</v>
      </c>
      <c r="B7433" s="8" t="s">
        <v>7694</v>
      </c>
      <c r="C7433" s="8" t="s">
        <v>14928</v>
      </c>
      <c r="D7433" s="8" t="s">
        <v>14929</v>
      </c>
      <c r="E7433" s="13">
        <v>0</v>
      </c>
      <c r="F7433" s="14">
        <v>580000</v>
      </c>
    </row>
    <row r="7434" spans="1:6" x14ac:dyDescent="0.3">
      <c r="A7434" s="8">
        <v>7432</v>
      </c>
      <c r="B7434" s="8" t="s">
        <v>7694</v>
      </c>
      <c r="C7434" s="8" t="s">
        <v>14930</v>
      </c>
      <c r="D7434" s="8" t="s">
        <v>14931</v>
      </c>
      <c r="E7434" s="13">
        <v>0</v>
      </c>
      <c r="F7434" s="14">
        <v>981818</v>
      </c>
    </row>
    <row r="7435" spans="1:6" x14ac:dyDescent="0.3">
      <c r="A7435" s="8">
        <v>7433</v>
      </c>
      <c r="B7435" s="8" t="s">
        <v>7694</v>
      </c>
      <c r="C7435" s="8" t="s">
        <v>14932</v>
      </c>
      <c r="D7435" s="8" t="s">
        <v>14933</v>
      </c>
      <c r="E7435" s="13">
        <v>0</v>
      </c>
      <c r="F7435" s="14">
        <v>0</v>
      </c>
    </row>
    <row r="7436" spans="1:6" x14ac:dyDescent="0.3">
      <c r="A7436" s="8">
        <v>7434</v>
      </c>
      <c r="B7436" s="8" t="s">
        <v>7694</v>
      </c>
      <c r="C7436" s="8" t="s">
        <v>14934</v>
      </c>
      <c r="D7436" s="8" t="s">
        <v>14935</v>
      </c>
      <c r="E7436" s="13">
        <v>229700</v>
      </c>
      <c r="F7436" s="14">
        <v>460185</v>
      </c>
    </row>
    <row r="7437" spans="1:6" x14ac:dyDescent="0.3">
      <c r="A7437" s="8">
        <v>7435</v>
      </c>
      <c r="B7437" s="8" t="s">
        <v>7694</v>
      </c>
      <c r="C7437" s="8" t="s">
        <v>14936</v>
      </c>
      <c r="D7437" s="8" t="s">
        <v>14937</v>
      </c>
      <c r="E7437" s="13">
        <v>0</v>
      </c>
      <c r="F7437" s="14">
        <v>0</v>
      </c>
    </row>
    <row r="7438" spans="1:6" x14ac:dyDescent="0.3">
      <c r="A7438" s="8">
        <v>7436</v>
      </c>
      <c r="B7438" s="8" t="s">
        <v>7694</v>
      </c>
      <c r="C7438" s="8" t="s">
        <v>14938</v>
      </c>
      <c r="D7438" s="8" t="s">
        <v>14939</v>
      </c>
      <c r="E7438" s="13">
        <v>0</v>
      </c>
      <c r="F7438" s="14">
        <v>0</v>
      </c>
    </row>
    <row r="7439" spans="1:6" x14ac:dyDescent="0.3">
      <c r="A7439" s="8">
        <v>7437</v>
      </c>
      <c r="B7439" s="8" t="s">
        <v>7694</v>
      </c>
      <c r="C7439" s="8" t="s">
        <v>14940</v>
      </c>
      <c r="D7439" s="8" t="s">
        <v>14941</v>
      </c>
      <c r="E7439" s="13">
        <v>0</v>
      </c>
      <c r="F7439" s="14">
        <v>6600000</v>
      </c>
    </row>
    <row r="7440" spans="1:6" x14ac:dyDescent="0.3">
      <c r="A7440" s="8">
        <v>7438</v>
      </c>
      <c r="B7440" s="8" t="s">
        <v>7694</v>
      </c>
      <c r="C7440" s="8" t="s">
        <v>14942</v>
      </c>
      <c r="D7440" s="8" t="s">
        <v>14943</v>
      </c>
      <c r="E7440" s="13">
        <v>0</v>
      </c>
      <c r="F7440" s="14">
        <v>500000</v>
      </c>
    </row>
    <row r="7441" spans="1:6" x14ac:dyDescent="0.3">
      <c r="A7441" s="8">
        <v>7439</v>
      </c>
      <c r="B7441" s="8" t="s">
        <v>7694</v>
      </c>
      <c r="C7441" s="8" t="s">
        <v>14944</v>
      </c>
      <c r="D7441" s="8" t="s">
        <v>14945</v>
      </c>
      <c r="E7441" s="13">
        <v>0</v>
      </c>
      <c r="F7441" s="14">
        <v>0</v>
      </c>
    </row>
    <row r="7442" spans="1:6" x14ac:dyDescent="0.3">
      <c r="A7442" s="8">
        <v>7440</v>
      </c>
      <c r="B7442" s="8" t="s">
        <v>7694</v>
      </c>
      <c r="C7442" s="8" t="s">
        <v>14946</v>
      </c>
      <c r="D7442" s="8" t="s">
        <v>14947</v>
      </c>
      <c r="E7442" s="13">
        <v>0</v>
      </c>
      <c r="F7442" s="14">
        <v>0</v>
      </c>
    </row>
    <row r="7443" spans="1:6" x14ac:dyDescent="0.3">
      <c r="A7443" s="8">
        <v>7441</v>
      </c>
      <c r="B7443" s="8" t="s">
        <v>7694</v>
      </c>
      <c r="C7443" s="8" t="s">
        <v>14948</v>
      </c>
      <c r="D7443" s="8" t="s">
        <v>14949</v>
      </c>
      <c r="E7443" s="13">
        <v>190000</v>
      </c>
      <c r="F7443" s="14">
        <v>379630</v>
      </c>
    </row>
    <row r="7444" spans="1:6" x14ac:dyDescent="0.3">
      <c r="A7444" s="8">
        <v>7442</v>
      </c>
      <c r="B7444" s="8" t="s">
        <v>7694</v>
      </c>
      <c r="C7444" s="8" t="s">
        <v>14950</v>
      </c>
      <c r="D7444" s="8" t="s">
        <v>14951</v>
      </c>
      <c r="E7444" s="13">
        <v>0</v>
      </c>
      <c r="F7444" s="14">
        <v>0</v>
      </c>
    </row>
    <row r="7445" spans="1:6" x14ac:dyDescent="0.3">
      <c r="A7445" s="8">
        <v>7443</v>
      </c>
      <c r="B7445" s="8" t="s">
        <v>7694</v>
      </c>
      <c r="C7445" s="8" t="s">
        <v>14952</v>
      </c>
      <c r="D7445" s="8" t="s">
        <v>14953</v>
      </c>
      <c r="E7445" s="13">
        <v>0</v>
      </c>
      <c r="F7445" s="14">
        <v>520000</v>
      </c>
    </row>
    <row r="7446" spans="1:6" x14ac:dyDescent="0.3">
      <c r="A7446" s="8">
        <v>7444</v>
      </c>
      <c r="B7446" s="8" t="s">
        <v>7694</v>
      </c>
      <c r="C7446" s="8" t="s">
        <v>14954</v>
      </c>
      <c r="D7446" s="8" t="s">
        <v>14955</v>
      </c>
      <c r="E7446" s="13">
        <v>0</v>
      </c>
      <c r="F7446" s="14">
        <v>1735455</v>
      </c>
    </row>
    <row r="7447" spans="1:6" x14ac:dyDescent="0.3">
      <c r="A7447" s="8">
        <v>7445</v>
      </c>
      <c r="B7447" s="8" t="s">
        <v>7694</v>
      </c>
      <c r="C7447" s="8" t="s">
        <v>14956</v>
      </c>
      <c r="D7447" s="8" t="s">
        <v>14957</v>
      </c>
      <c r="E7447" s="13">
        <v>0</v>
      </c>
      <c r="F7447" s="14">
        <v>210000</v>
      </c>
    </row>
    <row r="7448" spans="1:6" x14ac:dyDescent="0.3">
      <c r="A7448" s="8">
        <v>7446</v>
      </c>
      <c r="B7448" s="8" t="s">
        <v>7694</v>
      </c>
      <c r="C7448" s="8" t="s">
        <v>14958</v>
      </c>
      <c r="D7448" s="8" t="s">
        <v>14959</v>
      </c>
      <c r="E7448" s="13">
        <v>97000</v>
      </c>
      <c r="F7448" s="14">
        <v>193636</v>
      </c>
    </row>
    <row r="7449" spans="1:6" x14ac:dyDescent="0.3">
      <c r="A7449" s="8">
        <v>7447</v>
      </c>
      <c r="B7449" s="8" t="s">
        <v>7694</v>
      </c>
      <c r="C7449" s="8" t="s">
        <v>14960</v>
      </c>
      <c r="D7449" s="8" t="s">
        <v>14961</v>
      </c>
      <c r="E7449" s="13">
        <v>0</v>
      </c>
      <c r="F7449" s="14">
        <v>1550000</v>
      </c>
    </row>
    <row r="7450" spans="1:6" x14ac:dyDescent="0.3">
      <c r="A7450" s="8">
        <v>7448</v>
      </c>
      <c r="B7450" s="8" t="s">
        <v>7694</v>
      </c>
      <c r="C7450" s="8" t="s">
        <v>14962</v>
      </c>
      <c r="D7450" s="8" t="s">
        <v>14963</v>
      </c>
      <c r="E7450" s="13">
        <v>0</v>
      </c>
      <c r="F7450" s="14">
        <v>1450000</v>
      </c>
    </row>
    <row r="7451" spans="1:6" x14ac:dyDescent="0.3">
      <c r="A7451" s="8">
        <v>7449</v>
      </c>
      <c r="B7451" s="8" t="s">
        <v>7694</v>
      </c>
      <c r="C7451" s="8" t="s">
        <v>14964</v>
      </c>
      <c r="D7451" s="8" t="s">
        <v>14965</v>
      </c>
      <c r="E7451" s="13">
        <v>0</v>
      </c>
      <c r="F7451" s="14">
        <v>0</v>
      </c>
    </row>
    <row r="7452" spans="1:6" x14ac:dyDescent="0.3">
      <c r="A7452" s="8">
        <v>7450</v>
      </c>
      <c r="B7452" s="8" t="s">
        <v>7694</v>
      </c>
      <c r="C7452" s="8" t="s">
        <v>14966</v>
      </c>
      <c r="D7452" s="8" t="s">
        <v>14967</v>
      </c>
      <c r="E7452" s="13">
        <v>0</v>
      </c>
      <c r="F7452" s="14">
        <v>1634545</v>
      </c>
    </row>
    <row r="7453" spans="1:6" x14ac:dyDescent="0.3">
      <c r="A7453" s="8">
        <v>7451</v>
      </c>
      <c r="B7453" s="8" t="s">
        <v>7694</v>
      </c>
      <c r="C7453" s="8" t="s">
        <v>14968</v>
      </c>
      <c r="D7453" s="8" t="s">
        <v>14969</v>
      </c>
      <c r="E7453" s="13">
        <v>1000000</v>
      </c>
      <c r="F7453" s="14">
        <v>2000000</v>
      </c>
    </row>
    <row r="7454" spans="1:6" x14ac:dyDescent="0.3">
      <c r="A7454" s="8">
        <v>7452</v>
      </c>
      <c r="B7454" s="8" t="s">
        <v>7694</v>
      </c>
      <c r="C7454" s="8" t="s">
        <v>14970</v>
      </c>
      <c r="D7454" s="8" t="s">
        <v>14971</v>
      </c>
      <c r="E7454" s="13">
        <v>1350000</v>
      </c>
      <c r="F7454" s="14">
        <v>2700000</v>
      </c>
    </row>
    <row r="7455" spans="1:6" x14ac:dyDescent="0.3">
      <c r="A7455" s="8">
        <v>7453</v>
      </c>
      <c r="B7455" s="8" t="s">
        <v>7694</v>
      </c>
      <c r="C7455" s="8" t="s">
        <v>14972</v>
      </c>
      <c r="D7455" s="8" t="s">
        <v>14973</v>
      </c>
      <c r="E7455" s="13">
        <v>215000</v>
      </c>
      <c r="F7455" s="14">
        <v>430000</v>
      </c>
    </row>
    <row r="7456" spans="1:6" x14ac:dyDescent="0.3">
      <c r="A7456" s="8">
        <v>7454</v>
      </c>
      <c r="B7456" s="8" t="s">
        <v>7694</v>
      </c>
      <c r="C7456" s="8" t="s">
        <v>14974</v>
      </c>
      <c r="D7456" s="8" t="s">
        <v>14975</v>
      </c>
      <c r="E7456" s="13">
        <v>0</v>
      </c>
      <c r="F7456" s="14">
        <v>407273</v>
      </c>
    </row>
    <row r="7457" spans="1:6" x14ac:dyDescent="0.3">
      <c r="A7457" s="8">
        <v>7455</v>
      </c>
      <c r="B7457" s="8" t="s">
        <v>7694</v>
      </c>
      <c r="C7457" s="8" t="s">
        <v>14976</v>
      </c>
      <c r="D7457" s="8" t="s">
        <v>14977</v>
      </c>
      <c r="E7457" s="13">
        <v>0</v>
      </c>
      <c r="F7457" s="14">
        <v>810000</v>
      </c>
    </row>
    <row r="7458" spans="1:6" x14ac:dyDescent="0.3">
      <c r="A7458" s="8">
        <v>7456</v>
      </c>
      <c r="B7458" s="8" t="s">
        <v>7694</v>
      </c>
      <c r="C7458" s="8" t="s">
        <v>14978</v>
      </c>
      <c r="D7458" s="8" t="s">
        <v>14979</v>
      </c>
      <c r="E7458" s="13">
        <v>0</v>
      </c>
      <c r="F7458" s="14">
        <v>0</v>
      </c>
    </row>
    <row r="7459" spans="1:6" x14ac:dyDescent="0.3">
      <c r="A7459" s="8">
        <v>7457</v>
      </c>
      <c r="B7459" s="8" t="s">
        <v>7694</v>
      </c>
      <c r="C7459" s="8" t="s">
        <v>14980</v>
      </c>
      <c r="D7459" s="8" t="s">
        <v>14981</v>
      </c>
      <c r="E7459" s="13">
        <v>310200</v>
      </c>
      <c r="F7459" s="14">
        <v>620000</v>
      </c>
    </row>
    <row r="7460" spans="1:6" x14ac:dyDescent="0.3">
      <c r="A7460" s="8">
        <v>7458</v>
      </c>
      <c r="B7460" s="8" t="s">
        <v>7694</v>
      </c>
      <c r="C7460" s="8" t="s">
        <v>14982</v>
      </c>
      <c r="D7460" s="8" t="s">
        <v>14983</v>
      </c>
      <c r="E7460" s="13">
        <v>0</v>
      </c>
      <c r="F7460" s="14">
        <v>0</v>
      </c>
    </row>
    <row r="7461" spans="1:6" x14ac:dyDescent="0.3">
      <c r="A7461" s="8">
        <v>7459</v>
      </c>
      <c r="B7461" s="8" t="s">
        <v>7694</v>
      </c>
      <c r="C7461" s="8" t="s">
        <v>14984</v>
      </c>
      <c r="D7461" s="8" t="s">
        <v>14985</v>
      </c>
      <c r="E7461" s="13">
        <v>0</v>
      </c>
      <c r="F7461" s="14">
        <v>0</v>
      </c>
    </row>
    <row r="7462" spans="1:6" x14ac:dyDescent="0.3">
      <c r="A7462" s="8">
        <v>7460</v>
      </c>
      <c r="B7462" s="8" t="s">
        <v>7694</v>
      </c>
      <c r="C7462" s="8" t="s">
        <v>14986</v>
      </c>
      <c r="D7462" s="8" t="s">
        <v>14987</v>
      </c>
      <c r="E7462" s="13">
        <v>0</v>
      </c>
      <c r="F7462" s="14">
        <v>0</v>
      </c>
    </row>
    <row r="7463" spans="1:6" x14ac:dyDescent="0.3">
      <c r="A7463" s="8">
        <v>7461</v>
      </c>
      <c r="B7463" s="8" t="s">
        <v>7694</v>
      </c>
      <c r="C7463" s="8" t="s">
        <v>14988</v>
      </c>
      <c r="D7463" s="8" t="s">
        <v>14989</v>
      </c>
      <c r="E7463" s="13">
        <v>0</v>
      </c>
      <c r="F7463" s="14">
        <v>740909</v>
      </c>
    </row>
    <row r="7464" spans="1:6" x14ac:dyDescent="0.3">
      <c r="A7464" s="8">
        <v>7462</v>
      </c>
      <c r="B7464" s="8" t="s">
        <v>7694</v>
      </c>
      <c r="C7464" s="8" t="s">
        <v>14990</v>
      </c>
      <c r="D7464" s="8" t="s">
        <v>14991</v>
      </c>
      <c r="E7464" s="13">
        <v>0</v>
      </c>
      <c r="F7464" s="14">
        <v>0</v>
      </c>
    </row>
    <row r="7465" spans="1:6" x14ac:dyDescent="0.3">
      <c r="A7465" s="8">
        <v>7463</v>
      </c>
      <c r="B7465" s="8" t="s">
        <v>7694</v>
      </c>
      <c r="C7465" s="8" t="s">
        <v>14992</v>
      </c>
      <c r="D7465" s="8" t="s">
        <v>14993</v>
      </c>
      <c r="E7465" s="13">
        <v>0</v>
      </c>
      <c r="F7465" s="14">
        <v>0</v>
      </c>
    </row>
    <row r="7466" spans="1:6" x14ac:dyDescent="0.3">
      <c r="A7466" s="8">
        <v>7464</v>
      </c>
      <c r="B7466" s="8" t="s">
        <v>7694</v>
      </c>
      <c r="C7466" s="8" t="s">
        <v>14994</v>
      </c>
      <c r="D7466" s="8" t="s">
        <v>14995</v>
      </c>
      <c r="E7466" s="13">
        <v>0</v>
      </c>
      <c r="F7466" s="14">
        <v>0</v>
      </c>
    </row>
    <row r="7467" spans="1:6" x14ac:dyDescent="0.3">
      <c r="A7467" s="8">
        <v>7465</v>
      </c>
      <c r="B7467" s="8" t="s">
        <v>7694</v>
      </c>
      <c r="C7467" s="8" t="s">
        <v>14996</v>
      </c>
      <c r="D7467" s="8" t="s">
        <v>14997</v>
      </c>
      <c r="E7467" s="13">
        <v>0</v>
      </c>
      <c r="F7467" s="14">
        <v>0</v>
      </c>
    </row>
    <row r="7468" spans="1:6" x14ac:dyDescent="0.3">
      <c r="A7468" s="8">
        <v>7466</v>
      </c>
      <c r="B7468" s="8" t="s">
        <v>7694</v>
      </c>
      <c r="C7468" s="8" t="s">
        <v>14998</v>
      </c>
      <c r="D7468" s="8" t="s">
        <v>14999</v>
      </c>
      <c r="E7468" s="13">
        <v>0</v>
      </c>
      <c r="F7468" s="14">
        <v>0</v>
      </c>
    </row>
    <row r="7469" spans="1:6" x14ac:dyDescent="0.3">
      <c r="A7469" s="8">
        <v>7467</v>
      </c>
      <c r="B7469" s="8" t="s">
        <v>7694</v>
      </c>
      <c r="C7469" s="8" t="s">
        <v>15000</v>
      </c>
      <c r="D7469" s="8" t="s">
        <v>15001</v>
      </c>
      <c r="E7469" s="13">
        <v>0</v>
      </c>
      <c r="F7469" s="14">
        <v>0</v>
      </c>
    </row>
    <row r="7470" spans="1:6" x14ac:dyDescent="0.3">
      <c r="A7470" s="8">
        <v>7468</v>
      </c>
      <c r="B7470" s="8" t="s">
        <v>7694</v>
      </c>
      <c r="C7470" s="8" t="s">
        <v>15002</v>
      </c>
      <c r="D7470" s="8" t="s">
        <v>15003</v>
      </c>
      <c r="E7470" s="13">
        <v>250000</v>
      </c>
      <c r="F7470" s="14">
        <v>500000</v>
      </c>
    </row>
    <row r="7471" spans="1:6" x14ac:dyDescent="0.3">
      <c r="A7471" s="8">
        <v>7469</v>
      </c>
      <c r="B7471" s="8" t="s">
        <v>7694</v>
      </c>
      <c r="C7471" s="8" t="s">
        <v>15004</v>
      </c>
      <c r="D7471" s="8" t="s">
        <v>15005</v>
      </c>
      <c r="E7471" s="13">
        <v>0</v>
      </c>
      <c r="F7471" s="14">
        <v>814545</v>
      </c>
    </row>
    <row r="7472" spans="1:6" x14ac:dyDescent="0.3">
      <c r="A7472" s="8">
        <v>7470</v>
      </c>
      <c r="B7472" s="8" t="s">
        <v>7694</v>
      </c>
      <c r="C7472" s="8" t="s">
        <v>15006</v>
      </c>
      <c r="D7472" s="8" t="s">
        <v>15007</v>
      </c>
      <c r="E7472" s="13">
        <v>324100</v>
      </c>
      <c r="F7472" s="14">
        <v>648182</v>
      </c>
    </row>
    <row r="7473" spans="1:6" x14ac:dyDescent="0.3">
      <c r="A7473" s="8">
        <v>7471</v>
      </c>
      <c r="B7473" s="8" t="s">
        <v>7694</v>
      </c>
      <c r="C7473" s="8" t="s">
        <v>15008</v>
      </c>
      <c r="D7473" s="8" t="s">
        <v>15009</v>
      </c>
      <c r="E7473" s="13">
        <v>333400</v>
      </c>
      <c r="F7473" s="14">
        <v>666364</v>
      </c>
    </row>
    <row r="7474" spans="1:6" x14ac:dyDescent="0.3">
      <c r="A7474" s="8">
        <v>7472</v>
      </c>
      <c r="B7474" s="8" t="s">
        <v>7694</v>
      </c>
      <c r="C7474" s="8" t="s">
        <v>15010</v>
      </c>
      <c r="D7474" s="8" t="s">
        <v>15011</v>
      </c>
      <c r="E7474" s="13">
        <v>470000</v>
      </c>
      <c r="F7474" s="14">
        <v>940000</v>
      </c>
    </row>
    <row r="7475" spans="1:6" x14ac:dyDescent="0.3">
      <c r="A7475" s="8">
        <v>7473</v>
      </c>
      <c r="B7475" s="8" t="s">
        <v>7694</v>
      </c>
      <c r="C7475" s="8" t="s">
        <v>15012</v>
      </c>
      <c r="D7475" s="8" t="s">
        <v>15013</v>
      </c>
      <c r="E7475" s="13">
        <v>0</v>
      </c>
      <c r="F7475" s="14">
        <v>550000</v>
      </c>
    </row>
    <row r="7476" spans="1:6" x14ac:dyDescent="0.3">
      <c r="A7476" s="8">
        <v>7474</v>
      </c>
      <c r="B7476" s="8" t="s">
        <v>7694</v>
      </c>
      <c r="C7476" s="8" t="s">
        <v>15014</v>
      </c>
      <c r="D7476" s="8" t="s">
        <v>15015</v>
      </c>
      <c r="E7476" s="13">
        <v>342600</v>
      </c>
      <c r="F7476" s="14">
        <v>685455</v>
      </c>
    </row>
    <row r="7477" spans="1:6" x14ac:dyDescent="0.3">
      <c r="A7477" s="8">
        <v>7475</v>
      </c>
      <c r="B7477" s="8" t="s">
        <v>7694</v>
      </c>
      <c r="C7477" s="8" t="s">
        <v>15016</v>
      </c>
      <c r="D7477" s="8" t="s">
        <v>15017</v>
      </c>
      <c r="E7477" s="13">
        <v>0</v>
      </c>
      <c r="F7477" s="14">
        <v>0</v>
      </c>
    </row>
    <row r="7478" spans="1:6" x14ac:dyDescent="0.3">
      <c r="A7478" s="8">
        <v>7476</v>
      </c>
      <c r="B7478" s="8" t="s">
        <v>7694</v>
      </c>
      <c r="C7478" s="8" t="s">
        <v>15018</v>
      </c>
      <c r="D7478" s="8" t="s">
        <v>15019</v>
      </c>
      <c r="E7478" s="13">
        <v>215000</v>
      </c>
      <c r="F7478" s="14">
        <v>429630</v>
      </c>
    </row>
    <row r="7479" spans="1:6" x14ac:dyDescent="0.3">
      <c r="A7479" s="8">
        <v>7477</v>
      </c>
      <c r="B7479" s="8" t="s">
        <v>7694</v>
      </c>
      <c r="C7479" s="8" t="s">
        <v>15020</v>
      </c>
      <c r="D7479" s="8" t="s">
        <v>15021</v>
      </c>
      <c r="E7479" s="13">
        <v>0</v>
      </c>
      <c r="F7479" s="14">
        <v>6680000</v>
      </c>
    </row>
    <row r="7480" spans="1:6" x14ac:dyDescent="0.3">
      <c r="A7480" s="8">
        <v>7478</v>
      </c>
      <c r="B7480" s="8" t="s">
        <v>7694</v>
      </c>
      <c r="C7480" s="8" t="s">
        <v>15022</v>
      </c>
      <c r="D7480" s="8" t="s">
        <v>15023</v>
      </c>
      <c r="E7480" s="13">
        <v>0</v>
      </c>
      <c r="F7480" s="14">
        <v>0</v>
      </c>
    </row>
    <row r="7481" spans="1:6" x14ac:dyDescent="0.3">
      <c r="A7481" s="8">
        <v>7479</v>
      </c>
      <c r="B7481" s="8" t="s">
        <v>7694</v>
      </c>
      <c r="C7481" s="8" t="s">
        <v>15024</v>
      </c>
      <c r="D7481" s="8" t="s">
        <v>15025</v>
      </c>
      <c r="E7481" s="13">
        <v>0</v>
      </c>
      <c r="F7481" s="14">
        <v>0</v>
      </c>
    </row>
    <row r="7482" spans="1:6" x14ac:dyDescent="0.3">
      <c r="A7482" s="8">
        <v>7480</v>
      </c>
      <c r="B7482" s="8" t="s">
        <v>7694</v>
      </c>
      <c r="C7482" s="8" t="s">
        <v>15026</v>
      </c>
      <c r="D7482" s="8" t="s">
        <v>15027</v>
      </c>
      <c r="E7482" s="13">
        <v>0</v>
      </c>
      <c r="F7482" s="14">
        <v>98560000</v>
      </c>
    </row>
    <row r="7483" spans="1:6" x14ac:dyDescent="0.3">
      <c r="A7483" s="8">
        <v>7481</v>
      </c>
      <c r="B7483" s="8" t="s">
        <v>7694</v>
      </c>
      <c r="C7483" s="8" t="s">
        <v>15028</v>
      </c>
      <c r="D7483" s="8" t="s">
        <v>15029</v>
      </c>
      <c r="E7483" s="13">
        <v>0</v>
      </c>
      <c r="F7483" s="14">
        <v>64130000</v>
      </c>
    </row>
    <row r="7484" spans="1:6" x14ac:dyDescent="0.3">
      <c r="A7484" s="8">
        <v>7482</v>
      </c>
      <c r="B7484" s="8" t="s">
        <v>7694</v>
      </c>
      <c r="C7484" s="8" t="s">
        <v>15030</v>
      </c>
      <c r="D7484" s="8" t="s">
        <v>15031</v>
      </c>
      <c r="E7484" s="13">
        <v>0</v>
      </c>
      <c r="F7484" s="14">
        <v>0</v>
      </c>
    </row>
    <row r="7485" spans="1:6" x14ac:dyDescent="0.3">
      <c r="A7485" s="8">
        <v>7483</v>
      </c>
      <c r="B7485" s="8" t="s">
        <v>7694</v>
      </c>
      <c r="C7485" s="8" t="s">
        <v>15032</v>
      </c>
      <c r="D7485" s="8" t="s">
        <v>15033</v>
      </c>
      <c r="E7485" s="13">
        <v>0</v>
      </c>
      <c r="F7485" s="14">
        <v>0</v>
      </c>
    </row>
    <row r="7486" spans="1:6" x14ac:dyDescent="0.3">
      <c r="A7486" s="8">
        <v>7484</v>
      </c>
      <c r="B7486" s="8" t="s">
        <v>7694</v>
      </c>
      <c r="C7486" s="8" t="s">
        <v>15034</v>
      </c>
      <c r="D7486" s="8" t="s">
        <v>15035</v>
      </c>
      <c r="E7486" s="13">
        <v>0</v>
      </c>
      <c r="F7486" s="14">
        <v>0</v>
      </c>
    </row>
    <row r="7487" spans="1:6" x14ac:dyDescent="0.3">
      <c r="A7487" s="8">
        <v>7485</v>
      </c>
      <c r="B7487" s="8" t="s">
        <v>7694</v>
      </c>
      <c r="C7487" s="8" t="s">
        <v>15036</v>
      </c>
      <c r="D7487" s="8" t="s">
        <v>15037</v>
      </c>
      <c r="E7487" s="13">
        <v>0</v>
      </c>
      <c r="F7487" s="14">
        <v>0</v>
      </c>
    </row>
    <row r="7488" spans="1:6" x14ac:dyDescent="0.3">
      <c r="A7488" s="8">
        <v>7486</v>
      </c>
      <c r="B7488" s="8" t="s">
        <v>7694</v>
      </c>
      <c r="C7488" s="8" t="s">
        <v>15038</v>
      </c>
      <c r="D7488" s="8" t="s">
        <v>15039</v>
      </c>
      <c r="E7488" s="13">
        <v>0</v>
      </c>
      <c r="F7488" s="14">
        <v>0</v>
      </c>
    </row>
    <row r="7489" spans="1:6" x14ac:dyDescent="0.3">
      <c r="A7489" s="8">
        <v>7487</v>
      </c>
      <c r="B7489" s="8" t="s">
        <v>7694</v>
      </c>
      <c r="C7489" s="8" t="s">
        <v>15040</v>
      </c>
      <c r="D7489" s="8" t="s">
        <v>15041</v>
      </c>
      <c r="E7489" s="13">
        <v>0</v>
      </c>
      <c r="F7489" s="14">
        <v>98560000</v>
      </c>
    </row>
    <row r="7490" spans="1:6" x14ac:dyDescent="0.3">
      <c r="A7490" s="8">
        <v>7488</v>
      </c>
      <c r="B7490" s="8" t="s">
        <v>7694</v>
      </c>
      <c r="C7490" s="8" t="s">
        <v>15042</v>
      </c>
      <c r="D7490" s="8" t="s">
        <v>15043</v>
      </c>
      <c r="E7490" s="13">
        <v>0</v>
      </c>
      <c r="F7490" s="14">
        <v>79750000</v>
      </c>
    </row>
    <row r="7491" spans="1:6" x14ac:dyDescent="0.3">
      <c r="A7491" s="8">
        <v>7489</v>
      </c>
      <c r="B7491" s="8" t="s">
        <v>7694</v>
      </c>
      <c r="C7491" s="8" t="s">
        <v>15044</v>
      </c>
      <c r="D7491" s="8" t="s">
        <v>15045</v>
      </c>
      <c r="E7491" s="13">
        <v>0</v>
      </c>
      <c r="F7491" s="14">
        <v>191890000</v>
      </c>
    </row>
    <row r="7492" spans="1:6" x14ac:dyDescent="0.3">
      <c r="A7492" s="8">
        <v>7490</v>
      </c>
      <c r="B7492" s="8" t="s">
        <v>9478</v>
      </c>
      <c r="C7492" s="8" t="s">
        <v>15046</v>
      </c>
      <c r="D7492" s="8" t="s">
        <v>34</v>
      </c>
      <c r="E7492" s="13">
        <v>101000</v>
      </c>
      <c r="F7492" s="14">
        <v>201852</v>
      </c>
    </row>
    <row r="7493" spans="1:6" x14ac:dyDescent="0.3">
      <c r="A7493" s="8">
        <v>7491</v>
      </c>
      <c r="B7493" s="8" t="s">
        <v>9478</v>
      </c>
      <c r="C7493" s="8" t="s">
        <v>15047</v>
      </c>
      <c r="D7493" s="8" t="s">
        <v>15048</v>
      </c>
      <c r="E7493" s="13">
        <v>0</v>
      </c>
      <c r="F7493" s="14">
        <v>0</v>
      </c>
    </row>
    <row r="7494" spans="1:6" x14ac:dyDescent="0.3">
      <c r="A7494" s="8">
        <v>7492</v>
      </c>
      <c r="B7494" s="8" t="s">
        <v>9478</v>
      </c>
      <c r="C7494" s="8" t="s">
        <v>15049</v>
      </c>
      <c r="D7494" s="8" t="s">
        <v>47</v>
      </c>
      <c r="E7494" s="13">
        <v>160000</v>
      </c>
      <c r="F7494" s="14">
        <v>320370</v>
      </c>
    </row>
    <row r="7495" spans="1:6" x14ac:dyDescent="0.3">
      <c r="A7495" s="8">
        <v>7493</v>
      </c>
      <c r="B7495" s="8" t="s">
        <v>9478</v>
      </c>
      <c r="C7495" s="8" t="s">
        <v>15050</v>
      </c>
      <c r="D7495" s="8" t="s">
        <v>15051</v>
      </c>
      <c r="E7495" s="13">
        <v>0</v>
      </c>
      <c r="F7495" s="14">
        <v>0</v>
      </c>
    </row>
    <row r="7496" spans="1:6" x14ac:dyDescent="0.3">
      <c r="A7496" s="8">
        <v>7494</v>
      </c>
      <c r="B7496" s="8" t="s">
        <v>9478</v>
      </c>
      <c r="C7496" s="8" t="s">
        <v>15052</v>
      </c>
      <c r="D7496" s="8" t="s">
        <v>15053</v>
      </c>
      <c r="E7496" s="13">
        <v>90000</v>
      </c>
      <c r="F7496" s="14">
        <v>179630</v>
      </c>
    </row>
    <row r="7497" spans="1:6" x14ac:dyDescent="0.3">
      <c r="A7497" s="8">
        <v>7495</v>
      </c>
      <c r="B7497" s="8" t="s">
        <v>9478</v>
      </c>
      <c r="C7497" s="8" t="s">
        <v>15054</v>
      </c>
      <c r="D7497" s="8" t="s">
        <v>31</v>
      </c>
      <c r="E7497" s="13">
        <v>60300</v>
      </c>
      <c r="F7497" s="14">
        <v>120370</v>
      </c>
    </row>
    <row r="7498" spans="1:6" x14ac:dyDescent="0.3">
      <c r="A7498" s="8">
        <v>7496</v>
      </c>
      <c r="B7498" s="8" t="s">
        <v>9478</v>
      </c>
      <c r="C7498" s="8" t="s">
        <v>15055</v>
      </c>
      <c r="D7498" s="8" t="s">
        <v>15056</v>
      </c>
      <c r="E7498" s="13">
        <v>0</v>
      </c>
      <c r="F7498" s="14">
        <v>0</v>
      </c>
    </row>
    <row r="7499" spans="1:6" x14ac:dyDescent="0.3">
      <c r="A7499" s="8">
        <v>7497</v>
      </c>
      <c r="B7499" s="8" t="s">
        <v>9478</v>
      </c>
      <c r="C7499" s="8" t="s">
        <v>15057</v>
      </c>
      <c r="D7499" s="8" t="s">
        <v>15058</v>
      </c>
      <c r="E7499" s="13">
        <v>0</v>
      </c>
      <c r="F7499" s="14">
        <v>0</v>
      </c>
    </row>
    <row r="7500" spans="1:6" x14ac:dyDescent="0.3">
      <c r="A7500" s="8">
        <v>7498</v>
      </c>
      <c r="B7500" s="8" t="s">
        <v>9478</v>
      </c>
      <c r="C7500" s="8" t="s">
        <v>15059</v>
      </c>
      <c r="D7500" s="8" t="s">
        <v>15060</v>
      </c>
      <c r="E7500" s="13">
        <v>0</v>
      </c>
      <c r="F7500" s="14">
        <v>0</v>
      </c>
    </row>
    <row r="7501" spans="1:6" x14ac:dyDescent="0.3">
      <c r="A7501" s="8">
        <v>7499</v>
      </c>
      <c r="B7501" s="8" t="s">
        <v>9478</v>
      </c>
      <c r="C7501" s="8" t="s">
        <v>15061</v>
      </c>
      <c r="D7501" s="8" t="s">
        <v>15062</v>
      </c>
      <c r="E7501" s="13">
        <v>0</v>
      </c>
      <c r="F7501" s="14">
        <v>0</v>
      </c>
    </row>
    <row r="7502" spans="1:6" x14ac:dyDescent="0.3">
      <c r="A7502" s="8">
        <v>7500</v>
      </c>
      <c r="B7502" s="8" t="s">
        <v>9478</v>
      </c>
      <c r="C7502" s="8" t="s">
        <v>15063</v>
      </c>
      <c r="D7502" s="8" t="s">
        <v>15064</v>
      </c>
      <c r="E7502" s="13">
        <v>0</v>
      </c>
      <c r="F7502" s="14">
        <v>0</v>
      </c>
    </row>
    <row r="7503" spans="1:6" x14ac:dyDescent="0.3">
      <c r="A7503" s="8">
        <v>7501</v>
      </c>
      <c r="B7503" s="8" t="s">
        <v>9478</v>
      </c>
      <c r="C7503" s="8" t="s">
        <v>15065</v>
      </c>
      <c r="D7503" s="8" t="s">
        <v>15066</v>
      </c>
      <c r="E7503" s="13">
        <v>0</v>
      </c>
      <c r="F7503" s="14">
        <v>0</v>
      </c>
    </row>
    <row r="7504" spans="1:6" x14ac:dyDescent="0.3">
      <c r="A7504" s="8">
        <v>7502</v>
      </c>
      <c r="B7504" s="8" t="s">
        <v>9478</v>
      </c>
      <c r="C7504" s="8" t="s">
        <v>15067</v>
      </c>
      <c r="D7504" s="8" t="s">
        <v>15068</v>
      </c>
      <c r="E7504" s="13">
        <v>0</v>
      </c>
      <c r="F7504" s="14">
        <v>0</v>
      </c>
    </row>
    <row r="7505" spans="1:6" x14ac:dyDescent="0.3">
      <c r="A7505" s="8">
        <v>7503</v>
      </c>
      <c r="B7505" s="8" t="s">
        <v>9478</v>
      </c>
      <c r="C7505" s="8" t="s">
        <v>15069</v>
      </c>
      <c r="D7505" s="8" t="s">
        <v>42</v>
      </c>
      <c r="E7505" s="13">
        <v>158000</v>
      </c>
      <c r="F7505" s="14">
        <v>315741</v>
      </c>
    </row>
    <row r="7506" spans="1:6" x14ac:dyDescent="0.3">
      <c r="A7506" s="8">
        <v>7504</v>
      </c>
      <c r="B7506" s="8" t="s">
        <v>9478</v>
      </c>
      <c r="C7506" s="8" t="s">
        <v>15070</v>
      </c>
      <c r="D7506" s="8" t="s">
        <v>88</v>
      </c>
      <c r="E7506" s="13">
        <v>77200</v>
      </c>
      <c r="F7506" s="14">
        <v>154630</v>
      </c>
    </row>
    <row r="7507" spans="1:6" x14ac:dyDescent="0.3">
      <c r="A7507" s="8">
        <v>7505</v>
      </c>
      <c r="B7507" s="8" t="s">
        <v>9478</v>
      </c>
      <c r="C7507" s="8" t="s">
        <v>15071</v>
      </c>
      <c r="D7507" s="8" t="s">
        <v>15072</v>
      </c>
      <c r="E7507" s="13">
        <v>0</v>
      </c>
      <c r="F7507" s="14">
        <v>0</v>
      </c>
    </row>
    <row r="7508" spans="1:6" x14ac:dyDescent="0.3">
      <c r="A7508" s="8">
        <v>7506</v>
      </c>
      <c r="B7508" s="8" t="s">
        <v>9478</v>
      </c>
      <c r="C7508" s="8" t="s">
        <v>15073</v>
      </c>
      <c r="D7508" s="8" t="s">
        <v>15074</v>
      </c>
      <c r="E7508" s="13">
        <v>0</v>
      </c>
      <c r="F7508" s="14">
        <v>0</v>
      </c>
    </row>
    <row r="7509" spans="1:6" x14ac:dyDescent="0.3">
      <c r="A7509" s="8">
        <v>7507</v>
      </c>
      <c r="B7509" s="8" t="s">
        <v>9478</v>
      </c>
      <c r="C7509" s="8" t="s">
        <v>15075</v>
      </c>
      <c r="D7509" s="8" t="s">
        <v>24</v>
      </c>
      <c r="E7509" s="13">
        <v>66700</v>
      </c>
      <c r="F7509" s="14">
        <v>133333</v>
      </c>
    </row>
    <row r="7510" spans="1:6" x14ac:dyDescent="0.3">
      <c r="A7510" s="8">
        <v>7508</v>
      </c>
      <c r="B7510" s="8" t="s">
        <v>9478</v>
      </c>
      <c r="C7510" s="8" t="s">
        <v>15076</v>
      </c>
      <c r="D7510" s="8" t="s">
        <v>61</v>
      </c>
      <c r="E7510" s="13">
        <v>246000</v>
      </c>
      <c r="F7510" s="14">
        <v>491667</v>
      </c>
    </row>
    <row r="7511" spans="1:6" x14ac:dyDescent="0.3">
      <c r="A7511" s="8">
        <v>7509</v>
      </c>
      <c r="B7511" s="8" t="s">
        <v>9478</v>
      </c>
      <c r="C7511" s="8" t="s">
        <v>15077</v>
      </c>
      <c r="D7511" s="8" t="s">
        <v>15078</v>
      </c>
      <c r="E7511" s="13">
        <v>0</v>
      </c>
      <c r="F7511" s="14">
        <v>0</v>
      </c>
    </row>
    <row r="7512" spans="1:6" x14ac:dyDescent="0.3">
      <c r="A7512" s="8">
        <v>7510</v>
      </c>
      <c r="B7512" s="8" t="s">
        <v>9478</v>
      </c>
      <c r="C7512" s="8" t="s">
        <v>15079</v>
      </c>
      <c r="D7512" s="8" t="s">
        <v>15080</v>
      </c>
      <c r="E7512" s="13">
        <v>0</v>
      </c>
      <c r="F7512" s="14">
        <v>0</v>
      </c>
    </row>
    <row r="7513" spans="1:6" x14ac:dyDescent="0.3">
      <c r="A7513" s="8">
        <v>7511</v>
      </c>
      <c r="B7513" s="8" t="s">
        <v>9478</v>
      </c>
      <c r="C7513" s="8" t="s">
        <v>15081</v>
      </c>
      <c r="D7513" s="8" t="s">
        <v>15082</v>
      </c>
      <c r="E7513" s="13">
        <v>0</v>
      </c>
      <c r="F7513" s="14">
        <v>0</v>
      </c>
    </row>
    <row r="7514" spans="1:6" x14ac:dyDescent="0.3">
      <c r="A7514" s="8">
        <v>7512</v>
      </c>
      <c r="B7514" s="8" t="s">
        <v>9478</v>
      </c>
      <c r="C7514" s="8" t="s">
        <v>15083</v>
      </c>
      <c r="D7514" s="8" t="s">
        <v>15084</v>
      </c>
      <c r="E7514" s="13">
        <v>0</v>
      </c>
      <c r="F7514" s="14">
        <v>0</v>
      </c>
    </row>
    <row r="7515" spans="1:6" x14ac:dyDescent="0.3">
      <c r="A7515" s="8">
        <v>7513</v>
      </c>
      <c r="B7515" s="8" t="s">
        <v>9478</v>
      </c>
      <c r="C7515" s="8" t="s">
        <v>15085</v>
      </c>
      <c r="D7515" s="8" t="s">
        <v>15086</v>
      </c>
      <c r="E7515" s="13">
        <v>0</v>
      </c>
      <c r="F7515" s="14">
        <v>0</v>
      </c>
    </row>
    <row r="7516" spans="1:6" x14ac:dyDescent="0.3">
      <c r="A7516" s="8">
        <v>7514</v>
      </c>
      <c r="B7516" s="8" t="s">
        <v>9478</v>
      </c>
      <c r="C7516" s="8" t="s">
        <v>15087</v>
      </c>
      <c r="D7516" s="8" t="s">
        <v>15088</v>
      </c>
      <c r="E7516" s="13">
        <v>0</v>
      </c>
      <c r="F7516" s="14">
        <v>0</v>
      </c>
    </row>
    <row r="7517" spans="1:6" x14ac:dyDescent="0.3">
      <c r="A7517" s="8">
        <v>7515</v>
      </c>
      <c r="B7517" s="8" t="s">
        <v>9478</v>
      </c>
      <c r="C7517" s="8" t="s">
        <v>15089</v>
      </c>
      <c r="D7517" s="8" t="s">
        <v>15090</v>
      </c>
      <c r="E7517" s="13">
        <v>0</v>
      </c>
      <c r="F7517" s="14">
        <v>0</v>
      </c>
    </row>
    <row r="7518" spans="1:6" x14ac:dyDescent="0.3">
      <c r="A7518" s="8">
        <v>7516</v>
      </c>
      <c r="B7518" s="8" t="s">
        <v>9478</v>
      </c>
      <c r="C7518" s="8" t="s">
        <v>15091</v>
      </c>
      <c r="D7518" s="8" t="s">
        <v>15092</v>
      </c>
      <c r="E7518" s="13">
        <v>0</v>
      </c>
      <c r="F7518" s="14">
        <v>0</v>
      </c>
    </row>
    <row r="7519" spans="1:6" x14ac:dyDescent="0.3">
      <c r="A7519" s="8">
        <v>7517</v>
      </c>
      <c r="B7519" s="8" t="s">
        <v>9478</v>
      </c>
      <c r="C7519" s="8" t="s">
        <v>15093</v>
      </c>
      <c r="D7519" s="8" t="s">
        <v>15094</v>
      </c>
      <c r="E7519" s="13">
        <v>0</v>
      </c>
      <c r="F7519" s="14">
        <v>0</v>
      </c>
    </row>
    <row r="7520" spans="1:6" x14ac:dyDescent="0.3">
      <c r="A7520" s="8">
        <v>7518</v>
      </c>
      <c r="B7520" s="8" t="s">
        <v>9478</v>
      </c>
      <c r="C7520" s="8" t="s">
        <v>15095</v>
      </c>
      <c r="D7520" s="8" t="s">
        <v>15096</v>
      </c>
      <c r="E7520" s="13">
        <v>0</v>
      </c>
      <c r="F7520" s="14">
        <v>0</v>
      </c>
    </row>
    <row r="7521" spans="1:6" x14ac:dyDescent="0.3">
      <c r="A7521" s="8">
        <v>7519</v>
      </c>
      <c r="B7521" s="8" t="s">
        <v>9478</v>
      </c>
      <c r="C7521" s="8" t="s">
        <v>15097</v>
      </c>
      <c r="D7521" s="8" t="s">
        <v>15098</v>
      </c>
      <c r="E7521" s="13">
        <v>0</v>
      </c>
      <c r="F7521" s="14">
        <v>0</v>
      </c>
    </row>
    <row r="7522" spans="1:6" x14ac:dyDescent="0.3">
      <c r="A7522" s="8">
        <v>7520</v>
      </c>
      <c r="B7522" s="8" t="s">
        <v>9478</v>
      </c>
      <c r="C7522" s="8" t="s">
        <v>15099</v>
      </c>
      <c r="D7522" s="8" t="s">
        <v>15100</v>
      </c>
      <c r="E7522" s="13">
        <v>163000</v>
      </c>
      <c r="F7522" s="14">
        <v>326364</v>
      </c>
    </row>
    <row r="7523" spans="1:6" x14ac:dyDescent="0.3">
      <c r="A7523" s="8">
        <v>7521</v>
      </c>
      <c r="B7523" s="8" t="s">
        <v>9478</v>
      </c>
      <c r="C7523" s="8" t="s">
        <v>15101</v>
      </c>
      <c r="D7523" s="8" t="s">
        <v>15102</v>
      </c>
      <c r="E7523" s="13">
        <v>0</v>
      </c>
      <c r="F7523" s="14">
        <v>0</v>
      </c>
    </row>
    <row r="7524" spans="1:6" x14ac:dyDescent="0.3">
      <c r="A7524" s="8">
        <v>7522</v>
      </c>
      <c r="B7524" s="8" t="s">
        <v>9478</v>
      </c>
      <c r="C7524" s="8" t="s">
        <v>15103</v>
      </c>
      <c r="D7524" s="8" t="s">
        <v>15104</v>
      </c>
      <c r="E7524" s="13">
        <v>0</v>
      </c>
      <c r="F7524" s="14">
        <v>0</v>
      </c>
    </row>
    <row r="7525" spans="1:6" x14ac:dyDescent="0.3">
      <c r="A7525" s="8">
        <v>7523</v>
      </c>
      <c r="B7525" s="8" t="s">
        <v>9478</v>
      </c>
      <c r="C7525" s="8" t="s">
        <v>15105</v>
      </c>
      <c r="D7525" s="8" t="s">
        <v>15106</v>
      </c>
      <c r="E7525" s="13">
        <v>0</v>
      </c>
      <c r="F7525" s="14">
        <v>0</v>
      </c>
    </row>
    <row r="7526" spans="1:6" x14ac:dyDescent="0.3">
      <c r="A7526" s="8">
        <v>7524</v>
      </c>
      <c r="B7526" s="8" t="s">
        <v>9478</v>
      </c>
      <c r="C7526" s="8" t="s">
        <v>15107</v>
      </c>
      <c r="D7526" s="8" t="s">
        <v>15108</v>
      </c>
      <c r="E7526" s="13">
        <v>0</v>
      </c>
      <c r="F7526" s="14">
        <v>0</v>
      </c>
    </row>
    <row r="7527" spans="1:6" x14ac:dyDescent="0.3">
      <c r="A7527" s="8">
        <v>7525</v>
      </c>
      <c r="B7527" s="8" t="s">
        <v>9478</v>
      </c>
      <c r="C7527" s="8" t="s">
        <v>15109</v>
      </c>
      <c r="D7527" s="8" t="s">
        <v>15110</v>
      </c>
      <c r="E7527" s="13">
        <v>0</v>
      </c>
      <c r="F7527" s="14">
        <v>0</v>
      </c>
    </row>
    <row r="7528" spans="1:6" x14ac:dyDescent="0.3">
      <c r="A7528" s="8">
        <v>7526</v>
      </c>
      <c r="B7528" s="8" t="s">
        <v>9478</v>
      </c>
      <c r="C7528" s="8" t="s">
        <v>15111</v>
      </c>
      <c r="D7528" s="8" t="s">
        <v>15112</v>
      </c>
      <c r="E7528" s="13">
        <v>0</v>
      </c>
      <c r="F7528" s="14">
        <v>0</v>
      </c>
    </row>
    <row r="7529" spans="1:6" x14ac:dyDescent="0.3">
      <c r="A7529" s="8">
        <v>7527</v>
      </c>
      <c r="B7529" s="8" t="s">
        <v>9478</v>
      </c>
      <c r="C7529" s="8" t="s">
        <v>15113</v>
      </c>
      <c r="D7529" s="8" t="s">
        <v>15114</v>
      </c>
      <c r="E7529" s="13">
        <v>0</v>
      </c>
      <c r="F7529" s="14">
        <v>0</v>
      </c>
    </row>
    <row r="7530" spans="1:6" x14ac:dyDescent="0.3">
      <c r="A7530" s="8">
        <v>7528</v>
      </c>
      <c r="B7530" s="8" t="s">
        <v>9478</v>
      </c>
      <c r="C7530" s="8" t="s">
        <v>15115</v>
      </c>
      <c r="D7530" s="8" t="s">
        <v>15116</v>
      </c>
      <c r="E7530" s="13">
        <v>0</v>
      </c>
      <c r="F7530" s="14">
        <v>0</v>
      </c>
    </row>
    <row r="7531" spans="1:6" x14ac:dyDescent="0.3">
      <c r="A7531" s="8">
        <v>7529</v>
      </c>
      <c r="B7531" s="8" t="s">
        <v>9478</v>
      </c>
      <c r="C7531" s="8" t="s">
        <v>15117</v>
      </c>
      <c r="D7531" s="8" t="s">
        <v>15118</v>
      </c>
      <c r="E7531" s="13">
        <v>0</v>
      </c>
      <c r="F7531" s="14">
        <v>0</v>
      </c>
    </row>
    <row r="7532" spans="1:6" x14ac:dyDescent="0.3">
      <c r="A7532" s="8">
        <v>7530</v>
      </c>
      <c r="B7532" s="8" t="s">
        <v>9478</v>
      </c>
      <c r="C7532" s="8" t="s">
        <v>15119</v>
      </c>
      <c r="D7532" s="8" t="s">
        <v>15120</v>
      </c>
      <c r="E7532" s="13">
        <v>0</v>
      </c>
      <c r="F7532" s="14">
        <v>0</v>
      </c>
    </row>
    <row r="7533" spans="1:6" x14ac:dyDescent="0.3">
      <c r="A7533" s="8">
        <v>7531</v>
      </c>
      <c r="B7533" s="8" t="s">
        <v>9478</v>
      </c>
      <c r="C7533" s="8" t="s">
        <v>15121</v>
      </c>
      <c r="D7533" s="8" t="s">
        <v>15122</v>
      </c>
      <c r="E7533" s="13">
        <v>0</v>
      </c>
      <c r="F7533" s="14">
        <v>0</v>
      </c>
    </row>
    <row r="7534" spans="1:6" x14ac:dyDescent="0.3">
      <c r="A7534" s="8">
        <v>7532</v>
      </c>
      <c r="B7534" s="8" t="s">
        <v>9478</v>
      </c>
      <c r="C7534" s="8" t="s">
        <v>15123</v>
      </c>
      <c r="D7534" s="8" t="s">
        <v>15124</v>
      </c>
      <c r="E7534" s="13">
        <v>125000</v>
      </c>
      <c r="F7534" s="14">
        <v>250000</v>
      </c>
    </row>
    <row r="7535" spans="1:6" x14ac:dyDescent="0.3">
      <c r="A7535" s="8">
        <v>7533</v>
      </c>
      <c r="B7535" s="8" t="s">
        <v>9478</v>
      </c>
      <c r="C7535" s="8" t="s">
        <v>15125</v>
      </c>
      <c r="D7535" s="8" t="s">
        <v>15126</v>
      </c>
      <c r="E7535" s="13">
        <v>0</v>
      </c>
      <c r="F7535" s="14">
        <v>0</v>
      </c>
    </row>
    <row r="7536" spans="1:6" x14ac:dyDescent="0.3">
      <c r="A7536" s="8">
        <v>7534</v>
      </c>
      <c r="B7536" s="8" t="s">
        <v>9478</v>
      </c>
      <c r="C7536" s="8" t="s">
        <v>15127</v>
      </c>
      <c r="D7536" s="8" t="s">
        <v>15128</v>
      </c>
      <c r="E7536" s="13">
        <v>173000</v>
      </c>
      <c r="F7536" s="14">
        <v>346364</v>
      </c>
    </row>
    <row r="7537" spans="1:6" x14ac:dyDescent="0.3">
      <c r="A7537" s="8">
        <v>7535</v>
      </c>
      <c r="B7537" s="8" t="s">
        <v>9478</v>
      </c>
      <c r="C7537" s="8" t="s">
        <v>15129</v>
      </c>
      <c r="D7537" s="8" t="s">
        <v>134</v>
      </c>
      <c r="E7537" s="13">
        <v>137000</v>
      </c>
      <c r="F7537" s="14">
        <v>274074</v>
      </c>
    </row>
    <row r="7538" spans="1:6" x14ac:dyDescent="0.3">
      <c r="A7538" s="8">
        <v>7536</v>
      </c>
      <c r="B7538" s="8" t="s">
        <v>9478</v>
      </c>
      <c r="C7538" s="8" t="s">
        <v>15130</v>
      </c>
      <c r="D7538" s="8" t="s">
        <v>15131</v>
      </c>
      <c r="E7538" s="13">
        <v>195000</v>
      </c>
      <c r="F7538" s="14">
        <v>0</v>
      </c>
    </row>
    <row r="7539" spans="1:6" x14ac:dyDescent="0.3">
      <c r="A7539" s="8">
        <v>7537</v>
      </c>
      <c r="B7539" s="8" t="s">
        <v>15132</v>
      </c>
      <c r="C7539" s="8" t="s">
        <v>15133</v>
      </c>
      <c r="D7539" s="8" t="s">
        <v>15134</v>
      </c>
      <c r="E7539" s="13">
        <v>0</v>
      </c>
      <c r="F7539" s="14">
        <v>0</v>
      </c>
    </row>
    <row r="7540" spans="1:6" x14ac:dyDescent="0.3">
      <c r="A7540" s="8">
        <v>7538</v>
      </c>
      <c r="B7540" s="8" t="s">
        <v>10667</v>
      </c>
      <c r="C7540" s="8" t="s">
        <v>15135</v>
      </c>
      <c r="D7540" s="8" t="s">
        <v>15136</v>
      </c>
      <c r="E7540" s="13">
        <v>0</v>
      </c>
      <c r="F7540" s="14">
        <v>0</v>
      </c>
    </row>
    <row r="7541" spans="1:6" x14ac:dyDescent="0.3">
      <c r="A7541" s="8">
        <v>7539</v>
      </c>
      <c r="B7541" s="8" t="s">
        <v>10667</v>
      </c>
      <c r="C7541" s="8" t="s">
        <v>15137</v>
      </c>
      <c r="D7541" s="8" t="s">
        <v>15138</v>
      </c>
      <c r="E7541" s="13">
        <v>0</v>
      </c>
      <c r="F7541" s="14">
        <v>0</v>
      </c>
    </row>
    <row r="7542" spans="1:6" x14ac:dyDescent="0.3">
      <c r="A7542" s="8">
        <v>7540</v>
      </c>
      <c r="B7542" s="8" t="s">
        <v>10667</v>
      </c>
      <c r="C7542" s="8" t="s">
        <v>15139</v>
      </c>
      <c r="D7542" s="8" t="s">
        <v>15140</v>
      </c>
      <c r="E7542" s="13">
        <v>0</v>
      </c>
      <c r="F7542" s="14">
        <v>0</v>
      </c>
    </row>
    <row r="7543" spans="1:6" x14ac:dyDescent="0.3">
      <c r="A7543" s="8">
        <v>7541</v>
      </c>
      <c r="B7543" s="8" t="s">
        <v>10667</v>
      </c>
      <c r="C7543" s="8" t="s">
        <v>15141</v>
      </c>
      <c r="D7543" s="8" t="s">
        <v>15142</v>
      </c>
      <c r="E7543" s="13">
        <v>0</v>
      </c>
      <c r="F7543" s="14">
        <v>0</v>
      </c>
    </row>
    <row r="7544" spans="1:6" x14ac:dyDescent="0.3">
      <c r="A7544" s="8">
        <v>7542</v>
      </c>
      <c r="B7544" s="8" t="s">
        <v>10667</v>
      </c>
      <c r="C7544" s="8" t="s">
        <v>15143</v>
      </c>
      <c r="D7544" s="8" t="s">
        <v>15144</v>
      </c>
      <c r="E7544" s="13">
        <v>0</v>
      </c>
      <c r="F7544" s="14">
        <v>0</v>
      </c>
    </row>
    <row r="7545" spans="1:6" x14ac:dyDescent="0.3">
      <c r="A7545" s="8">
        <v>7543</v>
      </c>
      <c r="B7545" s="8" t="s">
        <v>10667</v>
      </c>
      <c r="C7545" s="8" t="s">
        <v>15145</v>
      </c>
      <c r="D7545" s="8" t="s">
        <v>15146</v>
      </c>
      <c r="E7545" s="13">
        <v>0</v>
      </c>
      <c r="F7545" s="14">
        <v>0</v>
      </c>
    </row>
    <row r="7546" spans="1:6" x14ac:dyDescent="0.3">
      <c r="A7546" s="8">
        <v>7544</v>
      </c>
      <c r="B7546" s="8" t="s">
        <v>10684</v>
      </c>
      <c r="C7546" s="8" t="s">
        <v>15147</v>
      </c>
      <c r="D7546" s="8" t="s">
        <v>15148</v>
      </c>
      <c r="E7546" s="13">
        <v>0</v>
      </c>
      <c r="F7546" s="14">
        <v>0</v>
      </c>
    </row>
    <row r="7547" spans="1:6" x14ac:dyDescent="0.3">
      <c r="A7547" s="8">
        <v>7545</v>
      </c>
      <c r="B7547" s="8" t="s">
        <v>10684</v>
      </c>
      <c r="C7547" s="8" t="s">
        <v>15149</v>
      </c>
      <c r="D7547" s="8" t="s">
        <v>15150</v>
      </c>
      <c r="E7547" s="13">
        <v>0</v>
      </c>
      <c r="F7547" s="14">
        <v>0</v>
      </c>
    </row>
    <row r="7548" spans="1:6" x14ac:dyDescent="0.3">
      <c r="A7548" s="8">
        <v>7546</v>
      </c>
      <c r="B7548" s="8" t="s">
        <v>10684</v>
      </c>
      <c r="C7548" s="8" t="s">
        <v>15151</v>
      </c>
      <c r="D7548" s="8" t="s">
        <v>15152</v>
      </c>
      <c r="E7548" s="13">
        <v>0</v>
      </c>
      <c r="F7548" s="14">
        <v>0</v>
      </c>
    </row>
    <row r="7549" spans="1:6" x14ac:dyDescent="0.3">
      <c r="A7549" s="8">
        <v>7547</v>
      </c>
      <c r="B7549" s="8" t="s">
        <v>10684</v>
      </c>
      <c r="C7549" s="8" t="s">
        <v>15153</v>
      </c>
      <c r="D7549" s="8" t="s">
        <v>15154</v>
      </c>
      <c r="E7549" s="13">
        <v>0</v>
      </c>
      <c r="F7549" s="14">
        <v>0</v>
      </c>
    </row>
    <row r="7550" spans="1:6" x14ac:dyDescent="0.3">
      <c r="A7550" s="8">
        <v>7548</v>
      </c>
      <c r="B7550" s="8" t="s">
        <v>10684</v>
      </c>
      <c r="C7550" s="8" t="s">
        <v>15155</v>
      </c>
      <c r="D7550" s="8" t="s">
        <v>15156</v>
      </c>
      <c r="E7550" s="13">
        <v>0</v>
      </c>
      <c r="F7550" s="14">
        <v>0</v>
      </c>
    </row>
    <row r="7551" spans="1:6" x14ac:dyDescent="0.3">
      <c r="A7551" s="8">
        <v>7549</v>
      </c>
      <c r="B7551" s="8" t="s">
        <v>10684</v>
      </c>
      <c r="C7551" s="8" t="s">
        <v>15157</v>
      </c>
      <c r="D7551" s="8" t="s">
        <v>15158</v>
      </c>
      <c r="E7551" s="13">
        <v>0</v>
      </c>
      <c r="F7551" s="14">
        <v>0</v>
      </c>
    </row>
    <row r="7552" spans="1:6" x14ac:dyDescent="0.3">
      <c r="A7552" s="8">
        <v>7550</v>
      </c>
      <c r="B7552" s="8" t="s">
        <v>10697</v>
      </c>
      <c r="C7552" s="8" t="s">
        <v>15159</v>
      </c>
      <c r="D7552" s="8" t="s">
        <v>15160</v>
      </c>
      <c r="E7552" s="13">
        <v>0</v>
      </c>
      <c r="F7552" s="14">
        <v>0</v>
      </c>
    </row>
    <row r="7553" spans="1:6" x14ac:dyDescent="0.3">
      <c r="A7553" s="8">
        <v>7551</v>
      </c>
      <c r="B7553" s="8" t="s">
        <v>10697</v>
      </c>
      <c r="C7553" s="8" t="s">
        <v>15161</v>
      </c>
      <c r="D7553" s="8" t="s">
        <v>15162</v>
      </c>
      <c r="E7553" s="13">
        <v>0</v>
      </c>
      <c r="F7553" s="14">
        <v>0</v>
      </c>
    </row>
    <row r="7554" spans="1:6" x14ac:dyDescent="0.3">
      <c r="A7554" s="8">
        <v>7552</v>
      </c>
      <c r="B7554" s="8" t="s">
        <v>10697</v>
      </c>
      <c r="C7554" s="8" t="s">
        <v>15163</v>
      </c>
      <c r="D7554" s="8" t="s">
        <v>15164</v>
      </c>
      <c r="E7554" s="13">
        <v>0</v>
      </c>
      <c r="F7554" s="14">
        <v>0</v>
      </c>
    </row>
    <row r="7555" spans="1:6" x14ac:dyDescent="0.3">
      <c r="A7555" s="8">
        <v>7553</v>
      </c>
      <c r="B7555" s="8" t="s">
        <v>10697</v>
      </c>
      <c r="C7555" s="8" t="s">
        <v>15165</v>
      </c>
      <c r="D7555" s="8" t="s">
        <v>15166</v>
      </c>
      <c r="E7555" s="13">
        <v>92600</v>
      </c>
      <c r="F7555" s="14">
        <v>185185</v>
      </c>
    </row>
    <row r="7556" spans="1:6" x14ac:dyDescent="0.3">
      <c r="A7556" s="8">
        <v>7554</v>
      </c>
      <c r="B7556" s="8" t="s">
        <v>7694</v>
      </c>
      <c r="C7556" s="8" t="s">
        <v>15167</v>
      </c>
      <c r="D7556" s="8" t="s">
        <v>15168</v>
      </c>
      <c r="E7556" s="13">
        <v>0</v>
      </c>
      <c r="F7556" s="14">
        <v>3100000</v>
      </c>
    </row>
    <row r="7557" spans="1:6" x14ac:dyDescent="0.3">
      <c r="A7557" s="8">
        <v>7555</v>
      </c>
      <c r="B7557" s="8" t="s">
        <v>7694</v>
      </c>
      <c r="C7557" s="8" t="s">
        <v>15169</v>
      </c>
      <c r="D7557" s="8" t="s">
        <v>15170</v>
      </c>
      <c r="E7557" s="13">
        <v>0</v>
      </c>
      <c r="F7557" s="14">
        <v>0</v>
      </c>
    </row>
    <row r="7558" spans="1:6" x14ac:dyDescent="0.3">
      <c r="A7558" s="8">
        <v>7556</v>
      </c>
      <c r="B7558" s="8" t="s">
        <v>7694</v>
      </c>
      <c r="C7558" s="8" t="s">
        <v>15171</v>
      </c>
      <c r="D7558" s="8" t="s">
        <v>15172</v>
      </c>
      <c r="E7558" s="13">
        <v>0</v>
      </c>
      <c r="F7558" s="14">
        <v>0</v>
      </c>
    </row>
    <row r="7559" spans="1:6" x14ac:dyDescent="0.3">
      <c r="A7559" s="8">
        <v>7557</v>
      </c>
      <c r="B7559" s="8" t="s">
        <v>7694</v>
      </c>
      <c r="C7559" s="8" t="s">
        <v>15173</v>
      </c>
      <c r="D7559" s="8" t="s">
        <v>15174</v>
      </c>
      <c r="E7559" s="13">
        <v>0</v>
      </c>
      <c r="F7559" s="14">
        <v>0</v>
      </c>
    </row>
    <row r="7560" spans="1:6" x14ac:dyDescent="0.3">
      <c r="A7560" s="8">
        <v>7558</v>
      </c>
      <c r="B7560" s="8" t="s">
        <v>7694</v>
      </c>
      <c r="C7560" s="8" t="s">
        <v>15175</v>
      </c>
      <c r="D7560" s="8" t="s">
        <v>15176</v>
      </c>
      <c r="E7560" s="13">
        <v>0</v>
      </c>
      <c r="F7560" s="14">
        <v>750000</v>
      </c>
    </row>
    <row r="7561" spans="1:6" x14ac:dyDescent="0.3">
      <c r="A7561" s="8">
        <v>7559</v>
      </c>
      <c r="B7561" s="8" t="s">
        <v>7694</v>
      </c>
      <c r="C7561" s="8" t="s">
        <v>15177</v>
      </c>
      <c r="D7561" s="8" t="s">
        <v>15178</v>
      </c>
      <c r="E7561" s="13">
        <v>160000</v>
      </c>
      <c r="F7561" s="14">
        <v>320000</v>
      </c>
    </row>
    <row r="7562" spans="1:6" x14ac:dyDescent="0.3">
      <c r="A7562" s="8">
        <v>7560</v>
      </c>
      <c r="B7562" s="8" t="s">
        <v>7694</v>
      </c>
      <c r="C7562" s="8" t="s">
        <v>15179</v>
      </c>
      <c r="D7562" s="8" t="s">
        <v>15180</v>
      </c>
      <c r="E7562" s="13">
        <v>0</v>
      </c>
      <c r="F7562" s="14">
        <v>0</v>
      </c>
    </row>
    <row r="7563" spans="1:6" x14ac:dyDescent="0.3">
      <c r="A7563" s="8">
        <v>7561</v>
      </c>
      <c r="B7563" s="8" t="s">
        <v>7694</v>
      </c>
      <c r="C7563" s="8" t="s">
        <v>15181</v>
      </c>
      <c r="D7563" s="8" t="s">
        <v>15182</v>
      </c>
      <c r="E7563" s="13">
        <v>0</v>
      </c>
      <c r="F7563" s="14">
        <v>0</v>
      </c>
    </row>
    <row r="7564" spans="1:6" x14ac:dyDescent="0.3">
      <c r="A7564" s="8">
        <v>7562</v>
      </c>
      <c r="B7564" s="8" t="s">
        <v>7694</v>
      </c>
      <c r="C7564" s="8" t="s">
        <v>15183</v>
      </c>
      <c r="D7564" s="8" t="s">
        <v>15184</v>
      </c>
      <c r="E7564" s="13">
        <v>0</v>
      </c>
      <c r="F7564" s="14">
        <v>0</v>
      </c>
    </row>
    <row r="7565" spans="1:6" x14ac:dyDescent="0.3">
      <c r="A7565" s="8">
        <v>7563</v>
      </c>
      <c r="B7565" s="8" t="s">
        <v>7694</v>
      </c>
      <c r="C7565" s="8" t="s">
        <v>15185</v>
      </c>
      <c r="D7565" s="8" t="s">
        <v>15186</v>
      </c>
      <c r="E7565" s="13">
        <v>0</v>
      </c>
      <c r="F7565" s="14">
        <v>0</v>
      </c>
    </row>
    <row r="7566" spans="1:6" x14ac:dyDescent="0.3">
      <c r="A7566" s="8">
        <v>7564</v>
      </c>
      <c r="B7566" s="8" t="s">
        <v>7694</v>
      </c>
      <c r="C7566" s="8" t="s">
        <v>15187</v>
      </c>
      <c r="D7566" s="8" t="s">
        <v>15188</v>
      </c>
      <c r="E7566" s="13">
        <v>0</v>
      </c>
      <c r="F7566" s="14">
        <v>0</v>
      </c>
    </row>
    <row r="7567" spans="1:6" x14ac:dyDescent="0.3">
      <c r="A7567" s="8">
        <v>7565</v>
      </c>
      <c r="B7567" s="8" t="s">
        <v>7694</v>
      </c>
      <c r="C7567" s="8" t="s">
        <v>15189</v>
      </c>
      <c r="D7567" s="8" t="s">
        <v>15190</v>
      </c>
      <c r="E7567" s="13">
        <v>0</v>
      </c>
      <c r="F7567" s="14">
        <v>77550000</v>
      </c>
    </row>
    <row r="7568" spans="1:6" x14ac:dyDescent="0.3">
      <c r="A7568" s="8">
        <v>7566</v>
      </c>
      <c r="B7568" s="8" t="s">
        <v>7694</v>
      </c>
      <c r="C7568" s="8" t="s">
        <v>15191</v>
      </c>
      <c r="D7568" s="8" t="s">
        <v>15192</v>
      </c>
      <c r="E7568" s="13">
        <v>0</v>
      </c>
      <c r="F7568" s="14">
        <v>193050000</v>
      </c>
    </row>
    <row r="7569" spans="1:6" x14ac:dyDescent="0.3">
      <c r="A7569" s="8">
        <v>7567</v>
      </c>
      <c r="B7569" s="8" t="s">
        <v>7694</v>
      </c>
      <c r="C7569" s="8" t="s">
        <v>15193</v>
      </c>
      <c r="D7569" s="8" t="s">
        <v>15194</v>
      </c>
      <c r="E7569" s="13">
        <v>0</v>
      </c>
      <c r="F7569" s="14">
        <v>144100000</v>
      </c>
    </row>
    <row r="7570" spans="1:6" x14ac:dyDescent="0.3">
      <c r="A7570" s="8">
        <v>7568</v>
      </c>
      <c r="B7570" s="8" t="s">
        <v>7694</v>
      </c>
      <c r="C7570" s="8" t="s">
        <v>15195</v>
      </c>
      <c r="D7570" s="8" t="s">
        <v>15196</v>
      </c>
      <c r="E7570" s="13">
        <v>0</v>
      </c>
      <c r="F7570" s="14">
        <v>0</v>
      </c>
    </row>
    <row r="7571" spans="1:6" x14ac:dyDescent="0.3">
      <c r="A7571" s="8">
        <v>7569</v>
      </c>
      <c r="B7571" s="8" t="s">
        <v>7694</v>
      </c>
      <c r="C7571" s="8" t="s">
        <v>15197</v>
      </c>
      <c r="D7571" s="8" t="s">
        <v>15198</v>
      </c>
      <c r="E7571" s="13">
        <v>0</v>
      </c>
      <c r="F7571" s="14">
        <v>0</v>
      </c>
    </row>
    <row r="7572" spans="1:6" x14ac:dyDescent="0.3">
      <c r="A7572" s="8">
        <v>7570</v>
      </c>
      <c r="B7572" s="8" t="s">
        <v>7694</v>
      </c>
      <c r="C7572" s="8" t="s">
        <v>15199</v>
      </c>
      <c r="D7572" s="8" t="s">
        <v>15200</v>
      </c>
      <c r="E7572" s="13">
        <v>0</v>
      </c>
      <c r="F7572" s="14">
        <v>0</v>
      </c>
    </row>
    <row r="7573" spans="1:6" x14ac:dyDescent="0.3">
      <c r="A7573" s="8">
        <v>7571</v>
      </c>
      <c r="B7573" s="8" t="s">
        <v>7694</v>
      </c>
      <c r="C7573" s="8" t="s">
        <v>15201</v>
      </c>
      <c r="D7573" s="8" t="s">
        <v>15202</v>
      </c>
      <c r="E7573" s="13">
        <v>0</v>
      </c>
      <c r="F7573" s="14">
        <v>0</v>
      </c>
    </row>
    <row r="7574" spans="1:6" x14ac:dyDescent="0.3">
      <c r="A7574" s="8">
        <v>7572</v>
      </c>
      <c r="B7574" s="8" t="s">
        <v>7694</v>
      </c>
      <c r="C7574" s="8" t="s">
        <v>15203</v>
      </c>
      <c r="D7574" s="8" t="s">
        <v>15204</v>
      </c>
      <c r="E7574" s="13">
        <v>0</v>
      </c>
      <c r="F7574" s="14">
        <v>0</v>
      </c>
    </row>
    <row r="7575" spans="1:6" x14ac:dyDescent="0.3">
      <c r="A7575" s="8">
        <v>7573</v>
      </c>
      <c r="B7575" s="8" t="s">
        <v>7694</v>
      </c>
      <c r="C7575" s="8" t="s">
        <v>15205</v>
      </c>
      <c r="D7575" s="8" t="s">
        <v>15206</v>
      </c>
      <c r="E7575" s="13">
        <v>0</v>
      </c>
      <c r="F7575" s="14">
        <v>8700000</v>
      </c>
    </row>
    <row r="7576" spans="1:6" x14ac:dyDescent="0.3">
      <c r="A7576" s="8">
        <v>7574</v>
      </c>
      <c r="B7576" s="8" t="s">
        <v>7694</v>
      </c>
      <c r="C7576" s="8" t="s">
        <v>15207</v>
      </c>
      <c r="D7576" s="8" t="s">
        <v>15208</v>
      </c>
      <c r="E7576" s="13">
        <v>0</v>
      </c>
      <c r="F7576" s="14">
        <v>0</v>
      </c>
    </row>
    <row r="7577" spans="1:6" x14ac:dyDescent="0.3">
      <c r="A7577" s="8">
        <v>7575</v>
      </c>
      <c r="B7577" s="8" t="s">
        <v>7694</v>
      </c>
      <c r="C7577" s="8" t="s">
        <v>15209</v>
      </c>
      <c r="D7577" s="8" t="s">
        <v>15210</v>
      </c>
      <c r="E7577" s="13">
        <v>0</v>
      </c>
      <c r="F7577" s="14">
        <v>55880000</v>
      </c>
    </row>
    <row r="7578" spans="1:6" x14ac:dyDescent="0.3">
      <c r="A7578" s="8">
        <v>7576</v>
      </c>
      <c r="B7578" s="8" t="s">
        <v>7694</v>
      </c>
      <c r="C7578" s="8" t="s">
        <v>15211</v>
      </c>
      <c r="D7578" s="8" t="s">
        <v>15212</v>
      </c>
      <c r="E7578" s="13">
        <v>0</v>
      </c>
      <c r="F7578" s="14">
        <v>183150000</v>
      </c>
    </row>
    <row r="7579" spans="1:6" x14ac:dyDescent="0.3">
      <c r="A7579" s="8">
        <v>7577</v>
      </c>
      <c r="B7579" s="8" t="s">
        <v>7694</v>
      </c>
      <c r="C7579" s="8" t="s">
        <v>15213</v>
      </c>
      <c r="D7579" s="8" t="s">
        <v>15214</v>
      </c>
      <c r="E7579" s="13">
        <v>0</v>
      </c>
      <c r="F7579" s="14">
        <v>95150000</v>
      </c>
    </row>
    <row r="7580" spans="1:6" x14ac:dyDescent="0.3">
      <c r="A7580" s="8">
        <v>7578</v>
      </c>
      <c r="B7580" s="8" t="s">
        <v>9463</v>
      </c>
      <c r="C7580" s="8" t="s">
        <v>15215</v>
      </c>
      <c r="D7580" s="8" t="s">
        <v>15216</v>
      </c>
      <c r="E7580" s="13">
        <v>25000</v>
      </c>
      <c r="F7580" s="14">
        <v>50000</v>
      </c>
    </row>
    <row r="7581" spans="1:6" x14ac:dyDescent="0.3">
      <c r="A7581" s="8">
        <v>7579</v>
      </c>
      <c r="B7581" s="8" t="s">
        <v>9463</v>
      </c>
      <c r="C7581" s="8" t="s">
        <v>15217</v>
      </c>
      <c r="D7581" s="8" t="s">
        <v>15218</v>
      </c>
      <c r="E7581" s="13">
        <v>0</v>
      </c>
      <c r="F7581" s="14">
        <v>0</v>
      </c>
    </row>
    <row r="7582" spans="1:6" x14ac:dyDescent="0.3">
      <c r="A7582" s="8">
        <v>7580</v>
      </c>
      <c r="B7582" s="8" t="s">
        <v>9463</v>
      </c>
      <c r="C7582" s="8" t="s">
        <v>15219</v>
      </c>
      <c r="D7582" s="8" t="s">
        <v>15220</v>
      </c>
      <c r="E7582" s="13">
        <v>35185</v>
      </c>
      <c r="F7582" s="14">
        <v>70370</v>
      </c>
    </row>
    <row r="7583" spans="1:6" x14ac:dyDescent="0.3">
      <c r="A7583" s="8">
        <v>7581</v>
      </c>
      <c r="B7583" s="8" t="s">
        <v>9478</v>
      </c>
      <c r="C7583" s="8" t="s">
        <v>15221</v>
      </c>
      <c r="D7583" s="8" t="s">
        <v>15222</v>
      </c>
      <c r="E7583" s="13">
        <v>0</v>
      </c>
      <c r="F7583" s="14">
        <v>0</v>
      </c>
    </row>
    <row r="7584" spans="1:6" x14ac:dyDescent="0.3">
      <c r="A7584" s="8">
        <v>7582</v>
      </c>
      <c r="B7584" s="8" t="s">
        <v>9478</v>
      </c>
      <c r="C7584" s="8" t="s">
        <v>15223</v>
      </c>
      <c r="D7584" s="8" t="s">
        <v>28</v>
      </c>
      <c r="E7584" s="13">
        <v>60000</v>
      </c>
      <c r="F7584" s="14">
        <v>120370</v>
      </c>
    </row>
    <row r="7585" spans="1:6" x14ac:dyDescent="0.3">
      <c r="A7585" s="8">
        <v>7583</v>
      </c>
      <c r="B7585" s="8" t="s">
        <v>9478</v>
      </c>
      <c r="C7585" s="8" t="s">
        <v>15224</v>
      </c>
      <c r="D7585" s="8" t="s">
        <v>15225</v>
      </c>
      <c r="E7585" s="13">
        <v>88900</v>
      </c>
      <c r="F7585" s="14">
        <v>177778</v>
      </c>
    </row>
    <row r="7586" spans="1:6" x14ac:dyDescent="0.3">
      <c r="A7586" s="8">
        <v>7584</v>
      </c>
      <c r="B7586" s="8" t="s">
        <v>9478</v>
      </c>
      <c r="C7586" s="8" t="s">
        <v>15226</v>
      </c>
      <c r="D7586" s="8" t="s">
        <v>15227</v>
      </c>
      <c r="E7586" s="13">
        <v>0</v>
      </c>
      <c r="F7586" s="14">
        <v>0</v>
      </c>
    </row>
    <row r="7587" spans="1:6" x14ac:dyDescent="0.3">
      <c r="A7587" s="8">
        <v>7585</v>
      </c>
      <c r="B7587" s="8" t="s">
        <v>9478</v>
      </c>
      <c r="C7587" s="8" t="s">
        <v>15228</v>
      </c>
      <c r="D7587" s="8" t="s">
        <v>15229</v>
      </c>
      <c r="E7587" s="13">
        <v>160000</v>
      </c>
      <c r="F7587" s="14">
        <v>320370</v>
      </c>
    </row>
    <row r="7588" spans="1:6" x14ac:dyDescent="0.3">
      <c r="A7588" s="8">
        <v>7586</v>
      </c>
      <c r="B7588" s="8" t="s">
        <v>9478</v>
      </c>
      <c r="C7588" s="8" t="s">
        <v>15230</v>
      </c>
      <c r="D7588" s="8" t="s">
        <v>15231</v>
      </c>
      <c r="E7588" s="13">
        <v>88900</v>
      </c>
      <c r="F7588" s="14">
        <v>177778</v>
      </c>
    </row>
    <row r="7589" spans="1:6" x14ac:dyDescent="0.3">
      <c r="A7589" s="8">
        <v>7587</v>
      </c>
      <c r="B7589" s="8" t="s">
        <v>9478</v>
      </c>
      <c r="C7589" s="8" t="s">
        <v>15232</v>
      </c>
      <c r="D7589" s="8" t="s">
        <v>15233</v>
      </c>
      <c r="E7589" s="13">
        <v>0</v>
      </c>
      <c r="F7589" s="14">
        <v>0</v>
      </c>
    </row>
    <row r="7590" spans="1:6" x14ac:dyDescent="0.3">
      <c r="A7590" s="8">
        <v>7588</v>
      </c>
      <c r="B7590" s="8" t="s">
        <v>9478</v>
      </c>
      <c r="C7590" s="8" t="s">
        <v>15234</v>
      </c>
      <c r="D7590" s="8" t="s">
        <v>15235</v>
      </c>
      <c r="E7590" s="13">
        <v>0</v>
      </c>
      <c r="F7590" s="14">
        <v>0</v>
      </c>
    </row>
    <row r="7591" spans="1:6" x14ac:dyDescent="0.3">
      <c r="A7591" s="8">
        <v>7589</v>
      </c>
      <c r="B7591" s="8" t="s">
        <v>9478</v>
      </c>
      <c r="C7591" s="8" t="s">
        <v>15236</v>
      </c>
      <c r="D7591" s="8" t="s">
        <v>15237</v>
      </c>
      <c r="E7591" s="13">
        <v>0</v>
      </c>
      <c r="F7591" s="14">
        <v>0</v>
      </c>
    </row>
    <row r="7592" spans="1:6" x14ac:dyDescent="0.3">
      <c r="A7592" s="8">
        <v>7590</v>
      </c>
      <c r="B7592" s="8" t="s">
        <v>9478</v>
      </c>
      <c r="C7592" s="8" t="s">
        <v>15238</v>
      </c>
      <c r="D7592" s="8" t="s">
        <v>15239</v>
      </c>
      <c r="E7592" s="13">
        <v>0</v>
      </c>
      <c r="F7592" s="14">
        <v>0</v>
      </c>
    </row>
    <row r="7593" spans="1:6" x14ac:dyDescent="0.3">
      <c r="A7593" s="8">
        <v>7591</v>
      </c>
      <c r="B7593" s="8" t="s">
        <v>9478</v>
      </c>
      <c r="C7593" s="8" t="s">
        <v>15240</v>
      </c>
      <c r="D7593" s="8" t="s">
        <v>15241</v>
      </c>
      <c r="E7593" s="13">
        <v>0</v>
      </c>
      <c r="F7593" s="14">
        <v>0</v>
      </c>
    </row>
    <row r="7594" spans="1:6" x14ac:dyDescent="0.3">
      <c r="A7594" s="8">
        <v>7592</v>
      </c>
      <c r="B7594" s="8" t="s">
        <v>9478</v>
      </c>
      <c r="C7594" s="8" t="s">
        <v>15242</v>
      </c>
      <c r="D7594" s="8" t="s">
        <v>15243</v>
      </c>
      <c r="E7594" s="13">
        <v>0</v>
      </c>
      <c r="F7594" s="14">
        <v>0</v>
      </c>
    </row>
    <row r="7595" spans="1:6" x14ac:dyDescent="0.3">
      <c r="A7595" s="8">
        <v>7593</v>
      </c>
      <c r="B7595" s="8" t="s">
        <v>9478</v>
      </c>
      <c r="C7595" s="8" t="s">
        <v>15244</v>
      </c>
      <c r="D7595" s="8" t="s">
        <v>15245</v>
      </c>
      <c r="E7595" s="13">
        <v>0</v>
      </c>
      <c r="F7595" s="14">
        <v>0</v>
      </c>
    </row>
    <row r="7596" spans="1:6" x14ac:dyDescent="0.3">
      <c r="A7596" s="8">
        <v>7594</v>
      </c>
      <c r="B7596" s="8" t="s">
        <v>9478</v>
      </c>
      <c r="C7596" s="8" t="s">
        <v>15246</v>
      </c>
      <c r="D7596" s="8" t="s">
        <v>15247</v>
      </c>
      <c r="E7596" s="13">
        <v>0</v>
      </c>
      <c r="F7596" s="14">
        <v>0</v>
      </c>
    </row>
    <row r="7597" spans="1:6" x14ac:dyDescent="0.3">
      <c r="A7597" s="8">
        <v>7595</v>
      </c>
      <c r="B7597" s="8" t="s">
        <v>9478</v>
      </c>
      <c r="C7597" s="8" t="s">
        <v>15248</v>
      </c>
      <c r="D7597" s="8" t="s">
        <v>94</v>
      </c>
      <c r="E7597" s="13">
        <v>150000</v>
      </c>
      <c r="F7597" s="14">
        <v>300000</v>
      </c>
    </row>
    <row r="7598" spans="1:6" x14ac:dyDescent="0.3">
      <c r="A7598" s="8">
        <v>7596</v>
      </c>
      <c r="B7598" s="8" t="s">
        <v>9478</v>
      </c>
      <c r="C7598" s="8" t="s">
        <v>15249</v>
      </c>
      <c r="D7598" s="8" t="s">
        <v>15250</v>
      </c>
      <c r="E7598" s="13">
        <v>0</v>
      </c>
      <c r="F7598" s="14">
        <v>0</v>
      </c>
    </row>
    <row r="7599" spans="1:6" x14ac:dyDescent="0.3">
      <c r="A7599" s="8">
        <v>7597</v>
      </c>
      <c r="B7599" s="8" t="s">
        <v>9478</v>
      </c>
      <c r="C7599" s="8" t="s">
        <v>15251</v>
      </c>
      <c r="D7599" s="8" t="s">
        <v>15252</v>
      </c>
      <c r="E7599" s="13">
        <v>0</v>
      </c>
      <c r="F7599" s="14">
        <v>0</v>
      </c>
    </row>
    <row r="7600" spans="1:6" x14ac:dyDescent="0.3">
      <c r="A7600" s="8">
        <v>7598</v>
      </c>
      <c r="B7600" s="8" t="s">
        <v>9478</v>
      </c>
      <c r="C7600" s="8" t="s">
        <v>15253</v>
      </c>
      <c r="D7600" s="8" t="s">
        <v>15254</v>
      </c>
      <c r="E7600" s="13">
        <v>0</v>
      </c>
      <c r="F7600" s="14">
        <v>0</v>
      </c>
    </row>
    <row r="7601" spans="1:6" x14ac:dyDescent="0.3">
      <c r="A7601" s="8">
        <v>7599</v>
      </c>
      <c r="B7601" s="8" t="s">
        <v>9478</v>
      </c>
      <c r="C7601" s="8" t="s">
        <v>15255</v>
      </c>
      <c r="D7601" s="8" t="s">
        <v>15256</v>
      </c>
      <c r="E7601" s="13">
        <v>0</v>
      </c>
      <c r="F7601" s="14">
        <v>0</v>
      </c>
    </row>
    <row r="7602" spans="1:6" x14ac:dyDescent="0.3">
      <c r="A7602" s="8">
        <v>7600</v>
      </c>
      <c r="B7602" s="8" t="s">
        <v>9478</v>
      </c>
      <c r="C7602" s="8" t="s">
        <v>15257</v>
      </c>
      <c r="D7602" s="8" t="s">
        <v>15258</v>
      </c>
      <c r="E7602" s="13">
        <v>0</v>
      </c>
      <c r="F7602" s="14">
        <v>0</v>
      </c>
    </row>
    <row r="7603" spans="1:6" x14ac:dyDescent="0.3">
      <c r="A7603" s="8">
        <v>7601</v>
      </c>
      <c r="B7603" s="8" t="s">
        <v>9478</v>
      </c>
      <c r="C7603" s="8" t="s">
        <v>15259</v>
      </c>
      <c r="D7603" s="8" t="s">
        <v>15260</v>
      </c>
      <c r="E7603" s="13">
        <v>0</v>
      </c>
      <c r="F7603" s="14">
        <v>0</v>
      </c>
    </row>
    <row r="7604" spans="1:6" x14ac:dyDescent="0.3">
      <c r="A7604" s="8">
        <v>7602</v>
      </c>
      <c r="B7604" s="8" t="s">
        <v>9478</v>
      </c>
      <c r="C7604" s="8" t="s">
        <v>15261</v>
      </c>
      <c r="D7604" s="8" t="s">
        <v>15262</v>
      </c>
      <c r="E7604" s="13">
        <v>154000</v>
      </c>
      <c r="F7604" s="14">
        <v>308333</v>
      </c>
    </row>
    <row r="7605" spans="1:6" x14ac:dyDescent="0.3">
      <c r="A7605" s="8">
        <v>7603</v>
      </c>
      <c r="B7605" s="8" t="s">
        <v>9478</v>
      </c>
      <c r="C7605" s="8" t="s">
        <v>15263</v>
      </c>
      <c r="D7605" s="8" t="s">
        <v>15264</v>
      </c>
      <c r="E7605" s="13">
        <v>0</v>
      </c>
      <c r="F7605" s="14">
        <v>0</v>
      </c>
    </row>
    <row r="7606" spans="1:6" x14ac:dyDescent="0.3">
      <c r="A7606" s="8">
        <v>7604</v>
      </c>
      <c r="B7606" s="8" t="s">
        <v>9478</v>
      </c>
      <c r="C7606" s="8" t="s">
        <v>15265</v>
      </c>
      <c r="D7606" s="8" t="s">
        <v>15266</v>
      </c>
      <c r="E7606" s="13">
        <v>0</v>
      </c>
      <c r="F7606" s="14">
        <v>0</v>
      </c>
    </row>
    <row r="7607" spans="1:6" x14ac:dyDescent="0.3">
      <c r="A7607" s="8">
        <v>7605</v>
      </c>
      <c r="B7607" s="8" t="s">
        <v>9478</v>
      </c>
      <c r="C7607" s="8" t="s">
        <v>15267</v>
      </c>
      <c r="D7607" s="8" t="s">
        <v>15268</v>
      </c>
      <c r="E7607" s="13">
        <v>0</v>
      </c>
      <c r="F7607" s="14">
        <v>0</v>
      </c>
    </row>
    <row r="7608" spans="1:6" x14ac:dyDescent="0.3">
      <c r="A7608" s="8">
        <v>7606</v>
      </c>
      <c r="B7608" s="8" t="s">
        <v>9478</v>
      </c>
      <c r="C7608" s="8" t="s">
        <v>15269</v>
      </c>
      <c r="D7608" s="8" t="s">
        <v>15270</v>
      </c>
      <c r="E7608" s="13">
        <v>0</v>
      </c>
      <c r="F7608" s="14">
        <v>0</v>
      </c>
    </row>
    <row r="7609" spans="1:6" x14ac:dyDescent="0.3">
      <c r="A7609" s="8">
        <v>7607</v>
      </c>
      <c r="B7609" s="8" t="s">
        <v>9478</v>
      </c>
      <c r="C7609" s="8" t="s">
        <v>15271</v>
      </c>
      <c r="D7609" s="8" t="s">
        <v>132</v>
      </c>
      <c r="E7609" s="13">
        <v>494000</v>
      </c>
      <c r="F7609" s="14">
        <v>987963</v>
      </c>
    </row>
    <row r="7610" spans="1:6" x14ac:dyDescent="0.3">
      <c r="A7610" s="8">
        <v>7608</v>
      </c>
      <c r="B7610" s="8" t="s">
        <v>9478</v>
      </c>
      <c r="C7610" s="8" t="s">
        <v>15272</v>
      </c>
      <c r="D7610" s="8" t="s">
        <v>116</v>
      </c>
      <c r="E7610" s="13">
        <v>72300</v>
      </c>
      <c r="F7610" s="14">
        <v>144444</v>
      </c>
    </row>
    <row r="7611" spans="1:6" x14ac:dyDescent="0.3">
      <c r="A7611" s="8">
        <v>7609</v>
      </c>
      <c r="B7611" s="8" t="s">
        <v>10697</v>
      </c>
      <c r="C7611" s="8" t="s">
        <v>15273</v>
      </c>
      <c r="D7611" s="8" t="s">
        <v>15274</v>
      </c>
      <c r="E7611" s="13">
        <v>0</v>
      </c>
      <c r="F7611" s="14">
        <v>0</v>
      </c>
    </row>
    <row r="7612" spans="1:6" x14ac:dyDescent="0.3">
      <c r="A7612" s="8">
        <v>7610</v>
      </c>
      <c r="B7612" s="8" t="s">
        <v>10697</v>
      </c>
      <c r="C7612" s="8" t="s">
        <v>15275</v>
      </c>
      <c r="D7612" s="8" t="s">
        <v>15276</v>
      </c>
      <c r="E7612" s="13">
        <v>0</v>
      </c>
      <c r="F7612" s="14">
        <v>0</v>
      </c>
    </row>
    <row r="7613" spans="1:6" x14ac:dyDescent="0.3">
      <c r="A7613" s="8">
        <v>7611</v>
      </c>
      <c r="B7613" s="8" t="s">
        <v>10697</v>
      </c>
      <c r="C7613" s="8" t="s">
        <v>15277</v>
      </c>
      <c r="D7613" s="8" t="s">
        <v>15278</v>
      </c>
      <c r="E7613" s="13">
        <v>0</v>
      </c>
      <c r="F7613" s="14">
        <v>0</v>
      </c>
    </row>
    <row r="7614" spans="1:6" x14ac:dyDescent="0.3">
      <c r="A7614" s="8">
        <v>7612</v>
      </c>
      <c r="B7614" s="8" t="s">
        <v>10697</v>
      </c>
      <c r="C7614" s="8" t="s">
        <v>15279</v>
      </c>
      <c r="D7614" s="8" t="s">
        <v>15280</v>
      </c>
      <c r="E7614" s="13">
        <v>0</v>
      </c>
      <c r="F7614" s="14">
        <v>0</v>
      </c>
    </row>
    <row r="7615" spans="1:6" x14ac:dyDescent="0.3">
      <c r="A7615" s="8">
        <v>7613</v>
      </c>
      <c r="B7615" s="8" t="s">
        <v>10697</v>
      </c>
      <c r="C7615" s="8" t="s">
        <v>15281</v>
      </c>
      <c r="D7615" s="8" t="s">
        <v>15282</v>
      </c>
      <c r="E7615" s="13">
        <v>0</v>
      </c>
      <c r="F7615" s="14">
        <v>0</v>
      </c>
    </row>
    <row r="7616" spans="1:6" x14ac:dyDescent="0.3">
      <c r="A7616" s="8">
        <v>7614</v>
      </c>
      <c r="B7616" s="8" t="s">
        <v>10697</v>
      </c>
      <c r="C7616" s="8" t="s">
        <v>15283</v>
      </c>
      <c r="D7616" s="8" t="s">
        <v>15284</v>
      </c>
      <c r="E7616" s="13">
        <v>0</v>
      </c>
      <c r="F7616" s="14">
        <v>0</v>
      </c>
    </row>
    <row r="7617" spans="1:6" x14ac:dyDescent="0.3">
      <c r="A7617" s="8">
        <v>7615</v>
      </c>
      <c r="B7617" s="8" t="s">
        <v>10928</v>
      </c>
      <c r="C7617" s="8" t="s">
        <v>15285</v>
      </c>
      <c r="D7617" s="8" t="s">
        <v>15286</v>
      </c>
      <c r="E7617" s="13">
        <v>0</v>
      </c>
      <c r="F7617" s="14">
        <v>0</v>
      </c>
    </row>
    <row r="7618" spans="1:6" x14ac:dyDescent="0.3">
      <c r="A7618" s="8">
        <v>7616</v>
      </c>
      <c r="B7618" s="8" t="s">
        <v>10928</v>
      </c>
      <c r="C7618" s="8" t="s">
        <v>15287</v>
      </c>
      <c r="D7618" s="8" t="s">
        <v>15288</v>
      </c>
      <c r="E7618" s="13">
        <v>0</v>
      </c>
      <c r="F7618" s="14">
        <v>0</v>
      </c>
    </row>
    <row r="7619" spans="1:6" x14ac:dyDescent="0.3">
      <c r="A7619" s="8">
        <v>7617</v>
      </c>
      <c r="B7619" s="8" t="s">
        <v>10928</v>
      </c>
      <c r="C7619" s="8" t="s">
        <v>15289</v>
      </c>
      <c r="D7619" s="8" t="s">
        <v>15290</v>
      </c>
      <c r="E7619" s="13">
        <v>0</v>
      </c>
      <c r="F7619" s="14">
        <v>0</v>
      </c>
    </row>
    <row r="7620" spans="1:6" x14ac:dyDescent="0.3">
      <c r="A7620" s="8">
        <v>7618</v>
      </c>
      <c r="B7620" s="8" t="s">
        <v>10667</v>
      </c>
      <c r="C7620" s="8" t="s">
        <v>15291</v>
      </c>
      <c r="D7620" s="8" t="s">
        <v>15292</v>
      </c>
      <c r="E7620" s="13">
        <v>0</v>
      </c>
      <c r="F7620" s="14">
        <v>0</v>
      </c>
    </row>
    <row r="7621" spans="1:6" x14ac:dyDescent="0.3">
      <c r="A7621" s="8">
        <v>7619</v>
      </c>
      <c r="B7621" s="8" t="s">
        <v>10667</v>
      </c>
      <c r="C7621" s="8" t="s">
        <v>15293</v>
      </c>
      <c r="D7621" s="8" t="s">
        <v>15294</v>
      </c>
      <c r="E7621" s="13">
        <v>0</v>
      </c>
      <c r="F7621" s="14">
        <v>0</v>
      </c>
    </row>
    <row r="7622" spans="1:6" x14ac:dyDescent="0.3">
      <c r="A7622" s="8">
        <v>7620</v>
      </c>
      <c r="B7622" s="8" t="s">
        <v>10667</v>
      </c>
      <c r="C7622" s="8" t="s">
        <v>15295</v>
      </c>
      <c r="D7622" s="8" t="s">
        <v>15296</v>
      </c>
      <c r="E7622" s="13">
        <v>0</v>
      </c>
      <c r="F7622" s="14">
        <v>0</v>
      </c>
    </row>
    <row r="7623" spans="1:6" x14ac:dyDescent="0.3">
      <c r="A7623" s="8">
        <v>7621</v>
      </c>
      <c r="B7623" s="8" t="s">
        <v>10667</v>
      </c>
      <c r="C7623" s="8" t="s">
        <v>15297</v>
      </c>
      <c r="D7623" s="8" t="s">
        <v>15298</v>
      </c>
      <c r="E7623" s="13">
        <v>0</v>
      </c>
      <c r="F7623" s="14">
        <v>0</v>
      </c>
    </row>
    <row r="7624" spans="1:6" x14ac:dyDescent="0.3">
      <c r="A7624" s="8">
        <v>7622</v>
      </c>
      <c r="B7624" s="8" t="s">
        <v>10667</v>
      </c>
      <c r="C7624" s="8" t="s">
        <v>15299</v>
      </c>
      <c r="D7624" s="8" t="s">
        <v>15300</v>
      </c>
      <c r="E7624" s="13">
        <v>0</v>
      </c>
      <c r="F7624" s="14">
        <v>0</v>
      </c>
    </row>
    <row r="7625" spans="1:6" x14ac:dyDescent="0.3">
      <c r="A7625" s="8">
        <v>7623</v>
      </c>
      <c r="B7625" s="8" t="s">
        <v>10667</v>
      </c>
      <c r="C7625" s="8" t="s">
        <v>15301</v>
      </c>
      <c r="D7625" s="8" t="s">
        <v>15302</v>
      </c>
      <c r="E7625" s="13">
        <v>0</v>
      </c>
      <c r="F7625" s="14">
        <v>0</v>
      </c>
    </row>
    <row r="7626" spans="1:6" x14ac:dyDescent="0.3">
      <c r="A7626" s="8">
        <v>7624</v>
      </c>
      <c r="B7626" s="8" t="s">
        <v>10667</v>
      </c>
      <c r="C7626" s="8" t="s">
        <v>15303</v>
      </c>
      <c r="D7626" s="8" t="s">
        <v>15304</v>
      </c>
      <c r="E7626" s="13">
        <v>0</v>
      </c>
      <c r="F7626" s="14">
        <v>0</v>
      </c>
    </row>
    <row r="7627" spans="1:6" x14ac:dyDescent="0.3">
      <c r="A7627" s="8">
        <v>7625</v>
      </c>
      <c r="B7627" s="8" t="s">
        <v>10667</v>
      </c>
      <c r="C7627" s="8" t="s">
        <v>15305</v>
      </c>
      <c r="D7627" s="8" t="s">
        <v>15306</v>
      </c>
      <c r="E7627" s="13">
        <v>0</v>
      </c>
      <c r="F7627" s="14">
        <v>0</v>
      </c>
    </row>
    <row r="7628" spans="1:6" x14ac:dyDescent="0.3">
      <c r="A7628" s="8">
        <v>7626</v>
      </c>
      <c r="B7628" s="8" t="s">
        <v>10684</v>
      </c>
      <c r="C7628" s="8" t="s">
        <v>15307</v>
      </c>
      <c r="D7628" s="8" t="s">
        <v>13</v>
      </c>
      <c r="E7628" s="13">
        <v>54700</v>
      </c>
      <c r="F7628" s="14">
        <v>109259</v>
      </c>
    </row>
    <row r="7629" spans="1:6" x14ac:dyDescent="0.3">
      <c r="A7629" s="8">
        <v>7627</v>
      </c>
      <c r="B7629" s="8" t="s">
        <v>10684</v>
      </c>
      <c r="C7629" s="8" t="s">
        <v>15308</v>
      </c>
      <c r="D7629" s="8" t="s">
        <v>15309</v>
      </c>
      <c r="E7629" s="13">
        <v>0</v>
      </c>
      <c r="F7629" s="14">
        <v>0</v>
      </c>
    </row>
    <row r="7630" spans="1:6" x14ac:dyDescent="0.3">
      <c r="A7630" s="8">
        <v>7628</v>
      </c>
      <c r="B7630" s="8" t="s">
        <v>10684</v>
      </c>
      <c r="C7630" s="8" t="s">
        <v>15310</v>
      </c>
      <c r="D7630" s="8" t="s">
        <v>15311</v>
      </c>
      <c r="E7630" s="13">
        <v>0</v>
      </c>
      <c r="F7630" s="14">
        <v>0</v>
      </c>
    </row>
    <row r="7631" spans="1:6" x14ac:dyDescent="0.3">
      <c r="A7631" s="8">
        <v>7629</v>
      </c>
      <c r="B7631" s="8" t="s">
        <v>10684</v>
      </c>
      <c r="C7631" s="8" t="s">
        <v>15312</v>
      </c>
      <c r="D7631" s="8" t="s">
        <v>15313</v>
      </c>
      <c r="E7631" s="13">
        <v>0</v>
      </c>
      <c r="F7631" s="14">
        <v>0</v>
      </c>
    </row>
    <row r="7632" spans="1:6" x14ac:dyDescent="0.3">
      <c r="A7632" s="8">
        <v>7630</v>
      </c>
      <c r="B7632" s="8" t="s">
        <v>10684</v>
      </c>
      <c r="C7632" s="8" t="s">
        <v>15314</v>
      </c>
      <c r="D7632" s="8" t="s">
        <v>15315</v>
      </c>
      <c r="E7632" s="13">
        <v>0</v>
      </c>
      <c r="F7632" s="14">
        <v>0</v>
      </c>
    </row>
    <row r="7633" spans="1:6" x14ac:dyDescent="0.3">
      <c r="A7633" s="8">
        <v>7631</v>
      </c>
      <c r="B7633" s="8" t="s">
        <v>10684</v>
      </c>
      <c r="C7633" s="8" t="s">
        <v>15316</v>
      </c>
      <c r="D7633" s="8" t="s">
        <v>15317</v>
      </c>
      <c r="E7633" s="13">
        <v>0</v>
      </c>
      <c r="F7633" s="14">
        <v>0</v>
      </c>
    </row>
    <row r="7634" spans="1:6" x14ac:dyDescent="0.3">
      <c r="A7634" s="8">
        <v>7632</v>
      </c>
      <c r="B7634" s="8" t="s">
        <v>10697</v>
      </c>
      <c r="C7634" s="8" t="s">
        <v>15318</v>
      </c>
      <c r="D7634" s="8" t="s">
        <v>15319</v>
      </c>
      <c r="E7634" s="13">
        <v>0</v>
      </c>
      <c r="F7634" s="14">
        <v>0</v>
      </c>
    </row>
    <row r="7635" spans="1:6" x14ac:dyDescent="0.3">
      <c r="A7635" s="8">
        <v>7633</v>
      </c>
      <c r="B7635" s="8" t="s">
        <v>10697</v>
      </c>
      <c r="C7635" s="8" t="s">
        <v>15320</v>
      </c>
      <c r="D7635" s="8" t="s">
        <v>15321</v>
      </c>
      <c r="E7635" s="13">
        <v>0</v>
      </c>
      <c r="F7635" s="14">
        <v>0</v>
      </c>
    </row>
    <row r="7636" spans="1:6" x14ac:dyDescent="0.3">
      <c r="A7636" s="8">
        <v>7634</v>
      </c>
      <c r="B7636" s="8" t="s">
        <v>10697</v>
      </c>
      <c r="C7636" s="8" t="s">
        <v>15322</v>
      </c>
      <c r="D7636" s="8" t="s">
        <v>15323</v>
      </c>
      <c r="E7636" s="13">
        <v>0</v>
      </c>
      <c r="F7636" s="14">
        <v>0</v>
      </c>
    </row>
    <row r="7637" spans="1:6" x14ac:dyDescent="0.3">
      <c r="A7637" s="8">
        <v>7635</v>
      </c>
      <c r="B7637" s="8" t="s">
        <v>10697</v>
      </c>
      <c r="C7637" s="8" t="s">
        <v>15324</v>
      </c>
      <c r="D7637" s="8" t="s">
        <v>15325</v>
      </c>
      <c r="E7637" s="13">
        <v>0</v>
      </c>
      <c r="F7637" s="14">
        <v>0</v>
      </c>
    </row>
    <row r="7638" spans="1:6" x14ac:dyDescent="0.3">
      <c r="A7638" s="8">
        <v>7636</v>
      </c>
      <c r="B7638" s="8" t="s">
        <v>10697</v>
      </c>
      <c r="C7638" s="8" t="s">
        <v>15326</v>
      </c>
      <c r="D7638" s="8" t="s">
        <v>15327</v>
      </c>
      <c r="E7638" s="13">
        <v>0</v>
      </c>
      <c r="F7638" s="14">
        <v>0</v>
      </c>
    </row>
    <row r="7639" spans="1:6" x14ac:dyDescent="0.3">
      <c r="A7639" s="8">
        <v>7637</v>
      </c>
      <c r="B7639" s="8" t="s">
        <v>10697</v>
      </c>
      <c r="C7639" s="8" t="s">
        <v>15328</v>
      </c>
      <c r="D7639" s="8" t="s">
        <v>15329</v>
      </c>
      <c r="E7639" s="13">
        <v>0</v>
      </c>
      <c r="F7639" s="14">
        <v>0</v>
      </c>
    </row>
    <row r="7640" spans="1:6" x14ac:dyDescent="0.3">
      <c r="A7640" s="8">
        <v>7638</v>
      </c>
      <c r="B7640" s="8" t="s">
        <v>10697</v>
      </c>
      <c r="C7640" s="8" t="s">
        <v>15330</v>
      </c>
      <c r="D7640" s="8" t="s">
        <v>15331</v>
      </c>
      <c r="E7640" s="13">
        <v>0</v>
      </c>
      <c r="F7640" s="14">
        <v>0</v>
      </c>
    </row>
    <row r="7641" spans="1:6" x14ac:dyDescent="0.3">
      <c r="A7641" s="8">
        <v>7639</v>
      </c>
      <c r="B7641" s="8" t="s">
        <v>10697</v>
      </c>
      <c r="C7641" s="8" t="s">
        <v>15332</v>
      </c>
      <c r="D7641" s="8" t="s">
        <v>15333</v>
      </c>
      <c r="E7641" s="13">
        <v>30800</v>
      </c>
      <c r="F7641" s="14">
        <v>62037</v>
      </c>
    </row>
    <row r="7642" spans="1:6" x14ac:dyDescent="0.3">
      <c r="A7642" s="8">
        <v>7640</v>
      </c>
      <c r="B7642" s="8" t="s">
        <v>10697</v>
      </c>
      <c r="C7642" s="8" t="s">
        <v>15334</v>
      </c>
      <c r="D7642" s="8" t="s">
        <v>15335</v>
      </c>
      <c r="E7642" s="13">
        <v>0</v>
      </c>
      <c r="F7642" s="14">
        <v>0</v>
      </c>
    </row>
    <row r="7643" spans="1:6" x14ac:dyDescent="0.3">
      <c r="A7643" s="8">
        <v>7641</v>
      </c>
      <c r="B7643" s="8" t="s">
        <v>10697</v>
      </c>
      <c r="C7643" s="8" t="s">
        <v>15336</v>
      </c>
      <c r="D7643" s="8" t="s">
        <v>15337</v>
      </c>
      <c r="E7643" s="13">
        <v>0</v>
      </c>
      <c r="F7643" s="14">
        <v>0</v>
      </c>
    </row>
    <row r="7644" spans="1:6" x14ac:dyDescent="0.3">
      <c r="A7644" s="8">
        <v>7642</v>
      </c>
      <c r="B7644" s="8" t="s">
        <v>10697</v>
      </c>
      <c r="C7644" s="8" t="s">
        <v>15338</v>
      </c>
      <c r="D7644" s="8" t="s">
        <v>15339</v>
      </c>
      <c r="E7644" s="13">
        <v>0</v>
      </c>
      <c r="F7644" s="14">
        <v>0</v>
      </c>
    </row>
    <row r="7645" spans="1:6" x14ac:dyDescent="0.3">
      <c r="A7645" s="8">
        <v>7643</v>
      </c>
      <c r="B7645" s="8" t="s">
        <v>10697</v>
      </c>
      <c r="C7645" s="8" t="s">
        <v>15340</v>
      </c>
      <c r="D7645" s="8" t="s">
        <v>15341</v>
      </c>
      <c r="E7645" s="13">
        <v>0</v>
      </c>
      <c r="F7645" s="14">
        <v>0</v>
      </c>
    </row>
    <row r="7646" spans="1:6" x14ac:dyDescent="0.3">
      <c r="A7646" s="8">
        <v>7644</v>
      </c>
      <c r="B7646" s="8" t="s">
        <v>10697</v>
      </c>
      <c r="C7646" s="8" t="s">
        <v>15342</v>
      </c>
      <c r="D7646" s="8" t="s">
        <v>15343</v>
      </c>
      <c r="E7646" s="13">
        <v>0</v>
      </c>
      <c r="F7646" s="14">
        <v>0</v>
      </c>
    </row>
    <row r="7647" spans="1:6" x14ac:dyDescent="0.3">
      <c r="A7647" s="8">
        <v>7645</v>
      </c>
      <c r="B7647" s="8" t="s">
        <v>10697</v>
      </c>
      <c r="C7647" s="8" t="s">
        <v>15344</v>
      </c>
      <c r="D7647" s="8" t="s">
        <v>15345</v>
      </c>
      <c r="E7647" s="13">
        <v>0</v>
      </c>
      <c r="F7647" s="14">
        <v>134545</v>
      </c>
    </row>
    <row r="7648" spans="1:6" x14ac:dyDescent="0.3">
      <c r="A7648" s="8">
        <v>7646</v>
      </c>
      <c r="B7648" s="8" t="s">
        <v>10697</v>
      </c>
      <c r="C7648" s="8" t="s">
        <v>15346</v>
      </c>
      <c r="D7648" s="8" t="s">
        <v>15347</v>
      </c>
      <c r="E7648" s="13">
        <v>0</v>
      </c>
      <c r="F7648" s="14">
        <v>0</v>
      </c>
    </row>
    <row r="7649" spans="1:6" x14ac:dyDescent="0.3">
      <c r="A7649" s="8">
        <v>7647</v>
      </c>
      <c r="B7649" s="8" t="s">
        <v>10697</v>
      </c>
      <c r="C7649" s="8" t="s">
        <v>15348</v>
      </c>
      <c r="D7649" s="8" t="s">
        <v>15349</v>
      </c>
      <c r="E7649" s="13">
        <v>250000</v>
      </c>
      <c r="F7649" s="14">
        <v>500000</v>
      </c>
    </row>
    <row r="7650" spans="1:6" x14ac:dyDescent="0.3">
      <c r="A7650" s="8">
        <v>7648</v>
      </c>
      <c r="B7650" s="8" t="s">
        <v>10697</v>
      </c>
      <c r="C7650" s="8" t="s">
        <v>15350</v>
      </c>
      <c r="D7650" s="8" t="s">
        <v>15351</v>
      </c>
      <c r="E7650" s="13">
        <v>101852</v>
      </c>
      <c r="F7650" s="14">
        <v>203704</v>
      </c>
    </row>
    <row r="7651" spans="1:6" x14ac:dyDescent="0.3">
      <c r="A7651" s="8">
        <v>7649</v>
      </c>
      <c r="B7651" s="8" t="s">
        <v>10697</v>
      </c>
      <c r="C7651" s="8" t="s">
        <v>15352</v>
      </c>
      <c r="D7651" s="8" t="s">
        <v>15353</v>
      </c>
      <c r="E7651" s="13">
        <v>181481</v>
      </c>
      <c r="F7651" s="14">
        <v>362963</v>
      </c>
    </row>
    <row r="7652" spans="1:6" x14ac:dyDescent="0.3">
      <c r="A7652" s="8">
        <v>7650</v>
      </c>
      <c r="B7652" s="8" t="s">
        <v>7694</v>
      </c>
      <c r="C7652" s="8" t="s">
        <v>15354</v>
      </c>
      <c r="D7652" s="8" t="s">
        <v>15355</v>
      </c>
      <c r="E7652" s="13">
        <v>0</v>
      </c>
      <c r="F7652" s="14">
        <v>32450000</v>
      </c>
    </row>
    <row r="7653" spans="1:6" x14ac:dyDescent="0.3">
      <c r="A7653" s="8">
        <v>7651</v>
      </c>
      <c r="B7653" s="8" t="s">
        <v>7694</v>
      </c>
      <c r="C7653" s="8" t="s">
        <v>15356</v>
      </c>
      <c r="D7653" s="8" t="s">
        <v>15357</v>
      </c>
      <c r="E7653" s="13">
        <v>0</v>
      </c>
      <c r="F7653" s="14">
        <v>112200000</v>
      </c>
    </row>
    <row r="7654" spans="1:6" x14ac:dyDescent="0.3">
      <c r="A7654" s="8">
        <v>7652</v>
      </c>
      <c r="B7654" s="8" t="s">
        <v>7694</v>
      </c>
      <c r="C7654" s="8" t="s">
        <v>15358</v>
      </c>
      <c r="D7654" s="8" t="s">
        <v>15359</v>
      </c>
      <c r="E7654" s="13">
        <v>0</v>
      </c>
      <c r="F7654" s="14">
        <v>392450000</v>
      </c>
    </row>
    <row r="7655" spans="1:6" x14ac:dyDescent="0.3">
      <c r="A7655" s="8">
        <v>7653</v>
      </c>
      <c r="B7655" s="8" t="s">
        <v>9463</v>
      </c>
      <c r="C7655" s="8" t="s">
        <v>15360</v>
      </c>
      <c r="D7655" s="8" t="s">
        <v>15361</v>
      </c>
      <c r="E7655" s="13">
        <v>80000</v>
      </c>
      <c r="F7655" s="14">
        <v>160185</v>
      </c>
    </row>
    <row r="7656" spans="1:6" x14ac:dyDescent="0.3">
      <c r="A7656" s="8">
        <v>7654</v>
      </c>
      <c r="B7656" s="8" t="s">
        <v>9463</v>
      </c>
      <c r="C7656" s="8" t="s">
        <v>15362</v>
      </c>
      <c r="D7656" s="8" t="s">
        <v>15363</v>
      </c>
      <c r="E7656" s="13">
        <v>105000</v>
      </c>
      <c r="F7656" s="14">
        <v>210185</v>
      </c>
    </row>
    <row r="7657" spans="1:6" x14ac:dyDescent="0.3">
      <c r="A7657" s="8">
        <v>7655</v>
      </c>
      <c r="B7657" s="8" t="s">
        <v>9463</v>
      </c>
      <c r="C7657" s="8" t="s">
        <v>15364</v>
      </c>
      <c r="D7657" s="8" t="s">
        <v>15365</v>
      </c>
      <c r="E7657" s="13">
        <v>35185</v>
      </c>
      <c r="F7657" s="14">
        <v>70370</v>
      </c>
    </row>
    <row r="7658" spans="1:6" x14ac:dyDescent="0.3">
      <c r="A7658" s="8">
        <v>7656</v>
      </c>
      <c r="B7658" s="8" t="s">
        <v>9463</v>
      </c>
      <c r="C7658" s="8" t="s">
        <v>15366</v>
      </c>
      <c r="D7658" s="8" t="s">
        <v>15367</v>
      </c>
      <c r="E7658" s="13">
        <v>0</v>
      </c>
      <c r="F7658" s="14">
        <v>0</v>
      </c>
    </row>
    <row r="7659" spans="1:6" x14ac:dyDescent="0.3">
      <c r="A7659" s="8">
        <v>7657</v>
      </c>
      <c r="B7659" s="8" t="s">
        <v>9463</v>
      </c>
      <c r="C7659" s="8" t="s">
        <v>15368</v>
      </c>
      <c r="D7659" s="8" t="s">
        <v>15369</v>
      </c>
      <c r="E7659" s="13">
        <v>0</v>
      </c>
      <c r="F7659" s="14">
        <v>0</v>
      </c>
    </row>
    <row r="7660" spans="1:6" x14ac:dyDescent="0.3">
      <c r="A7660" s="8">
        <v>7658</v>
      </c>
      <c r="B7660" s="8" t="s">
        <v>9478</v>
      </c>
      <c r="C7660" s="8" t="s">
        <v>15370</v>
      </c>
      <c r="D7660" s="8" t="s">
        <v>15371</v>
      </c>
      <c r="E7660" s="13">
        <v>0</v>
      </c>
      <c r="F7660" s="14">
        <v>0</v>
      </c>
    </row>
    <row r="7661" spans="1:6" x14ac:dyDescent="0.3">
      <c r="A7661" s="8">
        <v>7659</v>
      </c>
      <c r="B7661" s="8" t="s">
        <v>9478</v>
      </c>
      <c r="C7661" s="8" t="s">
        <v>15372</v>
      </c>
      <c r="D7661" s="8" t="s">
        <v>50</v>
      </c>
      <c r="E7661" s="13">
        <v>88000</v>
      </c>
      <c r="F7661" s="14">
        <v>175926</v>
      </c>
    </row>
    <row r="7662" spans="1:6" x14ac:dyDescent="0.3">
      <c r="A7662" s="8">
        <v>7660</v>
      </c>
      <c r="B7662" s="8" t="s">
        <v>9478</v>
      </c>
      <c r="C7662" s="8" t="s">
        <v>15373</v>
      </c>
      <c r="D7662" s="8" t="s">
        <v>15374</v>
      </c>
      <c r="E7662" s="13">
        <v>80000</v>
      </c>
      <c r="F7662" s="14">
        <v>175926</v>
      </c>
    </row>
    <row r="7663" spans="1:6" x14ac:dyDescent="0.3">
      <c r="A7663" s="8">
        <v>7661</v>
      </c>
      <c r="B7663" s="8" t="s">
        <v>9478</v>
      </c>
      <c r="C7663" s="8" t="s">
        <v>15375</v>
      </c>
      <c r="D7663" s="8" t="s">
        <v>15376</v>
      </c>
      <c r="E7663" s="13">
        <v>0</v>
      </c>
      <c r="F7663" s="14">
        <v>0</v>
      </c>
    </row>
    <row r="7664" spans="1:6" x14ac:dyDescent="0.3">
      <c r="A7664" s="8">
        <v>7662</v>
      </c>
      <c r="B7664" s="8" t="s">
        <v>9478</v>
      </c>
      <c r="C7664" s="8" t="s">
        <v>15377</v>
      </c>
      <c r="D7664" s="8" t="s">
        <v>15378</v>
      </c>
      <c r="E7664" s="13">
        <v>0</v>
      </c>
      <c r="F7664" s="14">
        <v>0</v>
      </c>
    </row>
    <row r="7665" spans="1:6" x14ac:dyDescent="0.3">
      <c r="A7665" s="8">
        <v>7663</v>
      </c>
      <c r="B7665" s="8" t="s">
        <v>9478</v>
      </c>
      <c r="C7665" s="8" t="s">
        <v>15379</v>
      </c>
      <c r="D7665" s="8" t="s">
        <v>68</v>
      </c>
      <c r="E7665" s="13">
        <v>148200</v>
      </c>
      <c r="F7665" s="14">
        <v>296296</v>
      </c>
    </row>
    <row r="7666" spans="1:6" x14ac:dyDescent="0.3">
      <c r="A7666" s="8">
        <v>7664</v>
      </c>
      <c r="B7666" s="8" t="s">
        <v>9478</v>
      </c>
      <c r="C7666" s="8" t="s">
        <v>15380</v>
      </c>
      <c r="D7666" s="8" t="s">
        <v>67</v>
      </c>
      <c r="E7666" s="13">
        <v>80000</v>
      </c>
      <c r="F7666" s="14">
        <v>175926</v>
      </c>
    </row>
    <row r="7667" spans="1:6" x14ac:dyDescent="0.3">
      <c r="A7667" s="8">
        <v>7665</v>
      </c>
      <c r="B7667" s="8" t="s">
        <v>9478</v>
      </c>
      <c r="C7667" s="8" t="s">
        <v>15381</v>
      </c>
      <c r="D7667" s="8" t="s">
        <v>15382</v>
      </c>
      <c r="E7667" s="13">
        <v>0</v>
      </c>
      <c r="F7667" s="14">
        <v>0</v>
      </c>
    </row>
    <row r="7668" spans="1:6" x14ac:dyDescent="0.3">
      <c r="A7668" s="8">
        <v>7666</v>
      </c>
      <c r="B7668" s="8" t="s">
        <v>9478</v>
      </c>
      <c r="C7668" s="8" t="s">
        <v>15383</v>
      </c>
      <c r="D7668" s="8" t="s">
        <v>15384</v>
      </c>
      <c r="E7668" s="13">
        <v>0</v>
      </c>
      <c r="F7668" s="14">
        <v>0</v>
      </c>
    </row>
    <row r="7669" spans="1:6" x14ac:dyDescent="0.3">
      <c r="A7669" s="8">
        <v>7667</v>
      </c>
      <c r="B7669" s="8" t="s">
        <v>9478</v>
      </c>
      <c r="C7669" s="8" t="s">
        <v>15385</v>
      </c>
      <c r="D7669" s="8" t="s">
        <v>15386</v>
      </c>
      <c r="E7669" s="13">
        <v>0</v>
      </c>
      <c r="F7669" s="14">
        <v>0</v>
      </c>
    </row>
    <row r="7670" spans="1:6" x14ac:dyDescent="0.3">
      <c r="A7670" s="8">
        <v>7668</v>
      </c>
      <c r="B7670" s="8" t="s">
        <v>9478</v>
      </c>
      <c r="C7670" s="8" t="s">
        <v>15387</v>
      </c>
      <c r="D7670" s="8" t="s">
        <v>15388</v>
      </c>
      <c r="E7670" s="13">
        <v>0</v>
      </c>
      <c r="F7670" s="14">
        <v>0</v>
      </c>
    </row>
    <row r="7671" spans="1:6" x14ac:dyDescent="0.3">
      <c r="A7671" s="8">
        <v>7669</v>
      </c>
      <c r="B7671" s="8" t="s">
        <v>9478</v>
      </c>
      <c r="C7671" s="8" t="s">
        <v>15389</v>
      </c>
      <c r="D7671" s="8" t="s">
        <v>15390</v>
      </c>
      <c r="E7671" s="13">
        <v>0</v>
      </c>
      <c r="F7671" s="14">
        <v>0</v>
      </c>
    </row>
    <row r="7672" spans="1:6" x14ac:dyDescent="0.3">
      <c r="A7672" s="8">
        <v>7670</v>
      </c>
      <c r="B7672" s="8" t="s">
        <v>9478</v>
      </c>
      <c r="C7672" s="8" t="s">
        <v>15391</v>
      </c>
      <c r="D7672" s="8" t="s">
        <v>15392</v>
      </c>
      <c r="E7672" s="13">
        <v>0</v>
      </c>
      <c r="F7672" s="14">
        <v>0</v>
      </c>
    </row>
    <row r="7673" spans="1:6" x14ac:dyDescent="0.3">
      <c r="A7673" s="8">
        <v>7671</v>
      </c>
      <c r="B7673" s="8" t="s">
        <v>9478</v>
      </c>
      <c r="C7673" s="8" t="s">
        <v>15393</v>
      </c>
      <c r="D7673" s="8" t="s">
        <v>15394</v>
      </c>
      <c r="E7673" s="13">
        <v>0</v>
      </c>
      <c r="F7673" s="14">
        <v>0</v>
      </c>
    </row>
    <row r="7674" spans="1:6" x14ac:dyDescent="0.3">
      <c r="A7674" s="8">
        <v>7672</v>
      </c>
      <c r="B7674" s="8" t="s">
        <v>9478</v>
      </c>
      <c r="C7674" s="8" t="s">
        <v>15395</v>
      </c>
      <c r="D7674" s="8" t="s">
        <v>15396</v>
      </c>
      <c r="E7674" s="13">
        <v>0</v>
      </c>
      <c r="F7674" s="14">
        <v>0</v>
      </c>
    </row>
    <row r="7675" spans="1:6" x14ac:dyDescent="0.3">
      <c r="A7675" s="8">
        <v>7673</v>
      </c>
      <c r="B7675" s="8" t="s">
        <v>9478</v>
      </c>
      <c r="C7675" s="8" t="s">
        <v>15397</v>
      </c>
      <c r="D7675" s="8" t="s">
        <v>15398</v>
      </c>
      <c r="E7675" s="13">
        <v>0</v>
      </c>
      <c r="F7675" s="14">
        <v>0</v>
      </c>
    </row>
    <row r="7676" spans="1:6" x14ac:dyDescent="0.3">
      <c r="A7676" s="8">
        <v>7674</v>
      </c>
      <c r="B7676" s="8" t="s">
        <v>9478</v>
      </c>
      <c r="C7676" s="8" t="s">
        <v>15399</v>
      </c>
      <c r="D7676" s="8" t="s">
        <v>117</v>
      </c>
      <c r="E7676" s="13">
        <v>355000</v>
      </c>
      <c r="F7676" s="14">
        <v>710185</v>
      </c>
    </row>
    <row r="7677" spans="1:6" x14ac:dyDescent="0.3">
      <c r="A7677" s="8">
        <v>7675</v>
      </c>
      <c r="B7677" s="8" t="s">
        <v>9478</v>
      </c>
      <c r="C7677" s="8" t="s">
        <v>15400</v>
      </c>
      <c r="D7677" s="8" t="s">
        <v>15401</v>
      </c>
      <c r="E7677" s="13">
        <v>0</v>
      </c>
      <c r="F7677" s="14">
        <v>0</v>
      </c>
    </row>
    <row r="7678" spans="1:6" x14ac:dyDescent="0.3">
      <c r="A7678" s="8">
        <v>7676</v>
      </c>
      <c r="B7678" s="8" t="s">
        <v>9478</v>
      </c>
      <c r="C7678" s="8" t="s">
        <v>15402</v>
      </c>
      <c r="D7678" s="8" t="s">
        <v>15403</v>
      </c>
      <c r="E7678" s="13">
        <v>0</v>
      </c>
      <c r="F7678" s="14">
        <v>0</v>
      </c>
    </row>
    <row r="7679" spans="1:6" x14ac:dyDescent="0.3">
      <c r="A7679" s="8">
        <v>7677</v>
      </c>
      <c r="B7679" s="8" t="s">
        <v>10667</v>
      </c>
      <c r="C7679" s="8" t="s">
        <v>15404</v>
      </c>
      <c r="D7679" s="8" t="s">
        <v>15405</v>
      </c>
      <c r="E7679" s="13">
        <v>0</v>
      </c>
      <c r="F7679" s="14">
        <v>0</v>
      </c>
    </row>
    <row r="7680" spans="1:6" x14ac:dyDescent="0.3">
      <c r="A7680" s="8">
        <v>7678</v>
      </c>
      <c r="B7680" s="8" t="s">
        <v>10667</v>
      </c>
      <c r="C7680" s="8" t="s">
        <v>15406</v>
      </c>
      <c r="D7680" s="8" t="s">
        <v>15407</v>
      </c>
      <c r="E7680" s="13">
        <v>0</v>
      </c>
      <c r="F7680" s="14">
        <v>0</v>
      </c>
    </row>
    <row r="7681" spans="1:6" x14ac:dyDescent="0.3">
      <c r="A7681" s="8">
        <v>7679</v>
      </c>
      <c r="B7681" s="8" t="s">
        <v>9478</v>
      </c>
      <c r="C7681" s="8" t="s">
        <v>15408</v>
      </c>
      <c r="D7681" s="8" t="s">
        <v>15409</v>
      </c>
      <c r="E7681" s="13">
        <v>0</v>
      </c>
      <c r="F7681" s="14">
        <v>0</v>
      </c>
    </row>
    <row r="7682" spans="1:6" x14ac:dyDescent="0.3">
      <c r="A7682" s="8">
        <v>7680</v>
      </c>
      <c r="B7682" s="8" t="s">
        <v>9478</v>
      </c>
      <c r="C7682" s="8" t="s">
        <v>15410</v>
      </c>
      <c r="D7682" s="8" t="s">
        <v>15411</v>
      </c>
      <c r="E7682" s="13">
        <v>91000</v>
      </c>
      <c r="F7682" s="14">
        <v>181818</v>
      </c>
    </row>
    <row r="7683" spans="1:6" x14ac:dyDescent="0.3">
      <c r="A7683" s="8">
        <v>7681</v>
      </c>
      <c r="B7683" s="8" t="s">
        <v>9478</v>
      </c>
      <c r="C7683" s="8" t="s">
        <v>15412</v>
      </c>
      <c r="D7683" s="8" t="s">
        <v>15413</v>
      </c>
      <c r="E7683" s="13">
        <v>0</v>
      </c>
      <c r="F7683" s="14">
        <v>0</v>
      </c>
    </row>
    <row r="7684" spans="1:6" x14ac:dyDescent="0.3">
      <c r="A7684" s="8">
        <v>7682</v>
      </c>
      <c r="B7684" s="8" t="s">
        <v>9478</v>
      </c>
      <c r="C7684" s="8" t="s">
        <v>15414</v>
      </c>
      <c r="D7684" s="8" t="s">
        <v>15415</v>
      </c>
      <c r="E7684" s="13">
        <v>0</v>
      </c>
      <c r="F7684" s="14">
        <v>0</v>
      </c>
    </row>
    <row r="7685" spans="1:6" x14ac:dyDescent="0.3">
      <c r="A7685" s="8">
        <v>7683</v>
      </c>
      <c r="B7685" s="8" t="s">
        <v>9478</v>
      </c>
      <c r="C7685" s="8" t="s">
        <v>15416</v>
      </c>
      <c r="D7685" s="8" t="s">
        <v>15417</v>
      </c>
      <c r="E7685" s="13">
        <v>0</v>
      </c>
      <c r="F7685" s="14">
        <v>0</v>
      </c>
    </row>
    <row r="7686" spans="1:6" x14ac:dyDescent="0.3">
      <c r="A7686" s="8">
        <v>7684</v>
      </c>
      <c r="B7686" s="8" t="s">
        <v>9478</v>
      </c>
      <c r="C7686" s="8" t="s">
        <v>15418</v>
      </c>
      <c r="D7686" s="8" t="s">
        <v>126</v>
      </c>
      <c r="E7686" s="13">
        <v>184000</v>
      </c>
      <c r="F7686" s="14">
        <v>367593</v>
      </c>
    </row>
    <row r="7687" spans="1:6" x14ac:dyDescent="0.3">
      <c r="A7687" s="8">
        <v>7685</v>
      </c>
      <c r="B7687" s="8" t="s">
        <v>9478</v>
      </c>
      <c r="C7687" s="8" t="s">
        <v>15419</v>
      </c>
      <c r="D7687" s="8" t="s">
        <v>15420</v>
      </c>
      <c r="E7687" s="13">
        <v>0</v>
      </c>
      <c r="F7687" s="14">
        <v>0</v>
      </c>
    </row>
    <row r="7688" spans="1:6" x14ac:dyDescent="0.3">
      <c r="A7688" s="8">
        <v>7686</v>
      </c>
      <c r="B7688" s="8" t="s">
        <v>9478</v>
      </c>
      <c r="C7688" s="8" t="s">
        <v>15421</v>
      </c>
      <c r="D7688" s="8" t="s">
        <v>15422</v>
      </c>
      <c r="E7688" s="13">
        <v>0</v>
      </c>
      <c r="F7688" s="14">
        <v>0</v>
      </c>
    </row>
    <row r="7689" spans="1:6" x14ac:dyDescent="0.3">
      <c r="A7689" s="8">
        <v>7687</v>
      </c>
      <c r="B7689" s="8" t="s">
        <v>9478</v>
      </c>
      <c r="C7689" s="8" t="s">
        <v>15423</v>
      </c>
      <c r="D7689" s="8" t="s">
        <v>15424</v>
      </c>
      <c r="E7689" s="13">
        <v>0</v>
      </c>
      <c r="F7689" s="14">
        <v>0</v>
      </c>
    </row>
    <row r="7690" spans="1:6" x14ac:dyDescent="0.3">
      <c r="A7690" s="8">
        <v>7688</v>
      </c>
      <c r="B7690" s="8" t="s">
        <v>9478</v>
      </c>
      <c r="C7690" s="8" t="s">
        <v>15425</v>
      </c>
      <c r="D7690" s="8" t="s">
        <v>129</v>
      </c>
      <c r="E7690" s="13">
        <v>320000</v>
      </c>
      <c r="F7690" s="14">
        <v>639815</v>
      </c>
    </row>
    <row r="7691" spans="1:6" x14ac:dyDescent="0.3">
      <c r="A7691" s="8">
        <v>7689</v>
      </c>
      <c r="B7691" s="8" t="s">
        <v>15132</v>
      </c>
      <c r="C7691" s="8" t="s">
        <v>15426</v>
      </c>
      <c r="D7691" s="8" t="s">
        <v>15427</v>
      </c>
      <c r="E7691" s="13">
        <v>0</v>
      </c>
      <c r="F7691" s="14">
        <v>0</v>
      </c>
    </row>
    <row r="7692" spans="1:6" x14ac:dyDescent="0.3">
      <c r="A7692" s="8">
        <v>7690</v>
      </c>
      <c r="B7692" s="8" t="s">
        <v>10667</v>
      </c>
      <c r="C7692" s="8" t="s">
        <v>15428</v>
      </c>
      <c r="D7692" s="8" t="s">
        <v>15429</v>
      </c>
      <c r="E7692" s="13">
        <v>0</v>
      </c>
      <c r="F7692" s="14">
        <v>0</v>
      </c>
    </row>
    <row r="7693" spans="1:6" x14ac:dyDescent="0.3">
      <c r="A7693" s="8">
        <v>7691</v>
      </c>
      <c r="B7693" s="8" t="s">
        <v>10667</v>
      </c>
      <c r="C7693" s="8" t="s">
        <v>15430</v>
      </c>
      <c r="D7693" s="8" t="s">
        <v>15431</v>
      </c>
      <c r="E7693" s="13">
        <v>0</v>
      </c>
      <c r="F7693" s="14">
        <v>0</v>
      </c>
    </row>
    <row r="7694" spans="1:6" x14ac:dyDescent="0.3">
      <c r="A7694" s="8">
        <v>7692</v>
      </c>
      <c r="B7694" s="8" t="s">
        <v>10667</v>
      </c>
      <c r="C7694" s="8" t="s">
        <v>15432</v>
      </c>
      <c r="D7694" s="8" t="s">
        <v>15433</v>
      </c>
      <c r="E7694" s="13">
        <v>0</v>
      </c>
      <c r="F7694" s="14">
        <v>0</v>
      </c>
    </row>
    <row r="7695" spans="1:6" x14ac:dyDescent="0.3">
      <c r="A7695" s="8">
        <v>7693</v>
      </c>
      <c r="B7695" s="8" t="s">
        <v>10667</v>
      </c>
      <c r="C7695" s="8" t="s">
        <v>15434</v>
      </c>
      <c r="D7695" s="8" t="s">
        <v>15435</v>
      </c>
      <c r="E7695" s="13">
        <v>0</v>
      </c>
      <c r="F7695" s="14">
        <v>0</v>
      </c>
    </row>
    <row r="7696" spans="1:6" x14ac:dyDescent="0.3">
      <c r="A7696" s="8">
        <v>7694</v>
      </c>
      <c r="B7696" s="8" t="s">
        <v>10667</v>
      </c>
      <c r="C7696" s="8" t="s">
        <v>15436</v>
      </c>
      <c r="D7696" s="8" t="s">
        <v>15437</v>
      </c>
      <c r="E7696" s="13">
        <v>0</v>
      </c>
      <c r="F7696" s="14">
        <v>0</v>
      </c>
    </row>
    <row r="7697" spans="1:6" x14ac:dyDescent="0.3">
      <c r="A7697" s="8">
        <v>7695</v>
      </c>
      <c r="B7697" s="8" t="s">
        <v>10667</v>
      </c>
      <c r="C7697" s="8" t="s">
        <v>15438</v>
      </c>
      <c r="D7697" s="8" t="s">
        <v>15439</v>
      </c>
      <c r="E7697" s="13">
        <v>0</v>
      </c>
      <c r="F7697" s="14">
        <v>0</v>
      </c>
    </row>
    <row r="7698" spans="1:6" x14ac:dyDescent="0.3">
      <c r="A7698" s="8">
        <v>7696</v>
      </c>
      <c r="B7698" s="8" t="s">
        <v>10667</v>
      </c>
      <c r="C7698" s="8" t="s">
        <v>15440</v>
      </c>
      <c r="D7698" s="8" t="s">
        <v>15441</v>
      </c>
      <c r="E7698" s="13">
        <v>0</v>
      </c>
      <c r="F7698" s="14">
        <v>0</v>
      </c>
    </row>
    <row r="7699" spans="1:6" x14ac:dyDescent="0.3">
      <c r="A7699" s="8">
        <v>7697</v>
      </c>
      <c r="B7699" s="8" t="s">
        <v>10667</v>
      </c>
      <c r="C7699" s="8" t="s">
        <v>15442</v>
      </c>
      <c r="D7699" s="8" t="s">
        <v>15443</v>
      </c>
      <c r="E7699" s="13">
        <v>0</v>
      </c>
      <c r="F7699" s="14">
        <v>0</v>
      </c>
    </row>
    <row r="7700" spans="1:6" x14ac:dyDescent="0.3">
      <c r="A7700" s="8">
        <v>7698</v>
      </c>
      <c r="B7700" s="8" t="s">
        <v>10667</v>
      </c>
      <c r="C7700" s="8" t="s">
        <v>15444</v>
      </c>
      <c r="D7700" s="8" t="s">
        <v>15445</v>
      </c>
      <c r="E7700" s="13">
        <v>0</v>
      </c>
      <c r="F7700" s="14">
        <v>0</v>
      </c>
    </row>
    <row r="7701" spans="1:6" x14ac:dyDescent="0.3">
      <c r="A7701" s="8">
        <v>7699</v>
      </c>
      <c r="B7701" s="8" t="s">
        <v>10667</v>
      </c>
      <c r="C7701" s="8" t="s">
        <v>15446</v>
      </c>
      <c r="D7701" s="8" t="s">
        <v>15447</v>
      </c>
      <c r="E7701" s="13">
        <v>0</v>
      </c>
      <c r="F7701" s="14">
        <v>0</v>
      </c>
    </row>
    <row r="7702" spans="1:6" x14ac:dyDescent="0.3">
      <c r="A7702" s="8">
        <v>7700</v>
      </c>
      <c r="B7702" s="8" t="s">
        <v>10667</v>
      </c>
      <c r="C7702" s="8" t="s">
        <v>15448</v>
      </c>
      <c r="D7702" s="8" t="s">
        <v>15449</v>
      </c>
      <c r="E7702" s="13">
        <v>0</v>
      </c>
      <c r="F7702" s="14">
        <v>0</v>
      </c>
    </row>
    <row r="7703" spans="1:6" x14ac:dyDescent="0.3">
      <c r="A7703" s="8">
        <v>7701</v>
      </c>
      <c r="B7703" s="8" t="s">
        <v>10667</v>
      </c>
      <c r="C7703" s="8" t="s">
        <v>15450</v>
      </c>
      <c r="D7703" s="8" t="s">
        <v>15451</v>
      </c>
      <c r="E7703" s="13">
        <v>0</v>
      </c>
      <c r="F7703" s="14">
        <v>0</v>
      </c>
    </row>
    <row r="7704" spans="1:6" x14ac:dyDescent="0.3">
      <c r="A7704" s="8">
        <v>7702</v>
      </c>
      <c r="B7704" s="8" t="s">
        <v>10667</v>
      </c>
      <c r="C7704" s="8" t="s">
        <v>15452</v>
      </c>
      <c r="D7704" s="8" t="s">
        <v>15453</v>
      </c>
      <c r="E7704" s="13">
        <v>0</v>
      </c>
      <c r="F7704" s="14">
        <v>0</v>
      </c>
    </row>
    <row r="7705" spans="1:6" x14ac:dyDescent="0.3">
      <c r="A7705" s="8">
        <v>7703</v>
      </c>
      <c r="B7705" s="8" t="s">
        <v>10667</v>
      </c>
      <c r="C7705" s="8" t="s">
        <v>15454</v>
      </c>
      <c r="D7705" s="8" t="s">
        <v>15455</v>
      </c>
      <c r="E7705" s="13">
        <v>0</v>
      </c>
      <c r="F7705" s="14">
        <v>0</v>
      </c>
    </row>
    <row r="7706" spans="1:6" x14ac:dyDescent="0.3">
      <c r="A7706" s="8">
        <v>7704</v>
      </c>
      <c r="B7706" s="8" t="s">
        <v>10667</v>
      </c>
      <c r="C7706" s="8" t="s">
        <v>15456</v>
      </c>
      <c r="D7706" s="8" t="s">
        <v>15457</v>
      </c>
      <c r="E7706" s="13">
        <v>0</v>
      </c>
      <c r="F7706" s="14">
        <v>0</v>
      </c>
    </row>
    <row r="7707" spans="1:6" x14ac:dyDescent="0.3">
      <c r="A7707" s="8">
        <v>7705</v>
      </c>
      <c r="B7707" s="8" t="s">
        <v>10667</v>
      </c>
      <c r="C7707" s="8" t="s">
        <v>15458</v>
      </c>
      <c r="D7707" s="8" t="s">
        <v>15459</v>
      </c>
      <c r="E7707" s="13">
        <v>0</v>
      </c>
      <c r="F7707" s="14">
        <v>0</v>
      </c>
    </row>
    <row r="7708" spans="1:6" x14ac:dyDescent="0.3">
      <c r="A7708" s="8">
        <v>7706</v>
      </c>
      <c r="B7708" s="8" t="s">
        <v>10684</v>
      </c>
      <c r="C7708" s="8" t="s">
        <v>15460</v>
      </c>
      <c r="D7708" s="8" t="s">
        <v>14</v>
      </c>
      <c r="E7708" s="13">
        <v>59300</v>
      </c>
      <c r="F7708" s="14">
        <v>118519</v>
      </c>
    </row>
    <row r="7709" spans="1:6" x14ac:dyDescent="0.3">
      <c r="A7709" s="8">
        <v>7707</v>
      </c>
      <c r="B7709" s="8" t="s">
        <v>10684</v>
      </c>
      <c r="C7709" s="8" t="s">
        <v>15461</v>
      </c>
      <c r="D7709" s="8" t="s">
        <v>15462</v>
      </c>
      <c r="E7709" s="13">
        <v>0</v>
      </c>
      <c r="F7709" s="14">
        <v>0</v>
      </c>
    </row>
    <row r="7710" spans="1:6" x14ac:dyDescent="0.3">
      <c r="A7710" s="8">
        <v>7708</v>
      </c>
      <c r="B7710" s="8" t="s">
        <v>10684</v>
      </c>
      <c r="C7710" s="8" t="s">
        <v>15463</v>
      </c>
      <c r="D7710" s="8" t="s">
        <v>16</v>
      </c>
      <c r="E7710" s="13">
        <v>48200</v>
      </c>
      <c r="F7710" s="14">
        <v>96389</v>
      </c>
    </row>
    <row r="7711" spans="1:6" x14ac:dyDescent="0.3">
      <c r="A7711" s="8">
        <v>7709</v>
      </c>
      <c r="B7711" s="8" t="s">
        <v>10684</v>
      </c>
      <c r="C7711" s="8" t="s">
        <v>15464</v>
      </c>
      <c r="D7711" s="8" t="s">
        <v>15465</v>
      </c>
      <c r="E7711" s="13">
        <v>0</v>
      </c>
      <c r="F7711" s="14">
        <v>0</v>
      </c>
    </row>
    <row r="7712" spans="1:6" x14ac:dyDescent="0.3">
      <c r="A7712" s="8">
        <v>7710</v>
      </c>
      <c r="B7712" s="8" t="s">
        <v>10684</v>
      </c>
      <c r="C7712" s="8" t="s">
        <v>15466</v>
      </c>
      <c r="D7712" s="8" t="s">
        <v>15467</v>
      </c>
      <c r="E7712" s="13">
        <v>0</v>
      </c>
      <c r="F7712" s="14">
        <v>0</v>
      </c>
    </row>
    <row r="7713" spans="1:6" x14ac:dyDescent="0.3">
      <c r="A7713" s="8">
        <v>7711</v>
      </c>
      <c r="B7713" s="8" t="s">
        <v>10684</v>
      </c>
      <c r="C7713" s="8" t="s">
        <v>15468</v>
      </c>
      <c r="D7713" s="8" t="s">
        <v>15469</v>
      </c>
      <c r="E7713" s="13">
        <v>0</v>
      </c>
      <c r="F7713" s="14">
        <v>0</v>
      </c>
    </row>
    <row r="7714" spans="1:6" x14ac:dyDescent="0.3">
      <c r="A7714" s="8">
        <v>7712</v>
      </c>
      <c r="B7714" s="8" t="s">
        <v>10697</v>
      </c>
      <c r="C7714" s="8" t="s">
        <v>15470</v>
      </c>
      <c r="D7714" s="8" t="s">
        <v>15471</v>
      </c>
      <c r="E7714" s="13">
        <v>190000</v>
      </c>
      <c r="F7714" s="14">
        <v>379630</v>
      </c>
    </row>
    <row r="7715" spans="1:6" x14ac:dyDescent="0.3">
      <c r="A7715" s="8">
        <v>7713</v>
      </c>
      <c r="B7715" s="8" t="s">
        <v>10697</v>
      </c>
      <c r="C7715" s="8" t="s">
        <v>15472</v>
      </c>
      <c r="D7715" s="8" t="s">
        <v>15473</v>
      </c>
      <c r="E7715" s="13">
        <v>190000</v>
      </c>
      <c r="F7715" s="14">
        <v>379630</v>
      </c>
    </row>
    <row r="7716" spans="1:6" x14ac:dyDescent="0.3">
      <c r="A7716" s="8">
        <v>7714</v>
      </c>
      <c r="B7716" s="8" t="s">
        <v>10697</v>
      </c>
      <c r="C7716" s="8" t="s">
        <v>15474</v>
      </c>
      <c r="D7716" s="8" t="s">
        <v>15475</v>
      </c>
      <c r="E7716" s="13">
        <v>0</v>
      </c>
      <c r="F7716" s="14">
        <v>0</v>
      </c>
    </row>
    <row r="7717" spans="1:6" x14ac:dyDescent="0.3">
      <c r="A7717" s="8">
        <v>7715</v>
      </c>
      <c r="B7717" s="8" t="s">
        <v>10697</v>
      </c>
      <c r="C7717" s="8" t="s">
        <v>15476</v>
      </c>
      <c r="D7717" s="8" t="s">
        <v>15477</v>
      </c>
      <c r="E7717" s="13">
        <v>0</v>
      </c>
      <c r="F7717" s="14">
        <v>0</v>
      </c>
    </row>
    <row r="7718" spans="1:6" x14ac:dyDescent="0.3">
      <c r="A7718" s="8">
        <v>7716</v>
      </c>
      <c r="B7718" s="8" t="s">
        <v>10697</v>
      </c>
      <c r="C7718" s="8" t="s">
        <v>15478</v>
      </c>
      <c r="D7718" s="8" t="s">
        <v>15479</v>
      </c>
      <c r="E7718" s="13">
        <v>29700</v>
      </c>
      <c r="F7718" s="14">
        <v>59259</v>
      </c>
    </row>
    <row r="7719" spans="1:6" x14ac:dyDescent="0.3">
      <c r="A7719" s="8">
        <v>7717</v>
      </c>
      <c r="B7719" s="8" t="s">
        <v>10697</v>
      </c>
      <c r="C7719" s="8" t="s">
        <v>15480</v>
      </c>
      <c r="D7719" s="8" t="s">
        <v>15481</v>
      </c>
      <c r="E7719" s="13">
        <v>0</v>
      </c>
      <c r="F7719" s="14">
        <v>0</v>
      </c>
    </row>
    <row r="7720" spans="1:6" x14ac:dyDescent="0.3">
      <c r="A7720" s="8">
        <v>7718</v>
      </c>
      <c r="B7720" s="8" t="s">
        <v>10697</v>
      </c>
      <c r="C7720" s="8" t="s">
        <v>15482</v>
      </c>
      <c r="D7720" s="8" t="s">
        <v>15483</v>
      </c>
      <c r="E7720" s="13">
        <v>0</v>
      </c>
      <c r="F7720" s="14">
        <v>0</v>
      </c>
    </row>
    <row r="7721" spans="1:6" x14ac:dyDescent="0.3">
      <c r="A7721" s="8">
        <v>7719</v>
      </c>
      <c r="B7721" s="8" t="s">
        <v>10697</v>
      </c>
      <c r="C7721" s="8" t="s">
        <v>15484</v>
      </c>
      <c r="D7721" s="8" t="s">
        <v>15485</v>
      </c>
      <c r="E7721" s="13">
        <v>0</v>
      </c>
      <c r="F7721" s="14">
        <v>0</v>
      </c>
    </row>
    <row r="7722" spans="1:6" x14ac:dyDescent="0.3">
      <c r="A7722" s="8">
        <v>7720</v>
      </c>
      <c r="B7722" s="8" t="s">
        <v>10697</v>
      </c>
      <c r="C7722" s="8" t="s">
        <v>15486</v>
      </c>
      <c r="D7722" s="8" t="s">
        <v>15487</v>
      </c>
      <c r="E7722" s="13">
        <v>0</v>
      </c>
      <c r="F7722" s="14">
        <v>0</v>
      </c>
    </row>
    <row r="7723" spans="1:6" x14ac:dyDescent="0.3">
      <c r="A7723" s="8">
        <v>7721</v>
      </c>
      <c r="B7723" s="8" t="s">
        <v>10697</v>
      </c>
      <c r="C7723" s="8" t="s">
        <v>15488</v>
      </c>
      <c r="D7723" s="8" t="s">
        <v>15489</v>
      </c>
      <c r="E7723" s="13">
        <v>0</v>
      </c>
      <c r="F7723" s="14">
        <v>0</v>
      </c>
    </row>
    <row r="7724" spans="1:6" x14ac:dyDescent="0.3">
      <c r="A7724" s="8">
        <v>7722</v>
      </c>
      <c r="B7724" s="8" t="s">
        <v>10697</v>
      </c>
      <c r="C7724" s="8" t="s">
        <v>15490</v>
      </c>
      <c r="D7724" s="8" t="s">
        <v>15491</v>
      </c>
      <c r="E7724" s="13">
        <v>0</v>
      </c>
      <c r="F7724" s="14">
        <v>0</v>
      </c>
    </row>
    <row r="7725" spans="1:6" x14ac:dyDescent="0.3">
      <c r="A7725" s="8">
        <v>7723</v>
      </c>
      <c r="B7725" s="8" t="s">
        <v>10697</v>
      </c>
      <c r="C7725" s="8" t="s">
        <v>15492</v>
      </c>
      <c r="D7725" s="8" t="s">
        <v>15493</v>
      </c>
      <c r="E7725" s="13">
        <v>0</v>
      </c>
      <c r="F7725" s="14">
        <v>0</v>
      </c>
    </row>
    <row r="7726" spans="1:6" x14ac:dyDescent="0.3">
      <c r="A7726" s="8">
        <v>7724</v>
      </c>
      <c r="B7726" s="8" t="s">
        <v>10928</v>
      </c>
      <c r="C7726" s="8" t="s">
        <v>15494</v>
      </c>
      <c r="D7726" s="8" t="s">
        <v>15495</v>
      </c>
      <c r="E7726" s="13">
        <v>0</v>
      </c>
      <c r="F7726" s="14">
        <v>0</v>
      </c>
    </row>
    <row r="7727" spans="1:6" x14ac:dyDescent="0.3">
      <c r="A7727" s="8">
        <v>7725</v>
      </c>
      <c r="B7727" s="8" t="s">
        <v>10928</v>
      </c>
      <c r="C7727" s="8" t="s">
        <v>15496</v>
      </c>
      <c r="D7727" s="8" t="s">
        <v>15497</v>
      </c>
      <c r="E7727" s="13">
        <v>0</v>
      </c>
      <c r="F7727" s="14">
        <v>0</v>
      </c>
    </row>
    <row r="7728" spans="1:6" x14ac:dyDescent="0.3">
      <c r="A7728" s="8">
        <v>7726</v>
      </c>
      <c r="B7728" s="8" t="s">
        <v>10928</v>
      </c>
      <c r="C7728" s="8" t="s">
        <v>15498</v>
      </c>
      <c r="D7728" s="8" t="s">
        <v>15499</v>
      </c>
      <c r="E7728" s="13">
        <v>0</v>
      </c>
      <c r="F7728" s="14">
        <v>0</v>
      </c>
    </row>
    <row r="7729" spans="1:6" x14ac:dyDescent="0.3">
      <c r="A7729" s="8">
        <v>7727</v>
      </c>
      <c r="B7729" s="8" t="s">
        <v>10667</v>
      </c>
      <c r="C7729" s="8" t="s">
        <v>15500</v>
      </c>
      <c r="D7729" s="8" t="s">
        <v>15501</v>
      </c>
      <c r="E7729" s="13">
        <v>0</v>
      </c>
      <c r="F7729" s="14">
        <v>0</v>
      </c>
    </row>
    <row r="7730" spans="1:6" x14ac:dyDescent="0.3">
      <c r="A7730" s="8">
        <v>7728</v>
      </c>
      <c r="B7730" s="8" t="s">
        <v>10667</v>
      </c>
      <c r="C7730" s="8" t="s">
        <v>15502</v>
      </c>
      <c r="D7730" s="8" t="s">
        <v>15503</v>
      </c>
      <c r="E7730" s="13">
        <v>0</v>
      </c>
      <c r="F7730" s="14">
        <v>0</v>
      </c>
    </row>
    <row r="7731" spans="1:6" x14ac:dyDescent="0.3">
      <c r="A7731" s="8">
        <v>7729</v>
      </c>
      <c r="B7731" s="8" t="s">
        <v>10667</v>
      </c>
      <c r="C7731" s="8" t="s">
        <v>15504</v>
      </c>
      <c r="D7731" s="8" t="s">
        <v>15505</v>
      </c>
      <c r="E7731" s="13">
        <v>0</v>
      </c>
      <c r="F7731" s="14">
        <v>0</v>
      </c>
    </row>
    <row r="7732" spans="1:6" x14ac:dyDescent="0.3">
      <c r="A7732" s="8">
        <v>7730</v>
      </c>
      <c r="B7732" s="8" t="s">
        <v>10667</v>
      </c>
      <c r="C7732" s="8" t="s">
        <v>15506</v>
      </c>
      <c r="D7732" s="8" t="s">
        <v>15507</v>
      </c>
      <c r="E7732" s="13">
        <v>0</v>
      </c>
      <c r="F7732" s="14">
        <v>0</v>
      </c>
    </row>
    <row r="7733" spans="1:6" x14ac:dyDescent="0.3">
      <c r="A7733" s="8">
        <v>7731</v>
      </c>
      <c r="B7733" s="8" t="s">
        <v>10667</v>
      </c>
      <c r="C7733" s="8" t="s">
        <v>15508</v>
      </c>
      <c r="D7733" s="8" t="s">
        <v>15509</v>
      </c>
      <c r="E7733" s="13">
        <v>0</v>
      </c>
      <c r="F7733" s="14">
        <v>0</v>
      </c>
    </row>
    <row r="7734" spans="1:6" x14ac:dyDescent="0.3">
      <c r="A7734" s="8">
        <v>7732</v>
      </c>
      <c r="B7734" s="8" t="s">
        <v>10667</v>
      </c>
      <c r="C7734" s="8" t="s">
        <v>15510</v>
      </c>
      <c r="D7734" s="8" t="s">
        <v>15511</v>
      </c>
      <c r="E7734" s="13">
        <v>0</v>
      </c>
      <c r="F7734" s="14">
        <v>0</v>
      </c>
    </row>
    <row r="7735" spans="1:6" x14ac:dyDescent="0.3">
      <c r="A7735" s="8">
        <v>7733</v>
      </c>
      <c r="B7735" s="8" t="s">
        <v>10667</v>
      </c>
      <c r="C7735" s="8" t="s">
        <v>15512</v>
      </c>
      <c r="D7735" s="8" t="s">
        <v>15513</v>
      </c>
      <c r="E7735" s="13">
        <v>0</v>
      </c>
      <c r="F7735" s="14">
        <v>0</v>
      </c>
    </row>
    <row r="7736" spans="1:6" x14ac:dyDescent="0.3">
      <c r="A7736" s="8">
        <v>7734</v>
      </c>
      <c r="B7736" s="8" t="s">
        <v>10667</v>
      </c>
      <c r="C7736" s="8" t="s">
        <v>15514</v>
      </c>
      <c r="D7736" s="8" t="s">
        <v>15515</v>
      </c>
      <c r="E7736" s="13">
        <v>0</v>
      </c>
      <c r="F7736" s="14">
        <v>0</v>
      </c>
    </row>
    <row r="7737" spans="1:6" x14ac:dyDescent="0.3">
      <c r="A7737" s="8">
        <v>7735</v>
      </c>
      <c r="B7737" s="8" t="s">
        <v>10667</v>
      </c>
      <c r="C7737" s="8" t="s">
        <v>15516</v>
      </c>
      <c r="D7737" s="8" t="s">
        <v>15517</v>
      </c>
      <c r="E7737" s="13">
        <v>0</v>
      </c>
      <c r="F7737" s="14">
        <v>0</v>
      </c>
    </row>
    <row r="7738" spans="1:6" x14ac:dyDescent="0.3">
      <c r="A7738" s="8">
        <v>7736</v>
      </c>
      <c r="B7738" s="8" t="s">
        <v>10667</v>
      </c>
      <c r="C7738" s="8" t="s">
        <v>15518</v>
      </c>
      <c r="D7738" s="8" t="s">
        <v>15519</v>
      </c>
      <c r="E7738" s="13">
        <v>0</v>
      </c>
      <c r="F7738" s="14">
        <v>0</v>
      </c>
    </row>
    <row r="7739" spans="1:6" x14ac:dyDescent="0.3">
      <c r="A7739" s="8">
        <v>7737</v>
      </c>
      <c r="B7739" s="8" t="s">
        <v>10684</v>
      </c>
      <c r="C7739" s="8" t="s">
        <v>15520</v>
      </c>
      <c r="D7739" s="8" t="s">
        <v>12</v>
      </c>
      <c r="E7739" s="13">
        <v>48200</v>
      </c>
      <c r="F7739" s="14">
        <v>96389</v>
      </c>
    </row>
    <row r="7740" spans="1:6" x14ac:dyDescent="0.3">
      <c r="A7740" s="8">
        <v>7738</v>
      </c>
      <c r="B7740" s="8" t="s">
        <v>10684</v>
      </c>
      <c r="C7740" s="8" t="s">
        <v>15521</v>
      </c>
      <c r="D7740" s="8" t="s">
        <v>9</v>
      </c>
      <c r="E7740" s="13">
        <v>61200</v>
      </c>
      <c r="F7740" s="14">
        <v>122222</v>
      </c>
    </row>
    <row r="7741" spans="1:6" x14ac:dyDescent="0.3">
      <c r="A7741" s="8">
        <v>7739</v>
      </c>
      <c r="B7741" s="8" t="s">
        <v>10684</v>
      </c>
      <c r="C7741" s="8" t="s">
        <v>15522</v>
      </c>
      <c r="D7741" s="8" t="s">
        <v>15523</v>
      </c>
      <c r="E7741" s="13">
        <v>0</v>
      </c>
      <c r="F7741" s="14">
        <v>0</v>
      </c>
    </row>
    <row r="7742" spans="1:6" x14ac:dyDescent="0.3">
      <c r="A7742" s="8">
        <v>7740</v>
      </c>
      <c r="B7742" s="8" t="s">
        <v>10684</v>
      </c>
      <c r="C7742" s="8" t="s">
        <v>15524</v>
      </c>
      <c r="D7742" s="8" t="s">
        <v>15525</v>
      </c>
      <c r="E7742" s="13">
        <v>0</v>
      </c>
      <c r="F7742" s="14">
        <v>0</v>
      </c>
    </row>
    <row r="7743" spans="1:6" x14ac:dyDescent="0.3">
      <c r="A7743" s="8">
        <v>7741</v>
      </c>
      <c r="B7743" s="8" t="s">
        <v>10684</v>
      </c>
      <c r="C7743" s="8" t="s">
        <v>15526</v>
      </c>
      <c r="D7743" s="8" t="s">
        <v>15527</v>
      </c>
      <c r="E7743" s="13">
        <v>0</v>
      </c>
      <c r="F7743" s="14">
        <v>0</v>
      </c>
    </row>
    <row r="7744" spans="1:6" x14ac:dyDescent="0.3">
      <c r="A7744" s="8">
        <v>7742</v>
      </c>
      <c r="B7744" s="8" t="s">
        <v>10684</v>
      </c>
      <c r="C7744" s="8" t="s">
        <v>15528</v>
      </c>
      <c r="D7744" s="8" t="s">
        <v>15529</v>
      </c>
      <c r="E7744" s="13">
        <v>0</v>
      </c>
      <c r="F7744" s="14">
        <v>0</v>
      </c>
    </row>
    <row r="7745" spans="1:6" x14ac:dyDescent="0.3">
      <c r="A7745" s="8">
        <v>7743</v>
      </c>
      <c r="B7745" s="8" t="s">
        <v>10684</v>
      </c>
      <c r="C7745" s="8" t="s">
        <v>15530</v>
      </c>
      <c r="D7745" s="8" t="s">
        <v>15531</v>
      </c>
      <c r="E7745" s="13">
        <v>0</v>
      </c>
      <c r="F7745" s="14">
        <v>0</v>
      </c>
    </row>
    <row r="7746" spans="1:6" x14ac:dyDescent="0.3">
      <c r="A7746" s="8">
        <v>7744</v>
      </c>
      <c r="B7746" s="8" t="s">
        <v>10684</v>
      </c>
      <c r="C7746" s="8" t="s">
        <v>15532</v>
      </c>
      <c r="D7746" s="8" t="s">
        <v>15533</v>
      </c>
      <c r="E7746" s="13">
        <v>0</v>
      </c>
      <c r="F7746" s="14">
        <v>0</v>
      </c>
    </row>
    <row r="7747" spans="1:6" x14ac:dyDescent="0.3">
      <c r="A7747" s="8">
        <v>7745</v>
      </c>
      <c r="B7747" s="8" t="s">
        <v>10684</v>
      </c>
      <c r="C7747" s="8" t="s">
        <v>15534</v>
      </c>
      <c r="D7747" s="8" t="s">
        <v>15535</v>
      </c>
      <c r="E7747" s="13">
        <v>0</v>
      </c>
      <c r="F7747" s="14">
        <v>0</v>
      </c>
    </row>
    <row r="7748" spans="1:6" x14ac:dyDescent="0.3">
      <c r="A7748" s="8">
        <v>7746</v>
      </c>
      <c r="B7748" s="8" t="s">
        <v>10684</v>
      </c>
      <c r="C7748" s="8" t="s">
        <v>15536</v>
      </c>
      <c r="D7748" s="8" t="s">
        <v>15537</v>
      </c>
      <c r="E7748" s="13">
        <v>0</v>
      </c>
      <c r="F7748" s="14">
        <v>0</v>
      </c>
    </row>
    <row r="7749" spans="1:6" x14ac:dyDescent="0.3">
      <c r="A7749" s="8">
        <v>7747</v>
      </c>
      <c r="B7749" s="8" t="s">
        <v>10684</v>
      </c>
      <c r="C7749" s="8" t="s">
        <v>15538</v>
      </c>
      <c r="D7749" s="8" t="s">
        <v>15539</v>
      </c>
      <c r="E7749" s="13">
        <v>0</v>
      </c>
      <c r="F7749" s="14">
        <v>0</v>
      </c>
    </row>
    <row r="7750" spans="1:6" x14ac:dyDescent="0.3">
      <c r="A7750" s="8">
        <v>7748</v>
      </c>
      <c r="B7750" s="8" t="s">
        <v>10684</v>
      </c>
      <c r="C7750" s="8" t="s">
        <v>15540</v>
      </c>
      <c r="D7750" s="8" t="s">
        <v>15541</v>
      </c>
      <c r="E7750" s="13">
        <v>0</v>
      </c>
      <c r="F7750" s="14">
        <v>0</v>
      </c>
    </row>
    <row r="7751" spans="1:6" x14ac:dyDescent="0.3">
      <c r="A7751" s="8">
        <v>7749</v>
      </c>
      <c r="B7751" s="8" t="s">
        <v>10684</v>
      </c>
      <c r="C7751" s="8" t="s">
        <v>15542</v>
      </c>
      <c r="D7751" s="8" t="s">
        <v>15543</v>
      </c>
      <c r="E7751" s="13">
        <v>0</v>
      </c>
      <c r="F7751" s="14">
        <v>0</v>
      </c>
    </row>
    <row r="7752" spans="1:6" x14ac:dyDescent="0.3">
      <c r="A7752" s="8">
        <v>7750</v>
      </c>
      <c r="B7752" s="8" t="s">
        <v>10697</v>
      </c>
      <c r="C7752" s="8" t="s">
        <v>15544</v>
      </c>
      <c r="D7752" s="8" t="s">
        <v>15545</v>
      </c>
      <c r="E7752" s="13">
        <v>0</v>
      </c>
      <c r="F7752" s="14">
        <v>0</v>
      </c>
    </row>
    <row r="7753" spans="1:6" x14ac:dyDescent="0.3">
      <c r="A7753" s="8">
        <v>7751</v>
      </c>
      <c r="B7753" s="8" t="s">
        <v>10697</v>
      </c>
      <c r="C7753" s="8" t="s">
        <v>15546</v>
      </c>
      <c r="D7753" s="8" t="s">
        <v>15547</v>
      </c>
      <c r="E7753" s="13">
        <v>36300</v>
      </c>
      <c r="F7753" s="14">
        <v>73148</v>
      </c>
    </row>
    <row r="7754" spans="1:6" x14ac:dyDescent="0.3">
      <c r="A7754" s="8">
        <v>7752</v>
      </c>
      <c r="B7754" s="8" t="s">
        <v>10697</v>
      </c>
      <c r="C7754" s="8" t="s">
        <v>15548</v>
      </c>
      <c r="D7754" s="8" t="s">
        <v>15549</v>
      </c>
      <c r="E7754" s="13">
        <v>22000</v>
      </c>
      <c r="F7754" s="14">
        <v>43519</v>
      </c>
    </row>
    <row r="7755" spans="1:6" x14ac:dyDescent="0.3">
      <c r="A7755" s="8">
        <v>7753</v>
      </c>
      <c r="B7755" s="8" t="s">
        <v>10697</v>
      </c>
      <c r="C7755" s="8" t="s">
        <v>15550</v>
      </c>
      <c r="D7755" s="8" t="s">
        <v>15551</v>
      </c>
      <c r="E7755" s="13">
        <v>453800</v>
      </c>
      <c r="F7755" s="14">
        <v>907407</v>
      </c>
    </row>
    <row r="7756" spans="1:6" x14ac:dyDescent="0.3">
      <c r="A7756" s="8">
        <v>7754</v>
      </c>
      <c r="B7756" s="8" t="s">
        <v>10697</v>
      </c>
      <c r="C7756" s="8" t="s">
        <v>15552</v>
      </c>
      <c r="D7756" s="8" t="s">
        <v>15553</v>
      </c>
      <c r="E7756" s="13">
        <v>0</v>
      </c>
      <c r="F7756" s="14">
        <v>0</v>
      </c>
    </row>
    <row r="7757" spans="1:6" x14ac:dyDescent="0.3">
      <c r="A7757" s="8">
        <v>7755</v>
      </c>
      <c r="B7757" s="8" t="s">
        <v>10697</v>
      </c>
      <c r="C7757" s="8" t="s">
        <v>15554</v>
      </c>
      <c r="D7757" s="8" t="s">
        <v>15555</v>
      </c>
      <c r="E7757" s="13">
        <v>0</v>
      </c>
      <c r="F7757" s="14">
        <v>0</v>
      </c>
    </row>
    <row r="7758" spans="1:6" x14ac:dyDescent="0.3">
      <c r="A7758" s="8">
        <v>7756</v>
      </c>
      <c r="B7758" s="8" t="s">
        <v>10697</v>
      </c>
      <c r="C7758" s="8" t="s">
        <v>15556</v>
      </c>
      <c r="D7758" s="8" t="s">
        <v>15557</v>
      </c>
      <c r="E7758" s="13">
        <v>0</v>
      </c>
      <c r="F7758" s="14">
        <v>0</v>
      </c>
    </row>
    <row r="7759" spans="1:6" x14ac:dyDescent="0.3">
      <c r="A7759" s="8">
        <v>7757</v>
      </c>
      <c r="B7759" s="8" t="s">
        <v>10697</v>
      </c>
      <c r="C7759" s="8" t="s">
        <v>15558</v>
      </c>
      <c r="D7759" s="8" t="s">
        <v>15559</v>
      </c>
      <c r="E7759" s="13">
        <v>90000</v>
      </c>
      <c r="F7759" s="14">
        <v>179630</v>
      </c>
    </row>
    <row r="7760" spans="1:6" x14ac:dyDescent="0.3">
      <c r="A7760" s="8">
        <v>7758</v>
      </c>
      <c r="B7760" s="8" t="s">
        <v>10697</v>
      </c>
      <c r="C7760" s="8" t="s">
        <v>15560</v>
      </c>
      <c r="D7760" s="8" t="s">
        <v>15561</v>
      </c>
      <c r="E7760" s="13">
        <v>0</v>
      </c>
      <c r="F7760" s="14">
        <v>0</v>
      </c>
    </row>
    <row r="7761" spans="1:6" x14ac:dyDescent="0.3">
      <c r="A7761" s="8">
        <v>7759</v>
      </c>
      <c r="B7761" s="8" t="s">
        <v>10697</v>
      </c>
      <c r="C7761" s="8" t="s">
        <v>15562</v>
      </c>
      <c r="D7761" s="8" t="s">
        <v>15563</v>
      </c>
      <c r="E7761" s="13">
        <v>0</v>
      </c>
      <c r="F7761" s="14">
        <v>0</v>
      </c>
    </row>
    <row r="7762" spans="1:6" x14ac:dyDescent="0.3">
      <c r="A7762" s="8">
        <v>7760</v>
      </c>
      <c r="B7762" s="8" t="s">
        <v>10697</v>
      </c>
      <c r="C7762" s="8" t="s">
        <v>15564</v>
      </c>
      <c r="D7762" s="8" t="s">
        <v>15565</v>
      </c>
      <c r="E7762" s="13">
        <v>0</v>
      </c>
      <c r="F7762" s="14">
        <v>0</v>
      </c>
    </row>
    <row r="7763" spans="1:6" x14ac:dyDescent="0.3">
      <c r="A7763" s="8">
        <v>7761</v>
      </c>
      <c r="B7763" s="8" t="s">
        <v>10697</v>
      </c>
      <c r="C7763" s="8" t="s">
        <v>15566</v>
      </c>
      <c r="D7763" s="8" t="s">
        <v>15567</v>
      </c>
      <c r="E7763" s="13">
        <v>28000</v>
      </c>
      <c r="F7763" s="14">
        <v>55556</v>
      </c>
    </row>
    <row r="7764" spans="1:6" x14ac:dyDescent="0.3">
      <c r="A7764" s="8">
        <v>7762</v>
      </c>
      <c r="B7764" s="8" t="s">
        <v>10697</v>
      </c>
      <c r="C7764" s="8" t="s">
        <v>15568</v>
      </c>
      <c r="D7764" s="8" t="s">
        <v>15569</v>
      </c>
      <c r="E7764" s="13">
        <v>212963</v>
      </c>
      <c r="F7764" s="14">
        <v>425926</v>
      </c>
    </row>
    <row r="7765" spans="1:6" x14ac:dyDescent="0.3">
      <c r="A7765" s="8">
        <v>7763</v>
      </c>
      <c r="B7765" s="8" t="s">
        <v>10697</v>
      </c>
      <c r="C7765" s="8" t="s">
        <v>15570</v>
      </c>
      <c r="D7765" s="8" t="s">
        <v>15571</v>
      </c>
      <c r="E7765" s="13">
        <v>0</v>
      </c>
      <c r="F7765" s="14">
        <v>0</v>
      </c>
    </row>
    <row r="7766" spans="1:6" x14ac:dyDescent="0.3">
      <c r="A7766" s="8">
        <v>7764</v>
      </c>
      <c r="B7766" s="8" t="s">
        <v>10697</v>
      </c>
      <c r="C7766" s="8" t="s">
        <v>15572</v>
      </c>
      <c r="D7766" s="8" t="s">
        <v>15573</v>
      </c>
      <c r="E7766" s="13">
        <v>0</v>
      </c>
      <c r="F7766" s="14">
        <v>0</v>
      </c>
    </row>
    <row r="7767" spans="1:6" x14ac:dyDescent="0.3">
      <c r="A7767" s="8">
        <v>7765</v>
      </c>
      <c r="B7767" s="8" t="s">
        <v>10928</v>
      </c>
      <c r="C7767" s="8" t="s">
        <v>15574</v>
      </c>
      <c r="D7767" s="8" t="s">
        <v>15575</v>
      </c>
      <c r="E7767" s="13">
        <v>0</v>
      </c>
      <c r="F7767" s="14">
        <v>0</v>
      </c>
    </row>
    <row r="7768" spans="1:6" x14ac:dyDescent="0.3">
      <c r="A7768" s="8">
        <v>7766</v>
      </c>
      <c r="B7768" s="8" t="s">
        <v>10928</v>
      </c>
      <c r="C7768" s="8" t="s">
        <v>15576</v>
      </c>
      <c r="D7768" s="8" t="s">
        <v>15577</v>
      </c>
      <c r="E7768" s="13">
        <v>0</v>
      </c>
      <c r="F7768" s="14">
        <v>0</v>
      </c>
    </row>
  </sheetData>
  <autoFilter ref="A2:F7768">
    <sortState ref="A3:F7768">
      <sortCondition ref="A2:A776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 (8%)</vt:lpstr>
      <vt:lpstr>GIÁ 1.4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2025-08-05T06:41:33Z</dcterms:modified>
</cp:coreProperties>
</file>