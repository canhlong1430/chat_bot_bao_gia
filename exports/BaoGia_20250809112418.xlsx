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1300" yWindow="-120" windowWidth="19710" windowHeight="1176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3">
    <numFmt numFmtId="164" formatCode="_(* #,##0_);_(* \(#,##0\);_(* &quot;-&quot;??_);_(@_)"/>
    <numFmt numFmtId="165" formatCode="###\ ###\ ###\ ###\ ###"/>
    <numFmt numFmtId="166" formatCode="_(* #,##0.0_);_(* \(#,##0.0\);_(* &quot;-&quot;??_);_(@_)"/>
  </numFmts>
  <fonts count="14">
    <font>
      <name val="Aptos Narrow"/>
      <family val="2"/>
      <color theme="1"/>
      <sz val="11"/>
      <scheme val="minor"/>
    </font>
    <font>
      <name val="Aptos Narrow"/>
      <family val="2"/>
      <color theme="1"/>
      <sz val="11"/>
      <scheme val="minor"/>
    </font>
    <font>
      <name val="Arial"/>
      <family val="2"/>
      <sz val="10"/>
    </font>
    <font>
      <name val="Times New Roman"/>
      <family val="1"/>
      <b val="1"/>
      <sz val="12"/>
    </font>
    <font>
      <name val="Times New Roman"/>
      <family val="1"/>
      <sz val="12"/>
    </font>
    <font>
      <name val="Times New Roman"/>
      <family val="1"/>
      <b val="1"/>
      <sz val="24"/>
    </font>
    <font>
      <name val="Times New Roman"/>
      <family val="1"/>
      <i val="1"/>
      <sz val="12"/>
    </font>
    <font>
      <name val="Times New Roman"/>
      <family val="1"/>
      <i val="1"/>
      <sz val="14"/>
    </font>
    <font>
      <name val="Times New Roman"/>
      <family val="1"/>
      <sz val="13"/>
    </font>
    <font>
      <name val="Times New Roman"/>
      <family val="1"/>
      <b val="1"/>
      <sz val="13"/>
    </font>
    <font>
      <name val="Arial"/>
      <family val="1"/>
      <b val="1"/>
      <sz val="10"/>
    </font>
    <font>
      <name val="Arial"/>
      <family val="1"/>
      <sz val="10"/>
    </font>
    <font>
      <name val="Times New Roman"/>
      <charset val="163"/>
      <family val="1"/>
      <i val="1"/>
      <sz val="13"/>
    </font>
    <font>
      <name val="Times New Roman"/>
      <family val="1"/>
      <sz val="1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4">
    <xf numFmtId="0" fontId="1" fillId="0" borderId="0"/>
    <xf numFmtId="43" fontId="1" fillId="0" borderId="0"/>
    <xf numFmtId="0" fontId="2" fillId="0" borderId="0"/>
    <xf numFmtId="43" fontId="2" fillId="0" borderId="0"/>
  </cellStyleXfs>
  <cellXfs count="91">
    <xf numFmtId="0" fontId="0" fillId="0" borderId="0" pivotButton="0" quotePrefix="0" xfId="0"/>
    <xf numFmtId="49" fontId="4" fillId="0" borderId="2" applyAlignment="1" pivotButton="0" quotePrefix="0" xfId="2">
      <alignment horizontal="center" vertical="center" wrapText="1"/>
    </xf>
    <xf numFmtId="49" fontId="4" fillId="0" borderId="7" applyAlignment="1" pivotButton="0" quotePrefix="0" xfId="2">
      <alignment horizontal="center" vertical="center" wrapText="1"/>
    </xf>
    <xf numFmtId="0" fontId="8" fillId="0" borderId="2" applyAlignment="1" pivotButton="0" quotePrefix="0" xfId="2">
      <alignment horizontal="center" vertical="center" wrapText="1"/>
    </xf>
    <xf numFmtId="0" fontId="8" fillId="0" borderId="2" applyAlignment="1" pivotButton="0" quotePrefix="0" xfId="0">
      <alignment horizontal="left" vertical="center" wrapText="1"/>
    </xf>
    <xf numFmtId="164" fontId="8" fillId="0" borderId="8" applyAlignment="1" pivotButton="0" quotePrefix="0" xfId="1">
      <alignment horizontal="right" vertical="center"/>
    </xf>
    <xf numFmtId="164" fontId="8" fillId="0" borderId="4" applyAlignment="1" pivotButton="0" quotePrefix="0" xfId="3">
      <alignment vertical="center" wrapText="1"/>
    </xf>
    <xf numFmtId="0" fontId="4" fillId="0" borderId="2" applyAlignment="1" pivotButton="0" quotePrefix="0" xfId="2">
      <alignment horizontal="center" vertical="center" wrapText="1"/>
    </xf>
    <xf numFmtId="164" fontId="8" fillId="0" borderId="7" applyAlignment="1" pivotButton="0" quotePrefix="0" xfId="3">
      <alignment vertical="center" wrapText="1"/>
    </xf>
    <xf numFmtId="164" fontId="8" fillId="0" borderId="3" applyAlignment="1" pivotButton="0" quotePrefix="0" xfId="3">
      <alignment vertical="center" wrapText="1"/>
    </xf>
    <xf numFmtId="164" fontId="8" fillId="0" borderId="2" applyAlignment="1" pivotButton="0" quotePrefix="0" xfId="3">
      <alignment vertical="center" wrapText="1"/>
    </xf>
    <xf numFmtId="165" fontId="9" fillId="0" borderId="7" applyAlignment="1" pivotButton="0" quotePrefix="0" xfId="2">
      <alignment vertical="center"/>
    </xf>
    <xf numFmtId="0" fontId="8" fillId="0" borderId="0" applyAlignment="1" pivotButton="0" quotePrefix="0" xfId="2">
      <alignment vertical="center"/>
    </xf>
    <xf numFmtId="0" fontId="8" fillId="0" borderId="0" applyAlignment="1" pivotButton="0" quotePrefix="0" xfId="2">
      <alignment horizontal="center" vertical="center" wrapText="1"/>
    </xf>
    <xf numFmtId="0" fontId="8" fillId="0" borderId="0" applyAlignment="1" pivotButton="0" quotePrefix="0" xfId="2">
      <alignment horizontal="left" vertical="center" wrapText="1"/>
    </xf>
    <xf numFmtId="0" fontId="8" fillId="0" borderId="0" applyAlignment="1" pivotButton="0" quotePrefix="0" xfId="2">
      <alignment horizontal="center" vertical="center"/>
    </xf>
    <xf numFmtId="0" fontId="8" fillId="0" borderId="0" applyAlignment="1" pivotButton="0" quotePrefix="0" xfId="2">
      <alignment horizontal="left" vertical="center"/>
    </xf>
    <xf numFmtId="49" fontId="8" fillId="0" borderId="0" applyAlignment="1" pivotButton="0" quotePrefix="0" xfId="2">
      <alignment horizontal="left" vertical="center" wrapText="1"/>
    </xf>
    <xf numFmtId="0" fontId="8" fillId="0" borderId="0" applyAlignment="1" pivotButton="0" quotePrefix="0" xfId="2">
      <alignment vertical="center" wrapText="1"/>
    </xf>
    <xf numFmtId="0" fontId="4" fillId="0" borderId="0" pivotButton="0" quotePrefix="0" xfId="2"/>
    <xf numFmtId="49" fontId="4" fillId="0" borderId="0" pivotButton="0" quotePrefix="0" xfId="2"/>
    <xf numFmtId="0" fontId="6" fillId="0" borderId="0" applyAlignment="1" pivotButton="0" quotePrefix="0" xfId="2">
      <alignment wrapText="1"/>
    </xf>
    <xf numFmtId="49" fontId="6" fillId="0" borderId="0" applyAlignment="1" pivotButton="0" quotePrefix="0" xfId="2">
      <alignment wrapText="1"/>
    </xf>
    <xf numFmtId="165" fontId="4" fillId="0" borderId="0" pivotButton="0" quotePrefix="0" xfId="2"/>
    <xf numFmtId="0" fontId="13" fillId="0" borderId="0" pivotButton="0" quotePrefix="0" xfId="2"/>
    <xf numFmtId="49" fontId="13" fillId="0" borderId="0" pivotButton="0" quotePrefix="0" xfId="2"/>
    <xf numFmtId="165" fontId="13" fillId="0" borderId="0" pivotButton="0" quotePrefix="0" xfId="2"/>
    <xf numFmtId="49" fontId="4" fillId="0" borderId="3" applyAlignment="1" pivotButton="0" quotePrefix="0" xfId="3">
      <alignment horizontal="center" vertical="center" wrapText="1"/>
    </xf>
    <xf numFmtId="49" fontId="4" fillId="0" borderId="7" applyAlignment="1" pivotButton="0" quotePrefix="0" xfId="3">
      <alignment horizontal="center" vertical="center" wrapText="1"/>
    </xf>
    <xf numFmtId="49" fontId="4" fillId="0" borderId="2" applyAlignment="1" pivotButton="0" quotePrefix="0" xfId="3">
      <alignment horizontal="center" vertical="center" wrapText="1"/>
    </xf>
    <xf numFmtId="166" fontId="8" fillId="0" borderId="4" applyAlignment="1" pivotButton="0" quotePrefix="0" xfId="3">
      <alignment horizontal="center" vertical="center" wrapText="1"/>
    </xf>
    <xf numFmtId="164" fontId="8" fillId="0" borderId="2" applyAlignment="1" pivotButton="0" quotePrefix="0" xfId="3">
      <alignment vertical="center"/>
    </xf>
    <xf numFmtId="164" fontId="8" fillId="0" borderId="7" applyAlignment="1" pivotButton="0" quotePrefix="0" xfId="3">
      <alignment vertical="center"/>
    </xf>
    <xf numFmtId="164" fontId="9" fillId="0" borderId="3" applyAlignment="1" pivotButton="0" quotePrefix="0" xfId="3">
      <alignment vertical="center"/>
    </xf>
    <xf numFmtId="164" fontId="9" fillId="0" borderId="7" applyAlignment="1" pivotButton="0" quotePrefix="0" xfId="3">
      <alignment vertical="center"/>
    </xf>
    <xf numFmtId="164" fontId="9" fillId="0" borderId="2" applyAlignment="1" pivotButton="0" quotePrefix="0" xfId="3">
      <alignment vertical="center"/>
    </xf>
    <xf numFmtId="164" fontId="8" fillId="0" borderId="0" applyAlignment="1" pivotButton="0" quotePrefix="0" xfId="3">
      <alignment horizontal="left" vertical="center"/>
    </xf>
    <xf numFmtId="164" fontId="8" fillId="0" borderId="0" pivotButton="0" quotePrefix="0" xfId="3"/>
    <xf numFmtId="164" fontId="6" fillId="0" borderId="0" applyAlignment="1" pivotButton="0" quotePrefix="0" xfId="3">
      <alignment horizontal="left" wrapText="1"/>
    </xf>
    <xf numFmtId="164" fontId="4" fillId="0" borderId="0" pivotButton="0" quotePrefix="0" xfId="3"/>
    <xf numFmtId="164" fontId="13" fillId="0" borderId="0" pivotButton="0" quotePrefix="0" xfId="3"/>
    <xf numFmtId="0" fontId="8" fillId="0" borderId="0" pivotButton="0" quotePrefix="0" xfId="2"/>
    <xf numFmtId="164" fontId="4" fillId="0" borderId="0" pivotButton="0" quotePrefix="0" xfId="3"/>
    <xf numFmtId="0" fontId="8" fillId="0" borderId="0" applyAlignment="1" pivotButton="0" quotePrefix="0" xfId="2">
      <alignment horizontal="left" vertical="center"/>
    </xf>
    <xf numFmtId="0" fontId="9" fillId="0" borderId="0" applyAlignment="1" pivotButton="0" quotePrefix="0" xfId="2">
      <alignment horizontal="center" vertical="center"/>
    </xf>
    <xf numFmtId="0" fontId="8" fillId="0" borderId="0" applyAlignment="1" pivotButton="0" quotePrefix="0" xfId="2">
      <alignment horizontal="left" vertical="top" wrapText="1"/>
    </xf>
    <xf numFmtId="0" fontId="8" fillId="0" borderId="0" applyAlignment="1" pivotButton="0" quotePrefix="0" xfId="2">
      <alignment horizontal="left" vertical="top"/>
    </xf>
    <xf numFmtId="0" fontId="8" fillId="0" borderId="0" applyAlignment="1" pivotButton="0" quotePrefix="0" xfId="2">
      <alignment horizontal="left" vertical="center" wrapText="1"/>
    </xf>
    <xf numFmtId="49" fontId="4" fillId="3" borderId="7" applyAlignment="1" pivotButton="0" quotePrefix="0" xfId="2">
      <alignment horizontal="center" vertical="center" wrapText="1"/>
    </xf>
    <xf numFmtId="49" fontId="4" fillId="3" borderId="2" applyAlignment="1" pivotButton="0" quotePrefix="0" xfId="2">
      <alignment horizontal="center" vertical="center" wrapText="1"/>
    </xf>
    <xf numFmtId="0" fontId="9" fillId="0" borderId="6" applyAlignment="1" pivotButton="0" quotePrefix="0" xfId="2">
      <alignment horizontal="center" vertical="center" wrapText="1"/>
    </xf>
    <xf numFmtId="0" fontId="9" fillId="0" borderId="9" applyAlignment="1" pivotButton="0" quotePrefix="0" xfId="2">
      <alignment horizontal="center" vertical="center" wrapText="1"/>
    </xf>
    <xf numFmtId="0" fontId="8" fillId="0" borderId="10" applyAlignment="1" pivotButton="0" quotePrefix="0" xfId="2">
      <alignment horizontal="left" vertical="center" wrapText="1"/>
    </xf>
    <xf numFmtId="0" fontId="8" fillId="0" borderId="10" applyAlignment="1" pivotButton="0" quotePrefix="0" xfId="2">
      <alignment horizontal="left" vertical="center"/>
    </xf>
    <xf numFmtId="164" fontId="12" fillId="0" borderId="0" applyAlignment="1" pivotButton="0" quotePrefix="0" xfId="3">
      <alignment horizontal="center" vertical="center"/>
    </xf>
    <xf numFmtId="0" fontId="4" fillId="0" borderId="0" applyAlignment="1" pivotButton="0" quotePrefix="0" xfId="2">
      <alignment horizontal="center" vertical="center"/>
    </xf>
    <xf numFmtId="0" fontId="4" fillId="0" borderId="0" applyAlignment="1" pivotButton="0" quotePrefix="0" xfId="2">
      <alignment horizontal="left" vertical="top" wrapText="1"/>
    </xf>
    <xf numFmtId="0" fontId="6" fillId="0" borderId="0" applyAlignment="1" pivotButton="0" quotePrefix="0" xfId="2">
      <alignment horizontal="left" vertical="top" wrapText="1"/>
    </xf>
    <xf numFmtId="49" fontId="7" fillId="0" borderId="0" applyAlignment="1" pivotButton="0" quotePrefix="0" xfId="2">
      <alignment horizontal="left" vertical="center" wrapText="1"/>
    </xf>
    <xf numFmtId="49" fontId="6" fillId="0" borderId="1" applyAlignment="1" pivotButton="0" quotePrefix="0" xfId="2">
      <alignment horizontal="right" vertical="center" wrapText="1"/>
    </xf>
    <xf numFmtId="49" fontId="4" fillId="0" borderId="2" applyAlignment="1" pivotButton="0" quotePrefix="0" xfId="2">
      <alignment horizontal="center" vertical="center" wrapText="1"/>
    </xf>
    <xf numFmtId="49" fontId="4" fillId="0" borderId="3" applyAlignment="1" pivotButton="0" quotePrefix="0" xfId="2">
      <alignment horizontal="center" vertical="center" wrapText="1"/>
    </xf>
    <xf numFmtId="49" fontId="4" fillId="0" borderId="4" applyAlignment="1" pivotButton="0" quotePrefix="0" xfId="3">
      <alignment horizontal="center" vertical="center" wrapText="1"/>
    </xf>
    <xf numFmtId="49" fontId="4" fillId="2" borderId="5" applyAlignment="1" pivotButton="0" quotePrefix="0" xfId="2">
      <alignment horizontal="center" vertical="center" wrapText="1"/>
    </xf>
    <xf numFmtId="49" fontId="4" fillId="2" borderId="6" applyAlignment="1" pivotButton="0" quotePrefix="0" xfId="2">
      <alignment horizontal="center" vertical="center" wrapText="1"/>
    </xf>
    <xf numFmtId="0" fontId="3" fillId="0" borderId="0" applyAlignment="1" pivotButton="0" quotePrefix="0" xfId="2">
      <alignment horizontal="center" vertical="center"/>
    </xf>
    <xf numFmtId="0" fontId="4" fillId="0" borderId="0" applyAlignment="1" pivotButton="0" quotePrefix="0" xfId="2">
      <alignment horizontal="center" vertical="center"/>
    </xf>
    <xf numFmtId="0" fontId="5" fillId="0" borderId="0" applyAlignment="1" pivotButton="0" quotePrefix="0" xfId="2">
      <alignment horizontal="center" vertical="center"/>
    </xf>
    <xf numFmtId="164" fontId="13" fillId="0" borderId="0" pivotButton="0" quotePrefix="0" xfId="3"/>
    <xf numFmtId="165" fontId="13" fillId="0" borderId="0" pivotButton="0" quotePrefix="0" xfId="2"/>
    <xf numFmtId="0" fontId="0" fillId="0" borderId="1" pivotButton="0" quotePrefix="0" xfId="0"/>
    <xf numFmtId="0" fontId="0" fillId="0" borderId="6" pivotButton="0" quotePrefix="0" xfId="0"/>
    <xf numFmtId="0" fontId="0" fillId="0" borderId="8" pivotButton="0" quotePrefix="0" xfId="0"/>
    <xf numFmtId="0" fontId="0" fillId="0" borderId="15" pivotButton="0" quotePrefix="0" xfId="0"/>
    <xf numFmtId="0" fontId="0" fillId="0" borderId="16" pivotButton="0" quotePrefix="0" xfId="0"/>
    <xf numFmtId="0" fontId="0" fillId="0" borderId="18" pivotButton="0" quotePrefix="0" xfId="0"/>
    <xf numFmtId="166" fontId="8" fillId="0" borderId="4" applyAlignment="1" pivotButton="0" quotePrefix="0" xfId="3">
      <alignment horizontal="center" vertical="center" wrapText="1"/>
    </xf>
    <xf numFmtId="164" fontId="8" fillId="0" borderId="8" applyAlignment="1" pivotButton="0" quotePrefix="0" xfId="1">
      <alignment horizontal="right" vertical="center"/>
    </xf>
    <xf numFmtId="164" fontId="8" fillId="0" borderId="4" applyAlignment="1" pivotButton="0" quotePrefix="0" xfId="3">
      <alignment vertical="center" wrapText="1"/>
    </xf>
    <xf numFmtId="164" fontId="8" fillId="0" borderId="2" applyAlignment="1" pivotButton="0" quotePrefix="0" xfId="3">
      <alignment vertical="center"/>
    </xf>
    <xf numFmtId="164" fontId="8" fillId="0" borderId="7" applyAlignment="1" pivotButton="0" quotePrefix="0" xfId="3">
      <alignment vertical="center" wrapText="1"/>
    </xf>
    <xf numFmtId="164" fontId="8" fillId="0" borderId="3" applyAlignment="1" pivotButton="0" quotePrefix="0" xfId="3">
      <alignment vertical="center" wrapText="1"/>
    </xf>
    <xf numFmtId="164" fontId="8" fillId="0" borderId="2" applyAlignment="1" pivotButton="0" quotePrefix="0" xfId="3">
      <alignment vertical="center" wrapText="1"/>
    </xf>
    <xf numFmtId="165" fontId="9" fillId="0" borderId="7" applyAlignment="1" pivotButton="0" quotePrefix="0" xfId="2">
      <alignment vertical="center" wrapText="1"/>
    </xf>
    <xf numFmtId="164" fontId="9" fillId="0" borderId="3" applyAlignment="1" pivotButton="0" quotePrefix="0" xfId="3">
      <alignment vertical="center" wrapText="1"/>
    </xf>
    <xf numFmtId="164" fontId="9" fillId="0" borderId="7" applyAlignment="1" pivotButton="0" quotePrefix="0" xfId="3">
      <alignment vertical="center" wrapText="1"/>
    </xf>
    <xf numFmtId="164" fontId="9" fillId="0" borderId="2" applyAlignment="1" pivotButton="0" quotePrefix="0" xfId="3">
      <alignment vertical="center" wrapText="1"/>
    </xf>
    <xf numFmtId="164" fontId="8" fillId="0" borderId="0" applyAlignment="1" pivotButton="0" quotePrefix="0" xfId="3">
      <alignment horizontal="left" vertical="center" wrapText="1"/>
    </xf>
    <xf numFmtId="164" fontId="8" fillId="0" borderId="0" applyAlignment="1" pivotButton="0" quotePrefix="0" xfId="3">
      <alignment wrapText="1"/>
    </xf>
    <xf numFmtId="164" fontId="12" fillId="0" borderId="0" applyAlignment="1" pivotButton="0" quotePrefix="0" xfId="3">
      <alignment horizontal="center" vertical="center" wrapText="1"/>
    </xf>
    <xf numFmtId="0" fontId="9" fillId="0" borderId="0" applyAlignment="1" pivotButton="0" quotePrefix="0" xfId="2">
      <alignment horizontal="center" vertical="center" wrapText="1"/>
    </xf>
  </cellXfs>
  <cellStyles count="4">
    <cellStyle name="Normal" xfId="0" builtinId="0"/>
    <cellStyle name="Comma" xfId="1" builtinId="3"/>
    <cellStyle name="Normal 2 2" xfId="2"/>
    <cellStyle name="Comma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524000" cy="132397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26"/>
  <sheetViews>
    <sheetView tabSelected="1" topLeftCell="A11" workbookViewId="0">
      <selection activeCell="H22" sqref="H22"/>
    </sheetView>
  </sheetViews>
  <sheetFormatPr baseColWidth="8" defaultRowHeight="15"/>
  <cols>
    <col width="5.140625" customWidth="1" style="24" min="1" max="1"/>
    <col width="29" customWidth="1" style="24" min="2" max="2"/>
    <col width="30.85546875" customWidth="1" style="25" min="3" max="3"/>
    <col width="13" customWidth="1" style="68" min="4" max="4"/>
    <col width="16.28515625" customWidth="1" style="69" min="5" max="5"/>
    <col width="18.7109375" customWidth="1" style="68" min="6" max="6"/>
    <col width="16.28515625" customWidth="1" style="68" min="7" max="7"/>
    <col width="18.7109375" customWidth="1" style="68" min="8" max="8"/>
  </cols>
  <sheetData>
    <row r="1"/>
    <row r="2"/>
    <row r="3" ht="18.75" customHeight="1">
      <c r="A3" s="65" t="inlineStr">
        <is>
          <t>CN CÔNG TY CỔ PHẦN BÓNG ĐÈN PHÍCH NƯỚC RẠNG ĐÔNG Tại BIÊN HÒA</t>
        </is>
      </c>
    </row>
    <row r="4" ht="25.5" customHeight="1">
      <c r="A4" s="66" t="inlineStr">
        <is>
          <t>Địa chỉ: Số 14A-18 KDC Mở Rộng, Phường An Bình, Thành Phố Biên Hòa, Đồng Nai</t>
        </is>
      </c>
    </row>
    <row r="5" ht="19.5" customHeight="1">
      <c r="A5" s="65" t="inlineStr">
        <is>
          <t xml:space="preserve">Website: www.rangdong.com.vn   </t>
        </is>
      </c>
    </row>
    <row r="6" ht="22.5" customHeight="1">
      <c r="A6" s="66" t="inlineStr">
        <is>
          <t>Điện thoại: 0372670615   Mail: luuvantuan2794@gmail.com</t>
        </is>
      </c>
    </row>
    <row r="7" ht="21" customHeight="1">
      <c r="A7" s="66" t="inlineStr">
        <is>
          <t>Mã số thuế: 0101 526 991-005</t>
        </is>
      </c>
    </row>
    <row r="8" ht="36" customHeight="1">
      <c r="A8" s="67" t="inlineStr">
        <is>
          <t>BẢNG BÁO GIÁ SẢN PHẨM</t>
        </is>
      </c>
    </row>
    <row r="9" ht="24.75" customHeight="1">
      <c r="A9" s="66" t="n"/>
    </row>
    <row r="10" ht="180.75" customHeight="1">
      <c r="A10" s="56" t="inlineStr">
        <is>
          <t>Kính gửi : …........................................................................................
- Địa chỉ : ............................................................................................
- Người nhận : …................................................................................
- Điện thoại : …..................................................................................
- Email : .............................................................................................
- Tên dự án : .......................................................................................</t>
        </is>
      </c>
      <c r="E10" s="56" t="inlineStr">
        <is>
          <t>Nơi gửi : CN Công ty CP Bóng đèn Phích nước Rạng Đông tại Biên Hoà
- Địa chỉ : 14A-18 KDC Mở rộng, P.An Bình, Biên Hoà, Đồng Nai
- Người gửi : Lưu Văn Tuấn
- Bộ Phận : Phòng Dự Án
- Điện thoại : 0372670615
- Email : luuvantuan2794@gmail.com</t>
        </is>
      </c>
    </row>
    <row r="11" ht="45.75" customHeight="1">
      <c r="A11" s="58" t="inlineStr">
        <is>
          <t>Trước tiên, Chúng tôi rất cảm ơn quý khách đã quan tâm đến sản phẩm và dịch vụ của Công ty. Dựa theo yêu cầu của Quý khách hàng, Chúng tôi hân hạnh được đề nghị báo giá sản phẩm như dưới đây:</t>
        </is>
      </c>
    </row>
    <row r="12" ht="23.25" customHeight="1">
      <c r="A12" s="59" t="inlineStr">
        <is>
          <t>Đvt: đồng /đvt; chưa có 8% VAT</t>
        </is>
      </c>
      <c r="B12" s="70" t="n"/>
      <c r="C12" s="70" t="n"/>
      <c r="D12" s="70" t="n"/>
      <c r="E12" s="70" t="n"/>
      <c r="F12" s="70" t="n"/>
      <c r="G12" s="70" t="n"/>
      <c r="H12" s="70" t="n"/>
    </row>
    <row r="13" ht="15.75" customHeight="1">
      <c r="A13" s="60" t="inlineStr">
        <is>
          <t>TT</t>
        </is>
      </c>
      <c r="B13" s="61" t="inlineStr">
        <is>
          <t>Hình ảnh</t>
        </is>
      </c>
      <c r="C13" s="60" t="inlineStr">
        <is>
          <t>Tên sản phẩm</t>
        </is>
      </c>
      <c r="D13" s="62" t="inlineStr">
        <is>
          <t>Số lượng
(cái)</t>
        </is>
      </c>
      <c r="E13" s="63" t="inlineStr">
        <is>
          <t>Giá bán niêm yết</t>
        </is>
      </c>
      <c r="F13" s="71" t="n"/>
      <c r="G13" s="48" t="inlineStr">
        <is>
          <t>Giá bán xin duyệt cho 
Quý Khách hàng</t>
        </is>
      </c>
      <c r="H13" s="72" t="n"/>
    </row>
    <row r="14" ht="31.5" customHeight="1">
      <c r="A14" s="73" t="n"/>
      <c r="B14" s="74" t="n"/>
      <c r="C14" s="73" t="n"/>
      <c r="D14" s="75" t="n"/>
      <c r="E14" s="2" t="inlineStr">
        <is>
          <t>Đơn giá</t>
        </is>
      </c>
      <c r="F14" s="27" t="inlineStr">
        <is>
          <t>Thành tiền 
(đồng)</t>
        </is>
      </c>
      <c r="G14" s="28" t="inlineStr">
        <is>
          <t>Đơn giá</t>
        </is>
      </c>
      <c r="H14" s="29" t="inlineStr">
        <is>
          <t>Thành tiền
 (đồng)</t>
        </is>
      </c>
    </row>
    <row r="15" ht="16.5" customHeight="1">
      <c r="A15" s="60" t="n">
        <v>1</v>
      </c>
      <c r="B15" s="3" t="n"/>
      <c r="C15" s="4" t="inlineStr">
        <is>
          <t>Đèn LED Downlight AT04 90/5W 6500K SS</t>
        </is>
      </c>
      <c r="D15" s="76" t="n">
        <v>5</v>
      </c>
      <c r="E15" s="77" t="n">
        <v>129630</v>
      </c>
      <c r="F15" s="78" t="n">
        <v>648150</v>
      </c>
      <c r="G15" s="77" t="n">
        <v>65000</v>
      </c>
      <c r="H15" s="79" t="n">
        <v>325000</v>
      </c>
    </row>
    <row r="16" ht="16.5" customHeight="1">
      <c r="A16" s="60" t="n">
        <v>2</v>
      </c>
      <c r="B16" s="3" t="n"/>
      <c r="C16" s="4" t="inlineStr">
        <is>
          <t>Đèn LED Downlight đổi màu AT20 90/10W</t>
        </is>
      </c>
      <c r="D16" s="76" t="n">
        <v>10</v>
      </c>
      <c r="E16" s="77" t="n">
        <v>166667</v>
      </c>
      <c r="F16" s="78" t="n">
        <v>1666670</v>
      </c>
      <c r="G16" s="77" t="n">
        <v>83200</v>
      </c>
      <c r="H16" s="79" t="n">
        <v>832000</v>
      </c>
    </row>
    <row r="17" ht="16.5" customHeight="1">
      <c r="A17" s="60" t="n">
        <v>3</v>
      </c>
      <c r="B17" s="3" t="n"/>
      <c r="C17" s="4" t="inlineStr">
        <is>
          <t>Đèn LED Panel P06 320x1280/50W 6500K (Nổi trần)</t>
        </is>
      </c>
      <c r="D17" s="76" t="n">
        <v>10</v>
      </c>
      <c r="E17" s="77" t="n">
        <v>962037</v>
      </c>
      <c r="F17" s="78" t="n">
        <v>9620370</v>
      </c>
      <c r="G17" s="77" t="n">
        <v>481000</v>
      </c>
      <c r="H17" s="79" t="n">
        <v>4810000</v>
      </c>
    </row>
    <row r="18" ht="16.5" customHeight="1">
      <c r="A18" s="60" t="n">
        <v>4</v>
      </c>
      <c r="B18" s="3" t="n"/>
      <c r="C18" s="4" t="inlineStr">
        <is>
          <t>Đèn LED ốp trần LN05 220/14W 6500K SS</t>
        </is>
      </c>
      <c r="D18" s="76" t="n">
        <v>30</v>
      </c>
      <c r="E18" s="77" t="n">
        <v>246296</v>
      </c>
      <c r="F18" s="78" t="n">
        <v>7388880</v>
      </c>
      <c r="G18" s="77" t="n">
        <v>123000</v>
      </c>
      <c r="H18" s="79" t="n">
        <v>3690000</v>
      </c>
    </row>
    <row r="19">
      <c r="A19" s="7" t="n"/>
      <c r="B19" s="51" t="inlineStr">
        <is>
          <t>Tổng cộng</t>
        </is>
      </c>
      <c r="C19" s="51" t="n"/>
      <c r="D19" s="51" t="n"/>
      <c r="E19" s="80" t="n"/>
      <c r="F19" s="81">
        <f>SUM(F15:F18)</f>
        <v/>
      </c>
      <c r="G19" s="80" t="n"/>
      <c r="H19" s="82">
        <f>SUM(H15:H18)</f>
        <v/>
      </c>
    </row>
    <row r="20">
      <c r="A20" s="7" t="n"/>
      <c r="B20" s="51" t="inlineStr">
        <is>
          <t>Thuế GTGT 8%</t>
        </is>
      </c>
      <c r="C20" s="51" t="n"/>
      <c r="D20" s="51" t="n"/>
      <c r="E20" s="80" t="n"/>
      <c r="F20" s="81">
        <f>F19*8%</f>
        <v/>
      </c>
      <c r="G20" s="80" t="n"/>
      <c r="H20" s="82">
        <f>H19*8%</f>
        <v/>
      </c>
    </row>
    <row r="21" ht="16.5" customHeight="1">
      <c r="A21" s="7" t="n"/>
      <c r="B21" s="51" t="inlineStr">
        <is>
          <t>Tổng cộng tiền thanh toán</t>
        </is>
      </c>
      <c r="C21" s="51" t="n"/>
      <c r="D21" s="51" t="n"/>
      <c r="E21" s="83" t="n"/>
      <c r="F21" s="84">
        <f>F19+F20</f>
        <v/>
      </c>
      <c r="G21" s="85" t="n"/>
      <c r="H21" s="86">
        <f>H19+H20</f>
        <v/>
      </c>
    </row>
    <row r="22">
      <c r="A22" s="52" t="inlineStr">
        <is>
          <t xml:space="preserve">Ghi chú:   </t>
        </is>
      </c>
      <c r="B22" s="52" t="n"/>
      <c r="C22" s="52" t="n"/>
      <c r="D22" s="18" t="n"/>
      <c r="E22" s="18" t="n"/>
      <c r="F22" s="87" t="n"/>
      <c r="G22" s="88" t="n"/>
      <c r="H22" s="88" t="n"/>
    </row>
    <row r="23">
      <c r="A23" s="13" t="inlineStr">
        <is>
          <t>*</t>
        </is>
      </c>
      <c r="B23" s="47" t="inlineStr">
        <is>
          <t>Hiệu lực báo giá: 07 ngày</t>
        </is>
      </c>
      <c r="C23" s="47" t="n"/>
      <c r="D23" s="47" t="n"/>
      <c r="E23" s="47" t="n"/>
      <c r="F23" s="89" t="inlineStr">
        <is>
          <t>Biên Hòa, ngày      tháng     năm 2025</t>
        </is>
      </c>
      <c r="G23" s="89" t="n"/>
      <c r="H23" s="89" t="n"/>
    </row>
    <row r="24" ht="16.5" customHeight="1">
      <c r="A24" s="13" t="inlineStr">
        <is>
          <t>*</t>
        </is>
      </c>
      <c r="B24" s="47" t="inlineStr">
        <is>
          <t xml:space="preserve">Hình thức thanh toán: Thanh toán trước 100% giá trị đơn hàng </t>
        </is>
      </c>
      <c r="C24" s="47" t="n"/>
      <c r="D24" s="47" t="n"/>
      <c r="E24" s="47" t="n"/>
      <c r="F24" s="90" t="inlineStr">
        <is>
          <t>Xác nhận báo giá</t>
        </is>
      </c>
      <c r="G24" s="90" t="n"/>
      <c r="H24" s="90" t="n"/>
    </row>
    <row r="25" ht="40" customHeight="1">
      <c r="A25" s="13" t="inlineStr">
        <is>
          <t>*</t>
        </is>
      </c>
      <c r="B25" s="45" t="inlineStr">
        <is>
          <t>Tên đơn vị: Chi Nhánh công ty cổ phần Bóng đèn phích nước Rạng Đông Tại Biên Hòa
Tài khoản    : 050002941950  Ngân hàng Sacombank PGD Biên Hoà</t>
        </is>
      </c>
      <c r="C25" s="45" t="n"/>
      <c r="D25" s="45" t="n"/>
      <c r="E25" s="45" t="n"/>
      <c r="F25" s="13" t="n"/>
      <c r="G25" s="13" t="n"/>
      <c r="H25" s="13" t="n"/>
    </row>
    <row r="26" ht="50" customHeight="1">
      <c r="A26" s="13" t="inlineStr">
        <is>
          <t>*</t>
        </is>
      </c>
      <c r="B26" s="47" t="inlineStr">
        <is>
          <t>Bảo hành sản phẩm: + Sản phẩm LED                               : 24 tháng
                                  + Sản phẩm LED chiếu sáng đường : 60 tháng
                                  + Sản phẩm thiết bị chiếu sáng         : 12 tháng</t>
        </is>
      </c>
      <c r="C26" s="47" t="n"/>
      <c r="D26" s="47" t="n"/>
      <c r="E26" s="47" t="n"/>
      <c r="F26" s="47" t="n"/>
      <c r="G26" s="18" t="n"/>
      <c r="H26" s="18" t="n"/>
    </row>
    <row r="27" ht="15.75" customHeight="1"/>
    <row r="28" ht="15.75" customHeight="1"/>
    <row r="29" ht="15.75" customHeight="1"/>
    <row r="30" ht="15.75" customHeight="1"/>
    <row r="31" ht="15.75" customHeight="1"/>
    <row r="32" ht="15.75" customHeight="1"/>
    <row r="33" ht="15.75" customHeight="1"/>
  </sheetData>
  <mergeCells count="27">
    <mergeCell ref="A9:H9"/>
    <mergeCell ref="A11:H11"/>
    <mergeCell ref="B24:E24"/>
    <mergeCell ref="A10:D10"/>
    <mergeCell ref="A6:H6"/>
    <mergeCell ref="F23:H23"/>
    <mergeCell ref="B26:E26"/>
    <mergeCell ref="B19:D19"/>
    <mergeCell ref="A7:H7"/>
    <mergeCell ref="B13:B14"/>
    <mergeCell ref="D13:D14"/>
    <mergeCell ref="A22:C22"/>
    <mergeCell ref="B25:E25"/>
    <mergeCell ref="E13:F13"/>
    <mergeCell ref="G13:H13"/>
    <mergeCell ref="B20:D20"/>
    <mergeCell ref="A12:H12"/>
    <mergeCell ref="A3:H3"/>
    <mergeCell ref="A13:A14"/>
    <mergeCell ref="A5:H5"/>
    <mergeCell ref="E10:H10"/>
    <mergeCell ref="A8:H8"/>
    <mergeCell ref="C13:C14"/>
    <mergeCell ref="A4:H4"/>
    <mergeCell ref="B23:E23"/>
    <mergeCell ref="B21:D21"/>
    <mergeCell ref="F24:H2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Bui Canh Long</dc:creator>
  <dcterms:created xsi:type="dcterms:W3CDTF">2025-08-09T04:07:19Z</dcterms:created>
  <dcterms:modified xsi:type="dcterms:W3CDTF">2025-08-09T04:24:18Z</dcterms:modified>
  <cp:lastModifiedBy>Bui Canh Long</cp:lastModifiedBy>
</cp:coreProperties>
</file>